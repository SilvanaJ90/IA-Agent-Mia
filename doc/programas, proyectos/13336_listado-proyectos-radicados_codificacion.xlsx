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D:\036_Angelopolis\2. 2020-2023\BPPIT-SUIFP Territorio\01. Administrativo\Certificaciones radicados\"/>
    </mc:Choice>
  </mc:AlternateContent>
  <xr:revisionPtr revIDLastSave="0" documentId="8_{7E427AAC-73EE-4426-89B6-F457FCD31302}" xr6:coauthVersionLast="45" xr6:coauthVersionMax="45" xr10:uidLastSave="{00000000-0000-0000-0000-000000000000}"/>
  <bookViews>
    <workbookView xWindow="-120" yWindow="-120" windowWidth="29040" windowHeight="15525" xr2:uid="{0842E1E4-6623-4D8C-BE58-BF7A7AB024F1}"/>
  </bookViews>
  <sheets>
    <sheet name="Codificación" sheetId="1" r:id="rId1"/>
  </sheets>
  <definedNames>
    <definedName name="_xlnm._FilterDatabase" localSheetId="0" hidden="1">Codificación!$A$1:$T$197</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156" i="1" l="1"/>
  <c r="L57" i="1"/>
  <c r="L39" i="1"/>
  <c r="L35" i="1"/>
</calcChain>
</file>

<file path=xl/sharedStrings.xml><?xml version="1.0" encoding="utf-8"?>
<sst xmlns="http://schemas.openxmlformats.org/spreadsheetml/2006/main" count="2742" uniqueCount="1045">
  <si>
    <t>#</t>
  </si>
  <si>
    <t>Cod-Sector</t>
  </si>
  <si>
    <t>Nombre-Sector</t>
  </si>
  <si>
    <t>Cod-prog</t>
  </si>
  <si>
    <t>Nombre-programa</t>
  </si>
  <si>
    <t>Objetivo Programático</t>
  </si>
  <si>
    <t>Cod- Subprog</t>
  </si>
  <si>
    <t>Nombre-Subprograma</t>
  </si>
  <si>
    <t>Descripción-Subprog</t>
  </si>
  <si>
    <t>BPIN</t>
  </si>
  <si>
    <t>Nombre Proyecto</t>
  </si>
  <si>
    <t>Valor 
Vigencia 2020</t>
  </si>
  <si>
    <t>Cod-prod</t>
  </si>
  <si>
    <t>Nombre-prod</t>
  </si>
  <si>
    <t>Descripción-prod</t>
  </si>
  <si>
    <t>(prod) Medido a través de</t>
  </si>
  <si>
    <t>Codigo del indicador (IndProd)</t>
  </si>
  <si>
    <t>Indicador de producto (IndProd)</t>
  </si>
  <si>
    <t>Unidad de medida (IndProd)</t>
  </si>
  <si>
    <t>Secretaría Responsable</t>
  </si>
  <si>
    <t>24</t>
  </si>
  <si>
    <t>Transporte</t>
  </si>
  <si>
    <t>2402</t>
  </si>
  <si>
    <t>Infraestructura red vial regional</t>
  </si>
  <si>
    <t>2402-1</t>
  </si>
  <si>
    <t>Gestión e implementacion del plan vial municipal</t>
  </si>
  <si>
    <t>Disponer de un plan vial municipal que involucre proyectos de corto, mediano y largo plazo, establecidos a partir de criterios técnicos, financieros, económicos, sociales y de sostenibilidad, que abarque la totalidad de las actividades a su cargo, con énfasis en la protección del patrimonio vial</t>
  </si>
  <si>
    <t>Mantenimiento, mejoramiento y rehabilitación de vías terciarías en el municipio de Angelópolis</t>
  </si>
  <si>
    <t>Vía terciaria atendida por emergencia</t>
  </si>
  <si>
    <t>Incluye intervenciones en las vías terciarias o urbanas para la normalización del tránsito luego de la ocurrencia de eventos que tengan como origen emergencias climáticas, telúricas, terrorismo, entre otros</t>
  </si>
  <si>
    <t>Kilómetros de vías terciaria</t>
  </si>
  <si>
    <t xml:space="preserve">Vía terciaria con mantenimiento de emergencia </t>
  </si>
  <si>
    <t>Kilómetros</t>
  </si>
  <si>
    <t>Secretaría de Planeación y Desarrollo Territorial</t>
  </si>
  <si>
    <t>Vía terciaria mejorada</t>
  </si>
  <si>
    <t>Incluye la construcción de obras de infraestructura vial en vías de la red vial terciaria que mejoren la prestación del servicio, así como los cambios en una infraestructura de transporte con el propósito de mejorar sus especificaciones técnicas iniciales</t>
  </si>
  <si>
    <t>Placa huella construida</t>
  </si>
  <si>
    <t>Vía terciaria rehabilitada</t>
  </si>
  <si>
    <t>Incluye las intervenciones en vías para devolverlas al estado inicial para la cual fueron construidas</t>
  </si>
  <si>
    <t xml:space="preserve">Vía terciaria rehabilitada </t>
  </si>
  <si>
    <t>Vía terciaria con mantenimiento periódico o rutinario</t>
  </si>
  <si>
    <t>Incluye las acciones de conservación periódica o rutinaria de las vías de la red vial terciaria con el fin de mantener las condiciones óptimas para el tránsito y  el uso adecuado de la infraestructura de transporte.</t>
  </si>
  <si>
    <t xml:space="preserve">Vía terciaria con mantenimiento </t>
  </si>
  <si>
    <t>40</t>
  </si>
  <si>
    <t>Vivienda, Ciudad y Territorio</t>
  </si>
  <si>
    <t>4003</t>
  </si>
  <si>
    <t>Acceso de la población a los servicios de agua potable y saneamiento básico</t>
  </si>
  <si>
    <t>4003-1</t>
  </si>
  <si>
    <t>Gestión del agua y el saneamiento básico</t>
  </si>
  <si>
    <t>Orientado a promover esquemas que proporcionen soluciones efectivas y sostenibles en materia de acceso de la población a agua potable y saneamiento básico en las zonas urbanas y rurales del municipio</t>
  </si>
  <si>
    <t>Implementación del plan de gestión integral de residuos sólidos en el municipio de Angelópolis</t>
  </si>
  <si>
    <t>4003010</t>
  </si>
  <si>
    <t>Servicio de Aseo</t>
  </si>
  <si>
    <t>Es el servicio de recolección municipal de residuos, principalmente sólidos. También se aplicará este servicio a las actividades complementarias de transporte, tratamiento, aprovechamiento y disposición final de tales residuos.</t>
  </si>
  <si>
    <t>Número de usuarios</t>
  </si>
  <si>
    <t>400301000</t>
  </si>
  <si>
    <t>Usuarios con acceso al servicio de aseo</t>
  </si>
  <si>
    <t>Número</t>
  </si>
  <si>
    <t>Dirección de Servicios Püblicos</t>
  </si>
  <si>
    <t>4003023</t>
  </si>
  <si>
    <t>Servicios de seguimiento al Plan de Gestión Integral de Residuos Solidos PGIRS</t>
  </si>
  <si>
    <t>Número de planes</t>
  </si>
  <si>
    <t>400302300</t>
  </si>
  <si>
    <t>Plan de Gestión Integral de Residuos Sólidos con seguimiento</t>
  </si>
  <si>
    <t>03</t>
  </si>
  <si>
    <t>Planeación</t>
  </si>
  <si>
    <t>0304</t>
  </si>
  <si>
    <t>Fortalecimiento del sistema de compra pública</t>
  </si>
  <si>
    <t>0304-1</t>
  </si>
  <si>
    <t>Aplicación efectiva de procesos legales y técnicos de compra pública</t>
  </si>
  <si>
    <t>Desarrollo de acciones efectivas en los procesos de compra pública durante la adquisición de los bienes y servicios por el municipio para cumplir con sus objetivos misionales y materializar políticas públicas</t>
  </si>
  <si>
    <t>Fortalecimiento institucional en el área de compra pública de la administración municipal de Angelópolis</t>
  </si>
  <si>
    <t>0304009</t>
  </si>
  <si>
    <t>Servicio de información para la compra pública</t>
  </si>
  <si>
    <t>Es el diseño del sistema de información, su desarrollo, implantación, operación, mantenimiento y adecuación; donde en la adecuación se incluyen procesos de compra (por ejemplo licencias), arrendamientos o contratos de presentación del servicio.</t>
  </si>
  <si>
    <t>Porcentaje de disponibilidad en el servicio</t>
  </si>
  <si>
    <t>030400900</t>
  </si>
  <si>
    <t>Disponibilidad del servicio</t>
  </si>
  <si>
    <t>Porcentaje</t>
  </si>
  <si>
    <t>0304002</t>
  </si>
  <si>
    <t>Documentos de lineamientos técnicos</t>
  </si>
  <si>
    <t>Documentos guía a los administradores de compras que les deben permitir monitorear y evaluar el desempeño del Sistema de Compra Pública y generar mayor transparencia en las compras</t>
  </si>
  <si>
    <t>Número de documentos</t>
  </si>
  <si>
    <t>030400200</t>
  </si>
  <si>
    <t>Documentos de lineamientos técnicos en compras y contratación elaborados</t>
  </si>
  <si>
    <t>17</t>
  </si>
  <si>
    <t xml:space="preserve">Agricultura y Desarrollo Rural </t>
  </si>
  <si>
    <t>1701</t>
  </si>
  <si>
    <t>Mejoramiento de la habitabilidad rural</t>
  </si>
  <si>
    <t>1701-1</t>
  </si>
  <si>
    <t>Hábitat y vivienda digna, segura y saludable en el área rural</t>
  </si>
  <si>
    <t>Orientado a la entrega de subsidios para la construcción y mejoramiento de vivienda, que promueva mejoras en la habitabilidad rural.</t>
  </si>
  <si>
    <t>Construcción y mejoramiento de vivienda y hábitat rural en el municipio de Angelópolis</t>
  </si>
  <si>
    <t>1701002</t>
  </si>
  <si>
    <t>Viviendas de interés social rural construidas</t>
  </si>
  <si>
    <t xml:space="preserve">Corresponde a la solución de vivienda de interés social rural nueva construida y entregada por el Estado al hogar que le fue asignado el Subsidio Familiar de Vivienda de Interés Social Rural para construcción de vivienda nueva. </t>
  </si>
  <si>
    <t>Número de viviendas</t>
  </si>
  <si>
    <t>170100200</t>
  </si>
  <si>
    <t>1701003</t>
  </si>
  <si>
    <t>Viviendas de interés social rural mejoradas</t>
  </si>
  <si>
    <t>Mejoramiento: Deficiencias en estructura principal, cimientos, muros o cubierta; Carencia en los sistemas de alcantarillado o sistema para la disposición final de aguas servidas; Carencia o deficiencia de cocinas; Pisos en tierra o materiales inapropiados; Construcción en materiales provisionales (latas, telas asfáltica y madera de desecho entre otros).</t>
  </si>
  <si>
    <t>170100300</t>
  </si>
  <si>
    <t>Viviendas de Interés Social Rural mejoradas</t>
  </si>
  <si>
    <t>Consolidación del acceso de la población a los servicios de agua potable y saneamiento básico en el municipio de Angelópolis</t>
  </si>
  <si>
    <t>4003009</t>
  </si>
  <si>
    <t>Servicio de Acueducto</t>
  </si>
  <si>
    <t>Es la distribución de agua apta para el consumo humano, incluida su conexión y medición. También forman parte de éste servicio las actividades complementarias tales como captación de agua, procesamiento, tratamiento, almacenamiento, conducción y transporte.</t>
  </si>
  <si>
    <t>400300900</t>
  </si>
  <si>
    <t>Usuarios conectados a la red de servicio de acueducto</t>
  </si>
  <si>
    <t>4003011</t>
  </si>
  <si>
    <t>Servicio de monitoreo del uso de los recursos del Sistema General de Participaciones (SGP) - Agua Potable y Saneamiento Básico</t>
  </si>
  <si>
    <t>Número de informes</t>
  </si>
  <si>
    <t>400301100</t>
  </si>
  <si>
    <t>Informes de monitoreo Elaborados del uso de los recursos del Sistema General de Participaciones - Agua Potable y Saneamiento Básico</t>
  </si>
  <si>
    <t>4003014</t>
  </si>
  <si>
    <t>Servicio de Alcantarillado</t>
  </si>
  <si>
    <t>Es la recolección municipal de residuos, principalmente líquidos y aguas lluvias, por medio de tuberías y conductos. Forman parte de éste servicio las actividades complementarias de transporte, tratamiento y disposición final de tales residuos.</t>
  </si>
  <si>
    <t>400301400</t>
  </si>
  <si>
    <t>Usuarios conectados a la red de servicio de alcantarillado</t>
  </si>
  <si>
    <t>4003017</t>
  </si>
  <si>
    <t>Acueductos optimizados</t>
  </si>
  <si>
    <t>Conjunto de acciones encaminadas a mejorar la capacidad, eficiencia y eficacia de la infraestructura componente del sistema de acueducto mediante su intervención parcial o total.</t>
  </si>
  <si>
    <t>Número de acueductos</t>
  </si>
  <si>
    <t>400301700</t>
  </si>
  <si>
    <t>400301702</t>
  </si>
  <si>
    <t>Plantas de tratamiento de agua potable optimizadas</t>
  </si>
  <si>
    <t>4003020</t>
  </si>
  <si>
    <t>Alcantarillados optimizados</t>
  </si>
  <si>
    <t>Conjunto de acciones encaminadas a mejorar la capacidad, eficiencia y eficacia de la infraestructura componente del sistema de alcantarillado mediante su intervención parcial o total.</t>
  </si>
  <si>
    <t>Número de alcantarillados</t>
  </si>
  <si>
    <t>400302000</t>
  </si>
  <si>
    <t>400302002</t>
  </si>
  <si>
    <t>Plantas de tratamiento de aguas residuales optimizadas</t>
  </si>
  <si>
    <t>45</t>
  </si>
  <si>
    <t>Fortalecimiento Institucional</t>
  </si>
  <si>
    <t>4506</t>
  </si>
  <si>
    <t>Gestión Jurídica Territorial</t>
  </si>
  <si>
    <t>4506-1</t>
  </si>
  <si>
    <t>Asesoría y asistencia técnica jurídica</t>
  </si>
  <si>
    <t>Garantizar la defensa jurídica del municipio para proteger la inst​itucionalidad y los recursos públicos</t>
  </si>
  <si>
    <t>Fortalecimiento del proceso gestión jurídica para la protección y conservación del patrimonio público de Angelópolis</t>
  </si>
  <si>
    <t>450601</t>
  </si>
  <si>
    <t xml:space="preserve">Número </t>
  </si>
  <si>
    <t>450601-1</t>
  </si>
  <si>
    <t>Asesorías y asistencitas técnicas brindadas</t>
  </si>
  <si>
    <t>Secretaría General y de Gobierno</t>
  </si>
  <si>
    <t>450602</t>
  </si>
  <si>
    <t>Proyección, revisión de conceptos y documentos de carácter jurídico</t>
  </si>
  <si>
    <t>450602-1</t>
  </si>
  <si>
    <t>Documentos de carácter jurídico eleaborados</t>
  </si>
  <si>
    <t>450603</t>
  </si>
  <si>
    <t>Asesorías jurídicas</t>
  </si>
  <si>
    <t>450603-1</t>
  </si>
  <si>
    <t>Asesorñas jurídicas ofrecidas</t>
  </si>
  <si>
    <t>450604</t>
  </si>
  <si>
    <t>Elaboración de conceptos jurídicos requeridos por el municipio</t>
  </si>
  <si>
    <t>450604-1</t>
  </si>
  <si>
    <t>Conceptos jurídicos elaborados</t>
  </si>
  <si>
    <t>450605</t>
  </si>
  <si>
    <t>Tramitar y adelantar procesos judiciales que le sean asignados</t>
  </si>
  <si>
    <t>450605-1</t>
  </si>
  <si>
    <t>Procesos judiciales tramitados</t>
  </si>
  <si>
    <t>41</t>
  </si>
  <si>
    <t>Inclusión Social y Reconciliación</t>
  </si>
  <si>
    <t>4102</t>
  </si>
  <si>
    <t>Desarrollo integral de niñas, niños, adolescentes y sus familias</t>
  </si>
  <si>
    <t>Promoción del desarrollo integral desde la primera infancia hasta la ​adolescencia</t>
  </si>
  <si>
    <t xml:space="preserve">Orientado a promover los derechos de los niños, niñas, adolescentes (NNA) y sus familias, así como para prevenir los riesgos y amenazas de su vulneración. </t>
  </si>
  <si>
    <t>Desarrollo integral de niñas, niños, adolescentes y sus familias en el municipio de Angelópolis</t>
  </si>
  <si>
    <t>4102001</t>
  </si>
  <si>
    <t>Servicio de atención integral a la primera infancia</t>
  </si>
  <si>
    <t>Servicio dispuestos para atender a los niños y niñas en primera infancia, con el fin de promover su desarrollo integral a través de la atención en educación inicial, cuidado calificado, salud, nutrición, protección y acompañamiento familiar.</t>
  </si>
  <si>
    <t>Número de niños y niñas</t>
  </si>
  <si>
    <t>410200100</t>
  </si>
  <si>
    <t>Niños y niñas atendidos en Servicio integrales</t>
  </si>
  <si>
    <t>Orientado a promover los derechos de los niños, niñas, adolescentes (NNA) y sus familias, así como para prevenir los riesgos y amenazas de su vulneración.</t>
  </si>
  <si>
    <t>4102022</t>
  </si>
  <si>
    <t>Servicio de divulgación para la promoción y prevención de los derechos de los niños, niñas y adolescentes</t>
  </si>
  <si>
    <t>Comprende la capacitación, asesoría y acompañamiento en el diseño e implementación de programas dirigidos a las familias y a la garantía de sus derechos y los de sus integrantes .</t>
  </si>
  <si>
    <t>Número de eventos</t>
  </si>
  <si>
    <t>410202200</t>
  </si>
  <si>
    <t xml:space="preserve">Eventos de divulgación realizados </t>
  </si>
  <si>
    <t>4102037</t>
  </si>
  <si>
    <t>Servicio de protección para el restablecimiento de derechos de niños, niñas, adolescentes y jóvenes</t>
  </si>
  <si>
    <t>Servicios determinados por las autoridades administrativas dirigidos a garantizar y restablecer el ejercicio de los derechos de los niños, niñas, adolescentes y jóvenes, cuando sus derechos han sido amenazados  y/o vulnerados.</t>
  </si>
  <si>
    <t>Número de niños, niñas y adolescentes</t>
  </si>
  <si>
    <t>410203700</t>
  </si>
  <si>
    <t>Niños, niñas, adolescentes y jóvenes atendidos con servicio de protección para el restablecimiento de derechos</t>
  </si>
  <si>
    <t>4102038</t>
  </si>
  <si>
    <t>Servicios dirigidos a la atención de niños, niñas, adolescentes y jóvenes, con enfoque pedagógico y restaurativo encaminados a la inclusión social</t>
  </si>
  <si>
    <t>Servicio dirigidos a la atención de niños, niñas, adolescentes y jóvenes, con enfoque pedagógico y restaurativo encaminados a la inclusión social.</t>
  </si>
  <si>
    <t>410203800</t>
  </si>
  <si>
    <t>Niños, niñas, adolescentes y jóvenes atendidios en los servicios de restablecimiento en la administración de justicia</t>
  </si>
  <si>
    <t>4102041</t>
  </si>
  <si>
    <t>Servicio de asistencia técnica en el ciclo de políticas públicas de familia y otras relacionadas</t>
  </si>
  <si>
    <t>Número de instituciones y organizaciones</t>
  </si>
  <si>
    <t>410204100</t>
  </si>
  <si>
    <t>Instituciones y entidades asistidas técnicamente</t>
  </si>
  <si>
    <t>4102042</t>
  </si>
  <si>
    <t>Servicio de asistencia técnica a comunidades en temas de fortalecimiento del tejido social y construcción de escenarios comunitarios protectores de derechos</t>
  </si>
  <si>
    <t>Incluye el desarrollo de acciones de intervención comunitaria,  transmisión de saberes intergeneracionales y acciones de formación comunitaria con enfoque diferencial, que favorezcan la activación de redes sociales e institucionales de protección de derechos de los integrantes de las familias.</t>
  </si>
  <si>
    <t>Número de acciones</t>
  </si>
  <si>
    <t>410204203</t>
  </si>
  <si>
    <t>Familias pertenecientes a comunidades étnicas atendida</t>
  </si>
  <si>
    <t>04</t>
  </si>
  <si>
    <t>Información Estadística</t>
  </si>
  <si>
    <t>0404</t>
  </si>
  <si>
    <t>Levantamiento, actualización y administración de la información catastral</t>
  </si>
  <si>
    <t xml:space="preserve">Formación, actualización y conservación de la información predial municipal </t>
  </si>
  <si>
    <t>Comprende la  Información predial del país formada, actualizada y/o conservada en el área urbana y rural; reportando las unidades prediales urbanas que son objeto de gestión por parte del IGAC y  de los delegados de funciones catastrales, de acuerdo a los lineamientos Nacionales de política</t>
  </si>
  <si>
    <t>Actualización y conservación de la información catastral urbana y rural en el municipio de Angelópolis</t>
  </si>
  <si>
    <t>0404004</t>
  </si>
  <si>
    <t>Servicio de Información Catastral</t>
  </si>
  <si>
    <t>Número de sistemas de información</t>
  </si>
  <si>
    <t>040400400</t>
  </si>
  <si>
    <t>Sistema de Información predial actualizado</t>
  </si>
  <si>
    <t>Secretaría de Hacienda y Desarrollo Económico</t>
  </si>
  <si>
    <t>040400402</t>
  </si>
  <si>
    <t>Predios actualizados catastralmente</t>
  </si>
  <si>
    <t>040400403</t>
  </si>
  <si>
    <t>Mutaciones realizadas</t>
  </si>
  <si>
    <t>040400404</t>
  </si>
  <si>
    <t>Solicitudes Atendidas</t>
  </si>
  <si>
    <t>0301</t>
  </si>
  <si>
    <t>Mejoramiento de la planeación territorial y sectorial</t>
  </si>
  <si>
    <t>0301-1</t>
  </si>
  <si>
    <t>Mejoramiento de la planeación territorial, sectorial y de inversión pública</t>
  </si>
  <si>
    <t>Orientado al fortalecimiento de la planeación territorial, la formulación de políticas, planes y programas, y el desarrollo de mecanismos para su seguimiento y evaluación.</t>
  </si>
  <si>
    <t>Fortalecimiento del banco de programas y proyectos de inversión territorial – BPPIT - en el municipio de Angelópolis</t>
  </si>
  <si>
    <t>0301027</t>
  </si>
  <si>
    <t>Servicio de asistencia técnica</t>
  </si>
  <si>
    <t>Corresponde al acompañamiento, asesoría y seguimiento técnico para la transferencia de herramientas de gestión y conocimiento a entidades nacionales y territoriales en políticas, planes , proyectos y programas.</t>
  </si>
  <si>
    <t>Número de entidades</t>
  </si>
  <si>
    <t>030102700</t>
  </si>
  <si>
    <t>Entidades apoyadas </t>
  </si>
  <si>
    <t>030102701</t>
  </si>
  <si>
    <t>Proyectos apoyados para la elaboración de estudios de estructuración</t>
  </si>
  <si>
    <t>030102702</t>
  </si>
  <si>
    <t>Entidades apoyadas a través del servicio de asistencia técnica para la formulación, estructuración y gestión de proyectos de inversión</t>
  </si>
  <si>
    <t>0301028</t>
  </si>
  <si>
    <t>Servicio de seguimiento a la inversión pública</t>
  </si>
  <si>
    <t>A partir de este servicio se recolecta, procesa y registra la información de ejecución, comparándola con lo planificado , para identificar las desviaciones, fortalezas y debilidades de ésta, y así introducir cambios que lleven a mejores niveles de ejecución y a un cumplimiento óptimo de sus objetivos. </t>
  </si>
  <si>
    <t>030102800</t>
  </si>
  <si>
    <t>Documentos de seguimiento a la inversión pública</t>
  </si>
  <si>
    <t>4510</t>
  </si>
  <si>
    <t>Diseño de la política de comunicaciones de la entidad territorial</t>
  </si>
  <si>
    <t>4510-1</t>
  </si>
  <si>
    <t>Implementación del plan estratégico de comunicaciones de la entidad territorial</t>
  </si>
  <si>
    <t>Definir las políticas de comunicaciones, así como la planeación, diseño, coordinación, ejecución y evaluación de estrategias de carácter informativo, corporativo, institucional y de movilización de la Administración Municipal.</t>
  </si>
  <si>
    <t>Implementación de la política integral de comunicaciones de la administración central y sus entes descentralizados en el municipio  de Angelópolis</t>
  </si>
  <si>
    <t>451001</t>
  </si>
  <si>
    <t>Dirigir, formular y orientar el Plan Estratégico de Comunicaciones de la administración central.</t>
  </si>
  <si>
    <t>45100101</t>
  </si>
  <si>
    <t>Planes estratégico de comunicaciones implementado</t>
  </si>
  <si>
    <t>Implementación de la política integral de comunicaciones de la administración central y sus entes descentralizados en el municipio de  Angelópolis</t>
  </si>
  <si>
    <t>451002</t>
  </si>
  <si>
    <t>Planear, diseñar y coordinar las estrategias de comunicación informativa, comunicación organizacional y comunicación para el desarrollo.</t>
  </si>
  <si>
    <t>Número de estrategias</t>
  </si>
  <si>
    <t>45100201</t>
  </si>
  <si>
    <t>Estrategias de comunicación</t>
  </si>
  <si>
    <t>43</t>
  </si>
  <si>
    <t>Deporte y Recreación</t>
  </si>
  <si>
    <t>4301</t>
  </si>
  <si>
    <t>Fomento a la recreación, la actividad física y el deporte para desarrollar entornos de convivencia y paz</t>
  </si>
  <si>
    <t>Incremento y mejora de la oferta de infraestructura deportiva y recreativa con calidad, dotación, suficiencia y seguridad, como instrumento para el fomento y la práctica del deporte y la recreación, el sano esparcimiento y el desarrollo comunitario</t>
  </si>
  <si>
    <t>4301-2</t>
  </si>
  <si>
    <t>Incremento y mejorar la oferta de infraestructura deportiva y recreativa con calidad, suficiencia y seguridad</t>
  </si>
  <si>
    <t>Incremento y mejora de la oferta de infraestructura deportiva y recreativa con calidad, dotación, suficiencia y seguridad, como instrumento para el fomento y la práctica del deporte y la recreación, el sano esparcimiento y el desarrollo comunitario.</t>
  </si>
  <si>
    <t>Construcción, mejoramiento, mantenimiento y dotación de infraestructura recreo-deportiva en el municipio de Angelópolis</t>
  </si>
  <si>
    <t>4301010</t>
  </si>
  <si>
    <t>Parques recreativos construidos y dotados</t>
  </si>
  <si>
    <t>Construcción y dotación de infraestructura parques recreativos para garantizar  la práctica de la actividad física, la recreación y el deporte.</t>
  </si>
  <si>
    <t>Número de parques</t>
  </si>
  <si>
    <t>430101000</t>
  </si>
  <si>
    <t>Parques construidos y dotados</t>
  </si>
  <si>
    <t>Secretaría de Salud y Bienestar Social, con funciones de Educación</t>
  </si>
  <si>
    <t>Incluye los espacios recreativos y deportivos que promueven el acceso de los niños, niñas y adolescentes fortaleciendo el desarrollo de los servicios deportivos, recreativos y de actividad físicao.</t>
  </si>
  <si>
    <t>4301012</t>
  </si>
  <si>
    <t>Parques recreativos mantenidos</t>
  </si>
  <si>
    <t>Obras para mantener el inmueble en las debidas condiciones de higiene y ornato sin afectar su materia original, su estructura portante, su distribución interior y sus características funcionales Incluye obras de mantenimiento y reparación como limpieza, renovación de pintura, eliminación de goteras, remplazo de piezas en mal estado, obras de drenaje, control de humedades.</t>
  </si>
  <si>
    <t>430101200</t>
  </si>
  <si>
    <t>4301013</t>
  </si>
  <si>
    <t>Parques recreativos mejorados</t>
  </si>
  <si>
    <t>Obras que están destinadas a corregir las instalaciones existentes, a fin de garantizar mejores condiciones en la habitabilidad del espacio y la mejora consecuente en la prestación del servicio. Aumento de la cantidad de baterías sanitarias, la implementación de espacios de servicios que antes no se tenían.</t>
  </si>
  <si>
    <t>430101300</t>
  </si>
  <si>
    <t>4301015</t>
  </si>
  <si>
    <t>Canchas multifuncionales construidas y dotadas</t>
  </si>
  <si>
    <t>Construcción y dotación de canchas multiformes para garantizar  la práctica de la actividad física, la recreación y el deporte.</t>
  </si>
  <si>
    <t>Número de canchas</t>
  </si>
  <si>
    <t>430101500</t>
  </si>
  <si>
    <t>4301017</t>
  </si>
  <si>
    <t>Canchas multifuncionales mantenidas</t>
  </si>
  <si>
    <t>430101700</t>
  </si>
  <si>
    <t>4301018</t>
  </si>
  <si>
    <t>Canchas multifuncionales mejoradas</t>
  </si>
  <si>
    <t>430101800</t>
  </si>
  <si>
    <t>Canchas de eventos recreativos mejorados</t>
  </si>
  <si>
    <t>4301020</t>
  </si>
  <si>
    <t>Placa deportiva construida y dotada</t>
  </si>
  <si>
    <t>Construcción y dotación de una placa deportiva para garantizar  la práctica de la actividad física, la recreación y el deporte.</t>
  </si>
  <si>
    <t>Número de placas deportivas</t>
  </si>
  <si>
    <t>430102000</t>
  </si>
  <si>
    <t>Placa polideportiva construida y dotada</t>
  </si>
  <si>
    <t>4301022</t>
  </si>
  <si>
    <t>Placa deportiva mantenida</t>
  </si>
  <si>
    <t>430102200</t>
  </si>
  <si>
    <t>4301023</t>
  </si>
  <si>
    <t>Placa deportiva mejorada</t>
  </si>
  <si>
    <t>430102300</t>
  </si>
  <si>
    <t>4301024</t>
  </si>
  <si>
    <t>Gimnasios al aire libre estáticos</t>
  </si>
  <si>
    <t>Se realizan en el marco de la construcción de la modalidad de parques donde se habilita un sector para implementación de parques biosaludables  (mobiliario  para la practica de  ejercicios son estáticos)</t>
  </si>
  <si>
    <t>Número de gimnasios</t>
  </si>
  <si>
    <t>430102400</t>
  </si>
  <si>
    <t>Gimnasios al aire libre construidos</t>
  </si>
  <si>
    <t>4301031</t>
  </si>
  <si>
    <t>Estudios y diseños de infraestructura recreo-deportiva</t>
  </si>
  <si>
    <t>Corresponde a todos los productos relacionados a la etapa de preinversión en infraestructura recreo-deportiva, como son estudios de factibilidad, diseños arquitectónicos, planos, estudio de suelos y otros estudios y/o instrumentos similares.</t>
  </si>
  <si>
    <t>Número de estudios y diseños</t>
  </si>
  <si>
    <t>430103100</t>
  </si>
  <si>
    <t>Estudios y diseños elaborados</t>
  </si>
  <si>
    <t>4301030</t>
  </si>
  <si>
    <t>Parque recreo-deportivo construido y dotado</t>
  </si>
  <si>
    <t>Construcción y dotación de un parque recreo-deportivo que contiene zona de juegos infantiles, área de gimnasio, pista de trote, bebederos y demás equipamientos destinados a la recreación y el deporte al aire libre.</t>
  </si>
  <si>
    <t>Número de parques recreo-deportivos</t>
  </si>
  <si>
    <t>430103000</t>
  </si>
  <si>
    <t>22</t>
  </si>
  <si>
    <t>Educación</t>
  </si>
  <si>
    <t>2201</t>
  </si>
  <si>
    <t>Calidad, cobertura y fortalecimiento de la educación inicial, prescolar, básica y media</t>
  </si>
  <si>
    <t>2201-2</t>
  </si>
  <si>
    <t>Fomento y retención para la permanencia en la educación formal</t>
  </si>
  <si>
    <t>Incluye la implementación de estrategias para fortalecer las acciones de retención estudiantil de la población vulnerable escolarizada en el sistema educativo.</t>
  </si>
  <si>
    <t>Implementación de estrategias de fomento y retención para la permanencia en programas de educación formal en el municipio de Angelópolis</t>
  </si>
  <si>
    <t>2201029</t>
  </si>
  <si>
    <t>Servicio de apoyo a la permanencia con transporte escolar</t>
  </si>
  <si>
    <t>Incluye la implementación de estrategias de transporte escolar para fortalecer las acciones de retención estudiantil</t>
  </si>
  <si>
    <t>Número de beneficiarios</t>
  </si>
  <si>
    <t>220102900</t>
  </si>
  <si>
    <t>Beneficiarios de transporte escolar</t>
  </si>
  <si>
    <t>220102901</t>
  </si>
  <si>
    <t>Días de atención del servicio de transporte escolar</t>
  </si>
  <si>
    <t>2201033</t>
  </si>
  <si>
    <t>Servicio de fomento para la permanencia en programas de educación formal</t>
  </si>
  <si>
    <t>Incluye la implementación de estrategias para fortalecer las acciones de retención estudiantil de la población vulnerable escolarizada en el sistema educativo</t>
  </si>
  <si>
    <t>Número de personas</t>
  </si>
  <si>
    <t>220103300</t>
  </si>
  <si>
    <t>Personas beneficiarias de estrategias de permanencia</t>
  </si>
  <si>
    <t>13</t>
  </si>
  <si>
    <t>Hacienda</t>
  </si>
  <si>
    <t>1304</t>
  </si>
  <si>
    <t>Inspección, control y vigilancia financiera, solidaria y de recursos públicos</t>
  </si>
  <si>
    <t>1304-1</t>
  </si>
  <si>
    <t xml:space="preserve">Servicio de intermediación de seguros y adquisición de pólizas </t>
  </si>
  <si>
    <t>Manejar e intermediar el programa de seguros del municipio de Angelópolis, destinado a proteger a las personas, bienes e intereses patrimoniales de la entidad y aquellos por los que es legalmente responsable.</t>
  </si>
  <si>
    <t>Servicio de intermediación de seguros y adquisición de pólizas para la cobertura del riesgo de los bienes e intereses patrimoniales del municipio de Angelópolis</t>
  </si>
  <si>
    <t>1304007</t>
  </si>
  <si>
    <t>Servicio de aseguramiento para mitigar los riesgos identificados mediante las inspecciones en las entidades vigiladas por la Unidad Administrativa Especial Agencia del Inspector General de Tributos, Rentas y Contribuciones Parafiscales</t>
  </si>
  <si>
    <t>Porcentaje de grado de cumplimiento</t>
  </si>
  <si>
    <t>130400700</t>
  </si>
  <si>
    <t xml:space="preserve">Grado de Cumplimiento Plan de Aseguramiento Interinstitucional </t>
  </si>
  <si>
    <t>05</t>
  </si>
  <si>
    <t>Empleo público</t>
  </si>
  <si>
    <t>0505</t>
  </si>
  <si>
    <t>Fortalecimiento de la Gestión Pública en las Entidades Nacionales y Territoriales</t>
  </si>
  <si>
    <t>0505-1</t>
  </si>
  <si>
    <t>Servicios personales indirectos y generales para la Administración Central</t>
  </si>
  <si>
    <t>Adquisición de servicios personales indirectos para que garantizar el normal funcionamiento de la administración territorial</t>
  </si>
  <si>
    <t>Fortalecimiento de la gestión pública desarrollada por la administración central del municipio de Angelópolis</t>
  </si>
  <si>
    <t>0505008</t>
  </si>
  <si>
    <t>Servicio de Asistencia Técnica en la gestión y administración estratégica de Personal</t>
  </si>
  <si>
    <t>050500800</t>
  </si>
  <si>
    <t>Entidades asesoradas en la gestión y administración estratégica de Personal</t>
  </si>
  <si>
    <t xml:space="preserve">Orientado al fortalecimiento de la planeación territorial, la formulación de políticas, planes y programas, y el desarrollo de mecanismos para su seguimiento y evaluación.
</t>
  </si>
  <si>
    <t>Formulación y Seguimiento del Plan de Desarrollo Territorial PDT – Creemos en Angelópolis 2020-2023 – del municipio de Angelópolis</t>
  </si>
  <si>
    <t>0301001</t>
  </si>
  <si>
    <t>Documentos de planeación</t>
  </si>
  <si>
    <t>Documentos cuyo objetivo es plasmar una visión de futuro a nivel país, entidad territorial, comunidad, sector, región, entidad o cualquier nivel de desagregación que se requiera. Incluye objetivos, estrategias, metas e indicadores.</t>
  </si>
  <si>
    <t>030100100</t>
  </si>
  <si>
    <t>Documentos de planeación elaborados</t>
  </si>
  <si>
    <t>030100103</t>
  </si>
  <si>
    <t>Documento de plan de desarrollo territorial elaborado</t>
  </si>
  <si>
    <t>0399</t>
  </si>
  <si>
    <t>Fortalecimiento de la gestión y dirección del Sector Planeación</t>
  </si>
  <si>
    <t>0399-1</t>
  </si>
  <si>
    <t>0399055</t>
  </si>
  <si>
    <t>039905500</t>
  </si>
  <si>
    <t>Documentos de planeación realizados</t>
  </si>
  <si>
    <t>039905502</t>
  </si>
  <si>
    <t>Documentos de planeación con seguimiento realizado</t>
  </si>
  <si>
    <t xml:space="preserve">Realización de acciones de apoyo técnico a la entidads pública territorial para fortalecer la capacidad de gestión. Incluye las acciones orientadas a fortalecer la planeación, formulación, preparación, seguimiento y evaluación de políticas públicas, planes, programas y proyectos para el desarrollo territorial y la convergencia regional. </t>
  </si>
  <si>
    <t>Fortalecimiento de las Secretarías de planeación y técnica del OCAD del municipio de Angelópolis</t>
  </si>
  <si>
    <t>Corresponde al acompañamiento, asesoría y seguimiento técnico para la transferencia de herramientas de gestión y conocimiento a entidades nacionales y territoriales en políticas, planes , proyectos y programas</t>
  </si>
  <si>
    <t>0301029</t>
  </si>
  <si>
    <t>Bases de datos para la focalización del gasto público</t>
  </si>
  <si>
    <t>Consiste en la elaboración de bases de información a partir de la recolección primaria de datos como insumo para la toma de decisiones de gasto y política pública y acciones encaminadas al mejoramiento institucional.</t>
  </si>
  <si>
    <t>Número de bases de datos</t>
  </si>
  <si>
    <t>030102900</t>
  </si>
  <si>
    <t>Bases de datos producidas</t>
  </si>
  <si>
    <t>0301002</t>
  </si>
  <si>
    <t>Documentos metodológicos</t>
  </si>
  <si>
    <t>Documentos cuyo objetivo es describir y explicar métodos, herramientas analíticas, o procesos que determinan un camino o forma de realizar un análisis en particular.</t>
  </si>
  <si>
    <t>030100200</t>
  </si>
  <si>
    <t>Documentos de lineamientos metodológicos elaborados</t>
  </si>
  <si>
    <t>0301003</t>
  </si>
  <si>
    <t>Documentos cuyo objetivo es describir y explicar instrumentos, estándares, requisitos y condiciones necesarias para llevar a cabo un proceso o actividad</t>
  </si>
  <si>
    <t>030100300</t>
  </si>
  <si>
    <t>0301008</t>
  </si>
  <si>
    <t>Servicio de seguimiento a la política pública</t>
  </si>
  <si>
    <t>Servicio que tiene por objetivo monitorear los avances de las metas de los planes de desarrollo a través de indicadores objetivos que permiten generar alertas tempranas para asegurar su cumplimiento.</t>
  </si>
  <si>
    <t>030100800</t>
  </si>
  <si>
    <t>Documentos de seguimiento a la política pública elaborados</t>
  </si>
  <si>
    <t>0399-0</t>
  </si>
  <si>
    <t>0399064</t>
  </si>
  <si>
    <t>Servicios de información implementados</t>
  </si>
  <si>
    <t>Corresponde al proceso que asegura la disposición de la información de manera accesible, confiable y oportuna.</t>
  </si>
  <si>
    <t>039906400</t>
  </si>
  <si>
    <t>Sistemas de información implementados</t>
  </si>
  <si>
    <t>0399059</t>
  </si>
  <si>
    <t>Servicio de educación informal para la gestión administrativa</t>
  </si>
  <si>
    <t>Hace referencia a las acciones de formación o capacitaciones orientadas a fortalecer las competencias y la calidad de los conocimientos para la gestión de las entidades.</t>
  </si>
  <si>
    <t>039905900</t>
  </si>
  <si>
    <t>Personas capacitadas</t>
  </si>
  <si>
    <t>02</t>
  </si>
  <si>
    <t>Presidencia de la República</t>
  </si>
  <si>
    <t>0207</t>
  </si>
  <si>
    <t>Prevención y mitigación del riesgo de desastres desde el sector Presidencia</t>
  </si>
  <si>
    <t>0207-1</t>
  </si>
  <si>
    <t>Empoderamiento y fortalecimiento en la gestión del riesgo y las capacidades institucionales</t>
  </si>
  <si>
    <t>Contempla acciones realizadas para implementar el Plan del riesgo de desastres y la estrategia para la respuesta a emergencias</t>
  </si>
  <si>
    <t>Implementación del plan de gestión del riesgo de desastres y estrategias para la respuesta a emergencias en el municipio de Angelópolis</t>
  </si>
  <si>
    <t>0207005</t>
  </si>
  <si>
    <t>Documentos cuyo objetivo es plasmar una visión de futuro a nivel país, entidad territorial, comunidad, sector, región, entidad o cualquier nivel de desagregación que se requiera. Incluye objetivos, estrategias, metas e indicadores</t>
  </si>
  <si>
    <t>020700500</t>
  </si>
  <si>
    <t>0207007</t>
  </si>
  <si>
    <t>Servicio de divulgación en gestión del riesgo de desastres</t>
  </si>
  <si>
    <t>020700700</t>
  </si>
  <si>
    <t>Eventos de divulgación realizados</t>
  </si>
  <si>
    <t>0207012</t>
  </si>
  <si>
    <t>Obras de infraestructura para mitigación y atención a desastres</t>
  </si>
  <si>
    <t>Número de obras de infraestructura</t>
  </si>
  <si>
    <t>020701200</t>
  </si>
  <si>
    <t xml:space="preserve">Obras de infraestructura para mitigación y atención a desastres realizadas </t>
  </si>
  <si>
    <t>0207013</t>
  </si>
  <si>
    <t>Servicios de implementación del plan de gestión del riesgo de desastres y estrategia para la respuesta a emergencias</t>
  </si>
  <si>
    <t>020701300</t>
  </si>
  <si>
    <t>Plan de gestión del riesgo de desastres y estrategia para la respuesta a emergencias implementados</t>
  </si>
  <si>
    <t>0207014</t>
  </si>
  <si>
    <t>Servicio de apoyo financiero para la gestión del riesgo</t>
  </si>
  <si>
    <t>Incluye el servicio de apoyo para la financiación de iniciativas encamindas a la gestión del riesgo</t>
  </si>
  <si>
    <t>Número de proyectos</t>
  </si>
  <si>
    <t>020701400</t>
  </si>
  <si>
    <t xml:space="preserve">Número de proyectos apoyados </t>
  </si>
  <si>
    <t>0207018</t>
  </si>
  <si>
    <t>Servicio de información implementado</t>
  </si>
  <si>
    <t>020701800</t>
  </si>
  <si>
    <t>15</t>
  </si>
  <si>
    <t>Defensa y Policía</t>
  </si>
  <si>
    <t>1506</t>
  </si>
  <si>
    <t>Gestión del riesgo de desastres desde el sector defensa y seguridad</t>
  </si>
  <si>
    <t>1506-1</t>
  </si>
  <si>
    <t>Orientado a desarrollar y ejecutar los procesos de gestión del riesgo al interior del Sector Defensa, como parte del Sistema Nacional de Gestión del Riesgo</t>
  </si>
  <si>
    <t>1506023</t>
  </si>
  <si>
    <t>Servicio de atención a emergencias y desastres</t>
  </si>
  <si>
    <t>Acciones orientadas para dar respuesta a emergencias o desastres de origen natural o antrópico mediante la adquisición de equipos de atención de desastres, búsqueda y rescate; equipos de protección personal nucleares, biológicos, químicos, y radiológicos -NBQR-, equipos para el Manejo de inundaciones, control de incendios, sanidad veterinaria y equipos de alojamiento temporal.</t>
  </si>
  <si>
    <t>Porcentaje de emergencias</t>
  </si>
  <si>
    <t>150602300</t>
  </si>
  <si>
    <t>Emergencias y desastres atendidas</t>
  </si>
  <si>
    <t>25</t>
  </si>
  <si>
    <t>Organismos de control</t>
  </si>
  <si>
    <t>2599</t>
  </si>
  <si>
    <t>Fortalecimiento de la función administrativa y desarrollo institucional</t>
  </si>
  <si>
    <t>2599-1</t>
  </si>
  <si>
    <t xml:space="preserve">Desarrollo de procesos misionales y administrativos de la Personería Municipal </t>
  </si>
  <si>
    <t>El proyecto busca adecuar y fortalecer la organización y misión de la institución</t>
  </si>
  <si>
    <t>Modernizar y fortalecer los procesos misionales y de apoyo de la Personería del municipio de Angelópolis</t>
  </si>
  <si>
    <t>259901</t>
  </si>
  <si>
    <t>Institución con procesos misionales y de apoyo en ejecución</t>
  </si>
  <si>
    <t>Número de instituciones</t>
  </si>
  <si>
    <t>25990101</t>
  </si>
  <si>
    <t>Institución con procesos misionales y de apoyo ejecutados</t>
  </si>
  <si>
    <t>Personería Municipal</t>
  </si>
  <si>
    <t>2201-1</t>
  </si>
  <si>
    <t>Fortalecimiento y desarrollo del programa de alimentación escolar PAE</t>
  </si>
  <si>
    <t>Suministro organizado de un complemento nutricional con alimentos inocuos,  a los niños, niñas, adolescentes y jóvenes matriculados en los establecimiento educativos oficiales y el desarrollo de un conjunto de acciones alimentarias, nutricionales, de salud y de formación, en adecuados hábitos alimenticios y estilos de vida saludable</t>
  </si>
  <si>
    <t>Implementación del programa de alimentación escolar regular para el acceso y permanencia en una educación integral de calidad en el municipio de Angelópolis</t>
  </si>
  <si>
    <t>2201028</t>
  </si>
  <si>
    <t>Servicio de apoyo a la permanencia con alimentación escolar</t>
  </si>
  <si>
    <t>Incluye la implementación de estrategias de alimentación escolar para fortalecer las acciones de retención estudiantil</t>
  </si>
  <si>
    <t>Número de raciones</t>
  </si>
  <si>
    <t>220102800</t>
  </si>
  <si>
    <t>Raciones contratadas</t>
  </si>
  <si>
    <t>220102801</t>
  </si>
  <si>
    <t>Beneficiarios de la alimentación escolar</t>
  </si>
  <si>
    <t>220102802</t>
  </si>
  <si>
    <t>Raciones entregadas</t>
  </si>
  <si>
    <t>2201045</t>
  </si>
  <si>
    <t>Servicios de apoyo financiero a entidades territoriales para la ejecución de estrategias de permanencia con alimentación escolar</t>
  </si>
  <si>
    <t>Corresponde a la entrega de recursos de la Nación a las entidades territoriales para apoyar la implementación de las estrategias de permanencia escolar desarrollados por estas a través de alimentación escolar. </t>
  </si>
  <si>
    <t>220104500</t>
  </si>
  <si>
    <t xml:space="preserve">Raciones cofinanciadas </t>
  </si>
  <si>
    <t>220104501</t>
  </si>
  <si>
    <t>Entidades territoriales apoyadas</t>
  </si>
  <si>
    <t>4001</t>
  </si>
  <si>
    <t>Acceso a soluciones de vivienda (Urbana)</t>
  </si>
  <si>
    <t>4001-1</t>
  </si>
  <si>
    <t>Hábitat y vivienda digna, segura y saludable en el área urbana</t>
  </si>
  <si>
    <t>Orientado a los hogares en condiciones de pobreza, pobreza extrema, desplazada por la violencia, víctimas de desastres naturales, entre otros, que no cuentan con una solución habitacional. Se orienta a disminuir el déficit habitacional urbano del municipio</t>
  </si>
  <si>
    <t>Construcción y mejoramiento de vivienda y hábitat urbano en el municipio de Angelópolis</t>
  </si>
  <si>
    <t>4001014</t>
  </si>
  <si>
    <t>Viviendas de Interés Social urbanas construidas</t>
  </si>
  <si>
    <t>Número de viviendas de interés social urbanas</t>
  </si>
  <si>
    <t>400101400</t>
  </si>
  <si>
    <t>4001015</t>
  </si>
  <si>
    <t>Viviendas de Interés Social urbanas mejoradas</t>
  </si>
  <si>
    <t>400101500</t>
  </si>
  <si>
    <t>4001016</t>
  </si>
  <si>
    <t>Viviendas de Interés Social urbanas construidas en sitio propio</t>
  </si>
  <si>
    <t>400101600</t>
  </si>
  <si>
    <t>4001017</t>
  </si>
  <si>
    <t>Viviendas de Interés Prioritario urbanas construidas</t>
  </si>
  <si>
    <t>Número de viviendas de interés prioritario urbanas</t>
  </si>
  <si>
    <t>400101700</t>
  </si>
  <si>
    <t>4001018</t>
  </si>
  <si>
    <t>Viviendas de Interés Prioritario urbanas mejoradas</t>
  </si>
  <si>
    <t>400101800</t>
  </si>
  <si>
    <t>4001019</t>
  </si>
  <si>
    <t>Viviendas de Interés Prioritario urbanas construidas en sitio propio</t>
  </si>
  <si>
    <t>400101900</t>
  </si>
  <si>
    <t>4301-1</t>
  </si>
  <si>
    <t>Promoción de servicios deportivos, actividad física, deporte social comunitario, intercolegiados y escuelas deportivas</t>
  </si>
  <si>
    <t>Orientado a contribuir a la construcción del tejido social del posconflicto vinculando a las diversas regiones del país a través de la recreación, la actividad física, el deporte social, el deporte formativo y el juego, mediante el desarrollo de estrategias de intervención orientados a todos los segmentos y sectores poblacionales como primera infancia, infancia, adolescencia, juventud, adulto, adulto mayor con enfoque diferencial y en particular a los habitantes de territorios impactados por el conflicto armado en Colombia.</t>
  </si>
  <si>
    <t>Fortalecimiento de los servicios deportivos, la recreación, la actividad física y el deporte social comunitario en el municipio de Angelópolis</t>
  </si>
  <si>
    <t>4301037</t>
  </si>
  <si>
    <t>Servicio de promoción de la actividad física, la recreación y el deporte</t>
  </si>
  <si>
    <t>Aprovechamiento del deporte, la recreación y la actividad física con fines de esparcimiento y desarrollo físico procurando la integración el descanso mediante la realización de actividades deportivas y la promoción de espacios con  la participación comunitaria. Incluye el programa Supérate con la promoción del deporte en niños adolescentes y jóvenes de  los 7 a los 28 años en el territorio nacional a través de competencias deportivas.</t>
  </si>
  <si>
    <t>430103700</t>
  </si>
  <si>
    <t>Personas que acceden a servicios deportivos, recreativos y de actividad física</t>
  </si>
  <si>
    <t>430103703</t>
  </si>
  <si>
    <t>Personas atendidas por los programas de recreación, deporte social comunitario, actividad física y aprovechamiento del tiempo libre</t>
  </si>
  <si>
    <t>4301038</t>
  </si>
  <si>
    <t>Servicio de organización de eventos recreativos comunitarios</t>
  </si>
  <si>
    <t>Corresponde a la planeación, organización y realización de eventos recreativos y de esparcimiento del tiempo libre con la comunidad.</t>
  </si>
  <si>
    <t>430103800</t>
  </si>
  <si>
    <t>Personas beneficiadas</t>
  </si>
  <si>
    <t>430103801</t>
  </si>
  <si>
    <t>Eventos recreativos comunitarios realizados</t>
  </si>
  <si>
    <t>4301001</t>
  </si>
  <si>
    <t>Servicio de apoyo a la actividad física, la recreación y el deporte</t>
  </si>
  <si>
    <t>Dentro del marco de los planes, programas y proyectos de la entidad se entregan diferentes incentivos a los integrantes del sistema nacional deportes y a los participantes o deportistas éstos pueden ser artículos deportivos, artículos tecnológicos, ademas de apoyar financieramente la realización e implementación de los mismos.</t>
  </si>
  <si>
    <t>430100100</t>
  </si>
  <si>
    <t>430100101</t>
  </si>
  <si>
    <t>Estímulos entregados</t>
  </si>
  <si>
    <t>4301007</t>
  </si>
  <si>
    <t>Servicio de Escuelas Deportivas</t>
  </si>
  <si>
    <t>Corresponde a los procesos de iniciación, fundamentación y perfeccionamiento deportivos a partir de  las clases donde se practica la actividad física, la recreación y/o el deporte.</t>
  </si>
  <si>
    <t>Número de niños, niñas, adolescentes y jóvenes</t>
  </si>
  <si>
    <t>430100700</t>
  </si>
  <si>
    <t>Niños, niñas, adolescentes y jóvenes inscritos en Escuelas Deportivas</t>
  </si>
  <si>
    <t>430100703</t>
  </si>
  <si>
    <t>Disciplinas por Escuela Deportiva</t>
  </si>
  <si>
    <t>4301032</t>
  </si>
  <si>
    <t>Servicio de organización de eventos deportivos comunitarios</t>
  </si>
  <si>
    <t>Corresponde a la planeación, organización y realización de eventos deportivos en las diferentes disciplinas con la comunidad.</t>
  </si>
  <si>
    <t>430103200</t>
  </si>
  <si>
    <t>Eventos deportivos comunitarios realizados</t>
  </si>
  <si>
    <t>430103201</t>
  </si>
  <si>
    <t>4301035</t>
  </si>
  <si>
    <t>Servicio de educación informal en recreación</t>
  </si>
  <si>
    <t>Corresponde a la formación a la ciudadanía  en recreación, actividad física, deportes social comunitario y/o aprovechamiento del tiempo libre con enfoque diferencial.</t>
  </si>
  <si>
    <t>430103500</t>
  </si>
  <si>
    <t>Cultura</t>
  </si>
  <si>
    <t>Promoción y acceso efectivo a procesos culturales y artísticos</t>
  </si>
  <si>
    <t>3301-1</t>
  </si>
  <si>
    <t xml:space="preserve">Fomento al acceso, estímulo y promoción de prácticas artísticas y culturales </t>
  </si>
  <si>
    <t>Son las políticas, planes, proyectos y actividades orientadas a fortalecer las condiciones necesarias para el desarrollo, conocimiento, acceso y disfrute de las prácticas artísticas y culturales y de los bienes y servicios, en los diversos contextos territoriales y poblacionales del país, desde la perspectiva de los derechos culturales en un marco de equidad, reconciliación y convivencia.</t>
  </si>
  <si>
    <t>Consolidación y promoción del estímulo y acceso efectivo a procesos y prácticas artístico-culturales en el municipio de Angelópolis</t>
  </si>
  <si>
    <t>3301121</t>
  </si>
  <si>
    <t>Servicios de circulación artística y cultural</t>
  </si>
  <si>
    <t>Corresponde a la generación de condiciones para la creación, gestión, producción, difusión, circulación y apropiación de las prácticas artísticas y contenidos culturales mediáticos. Incluye la creación de obras, coproducciones y la producción y circulación de exhibiciones, de los agentes del sector artístico y cultural, así como la circulación de contenidos culturales mediáticos apoyados por el Ministerio de Cultura.</t>
  </si>
  <si>
    <t>Número de contenidos</t>
  </si>
  <si>
    <t>330112100</t>
  </si>
  <si>
    <t>Contenidos culturales en circulación</t>
  </si>
  <si>
    <t>3301122</t>
  </si>
  <si>
    <t>Servicio de fomento para el acceso de la oferta cultural</t>
  </si>
  <si>
    <t>Beneficios otorgados para que la ciudadanía acceda a la oferta cultural, entre ellos cine.</t>
  </si>
  <si>
    <t>330112200</t>
  </si>
  <si>
    <t>3301126</t>
  </si>
  <si>
    <t>Servicio de apoyo al proceso de formación artística y cultural</t>
  </si>
  <si>
    <t xml:space="preserve">Este servicio está orientado apoyar el proceso de formación artística y cultural a través del equipamiento de instrumentos y elementos propios de cada área (música, teatro, danzas y/o artes plásticas y visuales). </t>
  </si>
  <si>
    <t>Número de procesos de formación</t>
  </si>
  <si>
    <t>330112600</t>
  </si>
  <si>
    <t>Procesos de formación atendidos</t>
  </si>
  <si>
    <t>3301073</t>
  </si>
  <si>
    <t>Servicio de circulación artística y cultural</t>
  </si>
  <si>
    <t>Número de contenidos culturales</t>
  </si>
  <si>
    <t>330107300</t>
  </si>
  <si>
    <t>Contenidos culturales  en circulación</t>
  </si>
  <si>
    <t>3301074</t>
  </si>
  <si>
    <t>Servicio de apoyo para la organización y la participación del sector artístico, cultural y la ciudadanía</t>
  </si>
  <si>
    <t>Generar los mecanismos para la participación de los agentes culturales, artísticos y la ciudadanía en las instancias de participación en cultura (Encuentros Sectoriales, Consejos de Áreas Artísticas y Consejos Nacionales de Cultura) para que hagan parte de los procesos de orientación, construcción y evaluación de políticas y organización sectorial.</t>
  </si>
  <si>
    <t>Número de encuentros</t>
  </si>
  <si>
    <t>330107400</t>
  </si>
  <si>
    <t>Encuentros realizados</t>
  </si>
  <si>
    <t>330107406</t>
  </si>
  <si>
    <t>Encuentros sectoriales de danza realizados</t>
  </si>
  <si>
    <t>3301053</t>
  </si>
  <si>
    <t>Servicio de promoción de actividades culturales</t>
  </si>
  <si>
    <t>Corresponde a la organización y desarrollo de  actividades culturales de carácter patrimonial, literario, artístico, musical, entre otros. También la realización de eventos y actividades con libreros y organizaciones responsables de ferias. Así como actividades culturales para el goce de los ciudadanos.</t>
  </si>
  <si>
    <t>Número de eventos de promoción</t>
  </si>
  <si>
    <t>330105300</t>
  </si>
  <si>
    <t>Eventos de promoción de actividades culturales realizados</t>
  </si>
  <si>
    <t>330105301</t>
  </si>
  <si>
    <t>Actividades culturales para la promoción de la cultura realizadas</t>
  </si>
  <si>
    <t>3301099</t>
  </si>
  <si>
    <t>Servicio de información para el sector artístico y cultural</t>
  </si>
  <si>
    <t>Estructuración de sistemas de información del sector cultural; incluye los sistemas para captura de información para el sector artístico y cultural.</t>
  </si>
  <si>
    <t>Número de sistemasde información</t>
  </si>
  <si>
    <t>330109900</t>
  </si>
  <si>
    <t>Sistema de información del sector artístico y cultural en operación</t>
  </si>
  <si>
    <t>330109902</t>
  </si>
  <si>
    <t>Reportes disponibles con los datos sectoriales</t>
  </si>
  <si>
    <t>Salud y protección social</t>
  </si>
  <si>
    <t>Salud pública y prestación de servicios</t>
  </si>
  <si>
    <t>Realizar las acciones de formulación, adopción, coordinación, ejecución, seguimiento y evaluación de políticas, planes, programas y proyectos del Gobierno Nacional de interés en salud pública.</t>
  </si>
  <si>
    <t>1901-1</t>
  </si>
  <si>
    <t>Atención y protección integral al adulto mayor dentro de las estrategias de salud pública y protección social</t>
  </si>
  <si>
    <t>Orientado a las acciones de formulación, adopción, coordinación, ejecución, seguimiento y evaluación de políticas, planes, programas y proyectos del Gobierno Nacional de interés en salud pública.</t>
  </si>
  <si>
    <t>Diseño y aplicación de estrategias y servicios de atención y protección social integral al adulto mayor del municipio de Angelópolis</t>
  </si>
  <si>
    <t>Servicios de atención y protección integral al adulto mayor</t>
  </si>
  <si>
    <t>De acuerdo con la Ley 1251, estos servicios incluyen aspectos relacionados con: i) protección a la salud y bienestar social; ii) educación, cultura y recreación; iii) entorno físico y social favorable; y iv) productividad</t>
  </si>
  <si>
    <t>Número de adultos mayores</t>
  </si>
  <si>
    <t>190114900</t>
  </si>
  <si>
    <t>Adultos mayores que reciben atención y protección integral</t>
  </si>
  <si>
    <t>190114901</t>
  </si>
  <si>
    <t>Adultos mayores que reciben atención en protección a la salud y bienestar social</t>
  </si>
  <si>
    <t>190114902</t>
  </si>
  <si>
    <t>Adultos mayores que reciben atención en educación, cultura y recreación</t>
  </si>
  <si>
    <t>190114903</t>
  </si>
  <si>
    <t>Adultos mayores que reciben atención en entorno físico y social favorable</t>
  </si>
  <si>
    <t>190114904</t>
  </si>
  <si>
    <t>Adultos mayores que reciben atención en productividad</t>
  </si>
  <si>
    <t>Trabajo</t>
  </si>
  <si>
    <t>Protección social</t>
  </si>
  <si>
    <t>3601-1</t>
  </si>
  <si>
    <t>3601012</t>
  </si>
  <si>
    <t>Servicio de apoyo financiero para el adulto mayor</t>
  </si>
  <si>
    <t>Corresponde a los Subsidios del Programa Colombia Mayor Entregados con los recursos que financia el Programa de Protección Social al Adulto Mayor, hoy Programa Colombia Mayor.</t>
  </si>
  <si>
    <t>Número de subsidios</t>
  </si>
  <si>
    <t>360101200</t>
  </si>
  <si>
    <t>Subsidios del Programa Colombia Mayor entregados</t>
  </si>
  <si>
    <t>360101202</t>
  </si>
  <si>
    <t>1901-2</t>
  </si>
  <si>
    <t>Gestión de la salud pública y la prestación de servicios</t>
  </si>
  <si>
    <t>Formular, adoptar, dirigir, coordinar, ejecutar y evaluar la política pública en materia de salud, salud pública, y promoción social en salud, y participar en la formulación de las políticas en materia de pensiones, beneficios económicos periódicos y riesgos profesionales, lo cual se desarrollará a través de la institucionalidad que comprende el sector administrativo.</t>
  </si>
  <si>
    <t>Fortalecimiento de la gestión en salud pública, autoridad sanitaria y plan territorial de salud en el municipio de Angelópolis</t>
  </si>
  <si>
    <t>1901093</t>
  </si>
  <si>
    <t>Servicio de promoción de la participación social en materia de salud y de seguridad social en salud</t>
  </si>
  <si>
    <t>Incluye el servicio de promoción de la participación social  en materia de salud y seguridad social en salud.</t>
  </si>
  <si>
    <t>Número de personas  de población que participa en el ejercicio pleno de sus deberes y derechos en materia de salud y seguridad social en salud</t>
  </si>
  <si>
    <t>190109300</t>
  </si>
  <si>
    <t>Personas que participan en el ejercicio pleno de sus deberes y derechos en materia de salud y seguridad social en salud</t>
  </si>
  <si>
    <t>1901100</t>
  </si>
  <si>
    <t>Servicios de Salud prestados a población pobre en lo no cubierto por subsidios.</t>
  </si>
  <si>
    <t>Incluye los Servicios de Salud prestados a población pobre en lo no cubierto por subsidios.</t>
  </si>
  <si>
    <t>Número de personas de población pobre con servicios de salud prestados.</t>
  </si>
  <si>
    <t>190110000</t>
  </si>
  <si>
    <t>Personas pobres con servicios de salud prestados.</t>
  </si>
  <si>
    <t>1901007</t>
  </si>
  <si>
    <t>Servicio de promoción social para poblaciones vulnerables</t>
  </si>
  <si>
    <t xml:space="preserve">Incluye los Servicio de promoción social  para poblaciones vulnerables como población indígena, negra,  jefes de cabeza de hogar,  desplazada,  niñez,  de tercera edad </t>
  </si>
  <si>
    <t>190100700</t>
  </si>
  <si>
    <t>Personas atendida en acciones de promoción social  para poblaciones vulnerables</t>
  </si>
  <si>
    <t>1901094</t>
  </si>
  <si>
    <t>Servicio de promoción de planes, programas, estrategias y proyectos municipales en salud y seguridad social</t>
  </si>
  <si>
    <t>Incluye el servicio de promoción de planes, programas, estrategias y proyectos municipales en salud y seguridad social.</t>
  </si>
  <si>
    <t>Número de planes, programas, estrategias y proyectos</t>
  </si>
  <si>
    <t>190109400</t>
  </si>
  <si>
    <t>Planes, programas, estrategias y proyectos municipales en salud y seguridad social.</t>
  </si>
  <si>
    <t>1901136</t>
  </si>
  <si>
    <t>Servicio de divulgación y comunicación de estrategias de salud y promoción social</t>
  </si>
  <si>
    <t>Comprende la divulgación de campañas de comunicación, producción creatividad de piezas de televisión, radio e internet, piezas impresas, carteleras digitales, pauta en medios de comunicación, análisis de cobertura de campañas, información, publicación de boletines de salud y protección social, redes sociales, monitoreo de información publicada en medios de comunicación e implementación de acciones de comunicación</t>
  </si>
  <si>
    <t>Número de campañas</t>
  </si>
  <si>
    <t>190113600</t>
  </si>
  <si>
    <t>Campañas de promoción y prevención producidas</t>
  </si>
  <si>
    <t>1901127</t>
  </si>
  <si>
    <t>Servicio de promoción de modos, condiciones y estilos de vida saludables</t>
  </si>
  <si>
    <t>Inversión de recursos en intervenciones colectivas que promueven la creación o adopción de modos, condiciones y estilos de vida saludables en los entornos cotidianos.</t>
  </si>
  <si>
    <t>190112700</t>
  </si>
  <si>
    <t>Campañas de promoción de modos, condiciones y estilos de vida saludables implementadas</t>
  </si>
  <si>
    <t>1901119</t>
  </si>
  <si>
    <t>Servicio de gestión del riesgo para la prevención y atención integral a problemas y trastornos mentales y sustancias psicoactivas</t>
  </si>
  <si>
    <t>Inversión en recursos para desarrollar acciones de prevención y atención a trastornos mentales y consumo de sustancias psicoactivas, y la prevención de la violencia en los entornos donde las personas crecen, viven, trabajan, se recrean y envejecen</t>
  </si>
  <si>
    <t>190111900</t>
  </si>
  <si>
    <t>Campañas de prevención a problemas y trastornos mentales y sustancias psicoactivas implementadas</t>
  </si>
  <si>
    <t>1901128</t>
  </si>
  <si>
    <t>Servicio de promoción en temas de salud mental y convivencia</t>
  </si>
  <si>
    <t>Inversión orientada a promover acciones, condiciones, capacidades y medios para que los individuos, familias y sociedad en conjunto gocen del nivel mas alto de salud mental y una convivencia social pacifica. incluye generación de entornos, y otros</t>
  </si>
  <si>
    <t>190112800</t>
  </si>
  <si>
    <t>Campañas de promoción en temas de salud mental y convivencia implementadas</t>
  </si>
  <si>
    <t>1901129</t>
  </si>
  <si>
    <t>Servicio de promoción de los derechos sexuales y reproductivos y la equidad de género</t>
  </si>
  <si>
    <t>Recursos que buscan promover acciones y generar condiciones, capacidades y medios para que los individuos, familias y sociedad gocen del nivel mas alto de salud sexual y reproductiva, ejerciendo los derechos sexuales y los derechos reproductivos</t>
  </si>
  <si>
    <t>190112900</t>
  </si>
  <si>
    <t>Campañas de promoción de los derechos sexuales y reproductivos y la equidad de género implementadas</t>
  </si>
  <si>
    <t>1901087</t>
  </si>
  <si>
    <t>Servicio de Información sobre plan territorial de salud</t>
  </si>
  <si>
    <t>Este servicio permite a las entidades territoriales reportar la información de ejecuciones garantizadas de las intervenciones colectivas en la entidad territorial, además de contar con la información de promoción, diseño, operación, análisis y comunicación real y efectiva de los estudios de impacto del Plan Territorial de Salud</t>
  </si>
  <si>
    <t>Porcentaje de ejecuciones</t>
  </si>
  <si>
    <t>190108700</t>
  </si>
  <si>
    <t>Ejecuciones garantizadas de las intervenciones colectivas a nivel municipal.</t>
  </si>
  <si>
    <t>Inspección, vigilancia y control</t>
  </si>
  <si>
    <t>1903-1</t>
  </si>
  <si>
    <t>Acciones de Inspección, Vigilancia y Control ejecutadas bajo el enfoque del riesgo</t>
  </si>
  <si>
    <t>Orientado a la inspección, vigilancia y control de las políticas del Sector Salud y Protección Social, así como la coordinación de procesos participativos con otras entidades que ejercen inspección, vigilancia y control en salud.</t>
  </si>
  <si>
    <t>1903047</t>
  </si>
  <si>
    <t>Servicios de comunicación y divulgación en inspección, vigilancia y control</t>
  </si>
  <si>
    <t>Incluye los procesos para el diseño, producción, difusión y divulgación interna y externa, de las actividades institucionales en cuanto a retos, logros, avances y dificultades. También se incluyen los desarrollos normativos, lineamientos técnicos y demás contenidos que las entidades, en desarrollo de sus actividades misionales, incluyendo lo relativo a derechos y deberes  de los ciudadanos en  temas relevantes del Sistema General de Salud y Seguridad Sanitaria del país.</t>
  </si>
  <si>
    <t>Número de productos</t>
  </si>
  <si>
    <t>190304700</t>
  </si>
  <si>
    <t>Productos de comunicación difundidos</t>
  </si>
  <si>
    <t>1903023</t>
  </si>
  <si>
    <t>Servicio de asistencia técnica en inspección, vigilancia y control</t>
  </si>
  <si>
    <t>Este servicio permite ofrecer la asistencias técnica en Inspección, Vigilancia y Control</t>
  </si>
  <si>
    <t>Número de asistencias técnicas</t>
  </si>
  <si>
    <t>190302300</t>
  </si>
  <si>
    <t>asistencias técnica en Inspección, Vigilancia y Control realizadas</t>
  </si>
  <si>
    <t>1903011</t>
  </si>
  <si>
    <t>Servicio de inspección, vigilancia y control</t>
  </si>
  <si>
    <t>El servicio de inspección, vigilancia y control permite mantener los estándares en las entidades del sector salud</t>
  </si>
  <si>
    <t>Número de visitas</t>
  </si>
  <si>
    <t>190301100</t>
  </si>
  <si>
    <t>visitas realizadas</t>
  </si>
  <si>
    <t xml:space="preserve"> Fortalecimiento de la gestión y dirección del Sector Salud y Protección Social</t>
  </si>
  <si>
    <t>1999-1</t>
  </si>
  <si>
    <t xml:space="preserve">Fortalecimiento de la autoridad sanitaria para la gestión
de la salud </t>
  </si>
  <si>
    <t>Orientado a fortalecer las acciones relacionadas con asuntos gerenciales, administrativos y de política para apoyar el logro de los resultados misionales del sector Salud.</t>
  </si>
  <si>
    <t>1999067</t>
  </si>
  <si>
    <t>Servicios tecnológicos</t>
  </si>
  <si>
    <t>Corresponde al proceso que asegura la disponibilidad del servicio a través de la infraestructura informática tanto de software como de hardware, lo relacionado con seguridad informática; así como la instalación, adecuación y mejoramiento de redes de conectividad y comunicación (LAN, WAN)</t>
  </si>
  <si>
    <t>Porcentaje de capacidad</t>
  </si>
  <si>
    <t>199906700</t>
  </si>
  <si>
    <t>Índice de capacidad en la prestación de servicios de tecnología</t>
  </si>
  <si>
    <t>1708</t>
  </si>
  <si>
    <t>Ciencia, tecnología e innovación agropecuaria</t>
  </si>
  <si>
    <t>Favorecer la innovación, extensionismo, transferencia de tecnología y asistencia técnica agropecuaria que permita incrementar la productividad de los sistemas agropecuarios de forma ambiental y económicamente sostenibles</t>
  </si>
  <si>
    <t>1708-1</t>
  </si>
  <si>
    <t>Transferencia de tecnología, innovación, extensión y asistencia técnica agropecuaria</t>
  </si>
  <si>
    <t>Orientado a las acciones e intervenciones que buscan dar respuesta a demandas tecnológicas y de investigación para mejorar procesos productivos, incluidas estrategias de transferencia, extensionismo y/o asistencia técnica agropecuaria integral</t>
  </si>
  <si>
    <t>Servicio de extensión, asistencia técnica agropecuaria y apoyo para pequeños productores, proyectos productivos y unidades productivas del municipio de Angelópolis</t>
  </si>
  <si>
    <t>1708038</t>
  </si>
  <si>
    <t>Servicio de asistencia técnica agropecuaria</t>
  </si>
  <si>
    <t>Atención integral a productores agrícolas, pecuarios, forestales y acuícolas o pesqueros en: Aptitud de suelos; Tecnologías y recursos para actividad productiva; Procedimientos para acceder al financiamiento; Mercadeo; organización de productores y Dotación de infraestructura productiva.</t>
  </si>
  <si>
    <t>Número de productores</t>
  </si>
  <si>
    <t>170803800</t>
  </si>
  <si>
    <t>Productores atendidos con asistencia técnica agropecuaria</t>
  </si>
  <si>
    <t>(UMATA)
Secretaría de Planeación y Desarrollo Territorial</t>
  </si>
  <si>
    <t>1708040</t>
  </si>
  <si>
    <t>Servicio de divulgación de transferencia de tecnología</t>
  </si>
  <si>
    <t>170804000</t>
  </si>
  <si>
    <t>Productores beneficiados con transferencia de tecnología</t>
  </si>
  <si>
    <t>1708047</t>
  </si>
  <si>
    <t>Servicio de Educación Informal en Extensión Agropecuaria</t>
  </si>
  <si>
    <t>El Servicio de Capacitación de Extensión Agropecuaria busca certificar al personal de las Entidades Prestadoras de Servicios Agropecuarias (EPSEA) en extensión agropecuaria y competencias laborales.</t>
  </si>
  <si>
    <t>Número de capacitaciones</t>
  </si>
  <si>
    <t>170804700</t>
  </si>
  <si>
    <t>Capacitaciones realizadas  en Extensión Agropecuaria</t>
  </si>
  <si>
    <t>1702</t>
  </si>
  <si>
    <t>Inclusión productiva de pequeños productores rurales</t>
  </si>
  <si>
    <t>Contribuir a la inclusión socio productiva del campesinado con el fortalecimiento de las capacidades para la participación en planes de abastecimiento local y emprendimientos sostenibles. buscando la creación y fortalecimiento de la asociatividad y la vinculación a cadenas productivas y el aprovechamiento de las diferentes potencialidades productivas del municipio</t>
  </si>
  <si>
    <t>1702-1</t>
  </si>
  <si>
    <t xml:space="preserve">Inclusión socio-productiva a los productores rurales, productividad y competitividad rural </t>
  </si>
  <si>
    <t>Orientado a las intervenciones integrales para el mejoramiento de las capacidades productivas, organización, acceso a activos y mercados; conducentes a la generación de ingresos sostenibles de pequeños productores rurales y campesinos</t>
  </si>
  <si>
    <t>1702007</t>
  </si>
  <si>
    <t>Servicio de apoyo financiero para proyectos productivos</t>
  </si>
  <si>
    <t>Subsidio o cofinanciación para el establecimiento o fortalecimiento de proyectos productivos agropecuarios.</t>
  </si>
  <si>
    <t>170200700</t>
  </si>
  <si>
    <t>Proyectos productivos cofinanciados</t>
  </si>
  <si>
    <t>1702011</t>
  </si>
  <si>
    <t>Servicio de asesoría para el fortalecimiento de la asociatividad</t>
  </si>
  <si>
    <t>Acompañamiento a asociaciones de productores ya conformadas o en proceso de conformación en temas administrativos y de organización.</t>
  </si>
  <si>
    <t>Número de asociaciones</t>
  </si>
  <si>
    <t>170201100</t>
  </si>
  <si>
    <t>Asociaciones fortalecidas</t>
  </si>
  <si>
    <t>1702012</t>
  </si>
  <si>
    <t>Servicio de educación informal en temas administrativos y de gestión financiera a pequeños productores</t>
  </si>
  <si>
    <t>Número de formas</t>
  </si>
  <si>
    <t>170201200</t>
  </si>
  <si>
    <t xml:space="preserve">Formas organizativas capacitadas </t>
  </si>
  <si>
    <t>1702025</t>
  </si>
  <si>
    <t>Servicio de apoyo en la formulación y estructuración de proyectos</t>
  </si>
  <si>
    <t>Acompañamiento a los diferentes esquemas asociativos en la estructuración de Proyectos integrales de desarrollo agropecuario y rural de tipo estratégicos, territoriales y asociativos priorizados.</t>
  </si>
  <si>
    <t>170202500</t>
  </si>
  <si>
    <t>Proyectos estructrurados</t>
  </si>
  <si>
    <t>1702026</t>
  </si>
  <si>
    <t>Servicio de divulgación</t>
  </si>
  <si>
    <t>Acciones relacionadas con la difusión y socialización de los servicios de la Agencia asociados a la formulación de planes y proyectos integrales de desarrollo agropecuario y rural.</t>
  </si>
  <si>
    <t>170202600</t>
  </si>
  <si>
    <t>Estrategias de divulgación implementadas</t>
  </si>
  <si>
    <t>1702021</t>
  </si>
  <si>
    <t>Servicio de acompañamiento productivo y empresarial</t>
  </si>
  <si>
    <t>Incluye la identificación del estado de los procesos productivos y definición de planes de mejoramiento de alianzas productivas ejecutadas.</t>
  </si>
  <si>
    <t>Número de unidades productivas</t>
  </si>
  <si>
    <t>170202100</t>
  </si>
  <si>
    <t>Unidades productivas beneficiadas</t>
  </si>
  <si>
    <t>4101</t>
  </si>
  <si>
    <t>Atención, asistencia  y reparación integral a las víctimas</t>
  </si>
  <si>
    <t>Garantizar el reconocimiento de los individuos, familias o colectividades que se han visto afectados por los diferentes hechos victimizantes; así como el goce efectivo de los derechos de las víctimas, y con ello, que esta población supere la situación de vulnerabilidad socioeconómica (en el caso de víctimas de desplazamiento forzado) y sea reparada integralmente por el daño sufrido.</t>
  </si>
  <si>
    <t>4101-1</t>
  </si>
  <si>
    <t>Política local de prevención, protección, atención, asistencia y reparación integral a las víctimas del conflicto armado</t>
  </si>
  <si>
    <t>Orientado a atender, brindar asistencia y reparación integral a las víctimas de conflicto armado interno.</t>
  </si>
  <si>
    <t>Fortalecimiento del servicio de registro, atención, asistencia y reparación integral de víctimas en el municipio de Angelópolis</t>
  </si>
  <si>
    <t>4101035</t>
  </si>
  <si>
    <t>Servicio de coordinación y fortalecimiento a las entidades del Sistema Nacional de Atención y Reparación Integral a Víctimas</t>
  </si>
  <si>
    <t>Mediante los cuales se trabaja en el fortalecimiento y coordinación de las entidades nacionales y territoriales que conforman el Sistema Nacional de Atención y Reparación Integral a las Víctimas, las cuales deben trabajar de forma conjunta en la atención a las víctimas y la garantía de sus derechos.</t>
  </si>
  <si>
    <t>410103500</t>
  </si>
  <si>
    <t>Entidades certificadas</t>
  </si>
  <si>
    <t>4101023</t>
  </si>
  <si>
    <t>Servicio de orientación y comunicación a las víctimas</t>
  </si>
  <si>
    <t>Servicio desarrollados para brindar atención, comunicación y orientación a las víctimas a través de los diferentes canales que dispone la Unidad para la Atención a las victimas.</t>
  </si>
  <si>
    <t>Número de solicitudes</t>
  </si>
  <si>
    <t>410102300</t>
  </si>
  <si>
    <t>Solicitudes tramitadas</t>
  </si>
  <si>
    <t>4101031</t>
  </si>
  <si>
    <t>Servicios de implementaciónde medidas de satisfacción y acompañamiento a las víctimas del conflicto armado</t>
  </si>
  <si>
    <t>Acciones concertadas de dignificación, reconocimiento y conmemoración a víctimas del conflicto armado. Incluye reconocimiento de víctima ante la comunidad y el ofensor; reconocimiento de responsabilidad de los hechos y solicitudes de perdón; homenajes y actos conmemorativos; monumentos; apoyo a reconstrucción del movimiento y tejido social; difusión del relato de víctimas;  apoyo psicosocial en entrega de restos a familiares de víctimas de desaparición forzada</t>
  </si>
  <si>
    <t>Número de víctimas</t>
  </si>
  <si>
    <t>410103100</t>
  </si>
  <si>
    <t>Víctimas reconocidas, recordadas y dignificadas por el Estado.</t>
  </si>
  <si>
    <t>4101038</t>
  </si>
  <si>
    <t>Servicio de asistencia técnica para la participación de las víctimas</t>
  </si>
  <si>
    <t>Orientados a generar mecanismos mediante los cuales las víctimas tengan participación conjunta y activa en la determinación de las medidas y programas que se desarrollan en su proceso de atención y reparación.</t>
  </si>
  <si>
    <t>410103800</t>
  </si>
  <si>
    <t>Eventos de participación realizados</t>
  </si>
  <si>
    <t>4101044</t>
  </si>
  <si>
    <t>Servicio de información para el registro, atención, asistencia y reparación integral a víctimas</t>
  </si>
  <si>
    <t>Establece los procesos y procedimientos que permiten la interoperabilidad, trazabilidad y  flujo eficiente de información entre las entidades del Sistema Nacional de Atención y Reparación Integral a las Víctimas en el orden nacional y territorial, organismos de cooperación internacional, sociedad civil, organizaciones de víctimas, y otras entidades estatales. Incluye el Registro Único de Víctimas</t>
  </si>
  <si>
    <t>410104400</t>
  </si>
  <si>
    <t>Víctimas incluidas en el Registro Único de Víctimas</t>
  </si>
  <si>
    <t>4101063</t>
  </si>
  <si>
    <t>Servicios de asistencia técnica para la articulación interinstitucional en la implementación de la polìtica pública para las víctimas</t>
  </si>
  <si>
    <t>Corresponde a los planes de acción de los subcomités y plan marco de implementación de los acuerdos que respondan al cumplimiento de la ley de víctimas</t>
  </si>
  <si>
    <t>Número de planes de acción articulados</t>
  </si>
  <si>
    <t>410106300</t>
  </si>
  <si>
    <t>Planes de acción articulados</t>
  </si>
  <si>
    <t>Política macroeconómica y fiscal</t>
  </si>
  <si>
    <t>Coordinación y regulación de la política macroeconómica y definición, formulación y ejecución de la política fiscal.</t>
  </si>
  <si>
    <t>1301-1</t>
  </si>
  <si>
    <t>Gestión tributaria, contable y financiera</t>
  </si>
  <si>
    <t>Asegurar una eficiente preparación y presentación de la información tributaria, administrativa, contable y financiera de la administración pública del municipio de Angelópolis.</t>
  </si>
  <si>
    <t>Fortalecimiento del servicio y gestión tributaria, contable, financiera y de sus aplicativos tecnológicos, en el municipio de Angelópolis</t>
  </si>
  <si>
    <t>1301005</t>
  </si>
  <si>
    <t>Servicio de divulgación deen materia fiscal y financiera</t>
  </si>
  <si>
    <t>Capacitaciones brindadas en fortalecimiento de las acciones aplicadas en el marco de las competencias de la Dirección General de Apoyo Fiscal (La Dirección General de Apoyo Fiscal )</t>
  </si>
  <si>
    <t>Número de asesorías y capacitaciones</t>
  </si>
  <si>
    <t>130100500</t>
  </si>
  <si>
    <t>Asesorías y capacitaciones  realizados</t>
  </si>
  <si>
    <t>1301006</t>
  </si>
  <si>
    <t>Servicios de asistencia técnica en materia fiscal y financiera</t>
  </si>
  <si>
    <t>Servicios ofertados en el marco de las competencias de la La Dirección General de Apoyo Fiscal .</t>
  </si>
  <si>
    <t>Número de entidades territoriales</t>
  </si>
  <si>
    <t>130100600</t>
  </si>
  <si>
    <t>Entidades Territoriales Capacitadasen Temas Financieros Y Tributarios</t>
  </si>
  <si>
    <t>1301007</t>
  </si>
  <si>
    <t>Servicios de información y gestión misionales fortalecidos</t>
  </si>
  <si>
    <t xml:space="preserve">Puesta en marcha de mecanismos que soportan la ejecución de actividades misionales. Sistemas misionales como el Sistema Integrado de Información Financiera </t>
  </si>
  <si>
    <t>número de soluciones informáticas implementadas</t>
  </si>
  <si>
    <t>130100700</t>
  </si>
  <si>
    <t>Soluciones informáticas implementadas</t>
  </si>
  <si>
    <t>1301010</t>
  </si>
  <si>
    <t>Corresponde al proceso que asegura la disponibilidad del servicio a través de la infraestructura informática tanto de software como de hardware, y lo relacionado con seguridad informática.</t>
  </si>
  <si>
    <t>130101000</t>
  </si>
  <si>
    <t>Índice de prestación de servicios</t>
  </si>
  <si>
    <t>Salud y Protección Social</t>
  </si>
  <si>
    <t>1901-3</t>
  </si>
  <si>
    <t xml:space="preserve">
Sistema de seguridad y salud en el trabajo</t>
  </si>
  <si>
    <t>Lograr una a adecuada administración de los riesgos en el enfoque de Seguridad y Salud  en el Trabajo –SST  que permita  mantener el control permanente de los mismos  en las diferentes  ocupaciones contribuyendo al bienestar físico, mental y social del trabajador</t>
  </si>
  <si>
    <t>Fortalecimiento del servicio de promoción e implementación del sistema de seguridad y salud en el trabajo, en el municipio de Angelópolis</t>
  </si>
  <si>
    <t>1901122</t>
  </si>
  <si>
    <t>Servicio de gestión del riesgo para abordar situaciones prevalentes de origen laboral</t>
  </si>
  <si>
    <t>Inversión en acciones para evidenciar la carga de la enfermedad relacionada con la salud y bienestar de todos los trabajadores. Permite anticipar, conocer, evaluar y controlar los riesgos que pueden afectar la seguridad y salud en el trabajo</t>
  </si>
  <si>
    <t>190112200</t>
  </si>
  <si>
    <t>Campañas de gestión del riesgo para abordar situaciones prevalentes de origen laboral implementadas</t>
  </si>
  <si>
    <t>Sistema de seguridad y salud en el trabajo</t>
  </si>
  <si>
    <t>190112201</t>
  </si>
  <si>
    <t>Estrategias de gestión del riesgo para abordar situaciones prevalentes de origen laboral diseñadas</t>
  </si>
  <si>
    <t>1901123</t>
  </si>
  <si>
    <t>Servicio de gestión del riesgo para enfermedades emergentes, reemergentes y desatendidas</t>
  </si>
  <si>
    <t>Inversión en prevención y control de las enfermedades infecciosas emergentes, re-emergentes y desatendidas; como prevención y atención de infección respiratoria aguda, y otras enfermedades emergentes, reemergentes y desatendidas</t>
  </si>
  <si>
    <t>190112300</t>
  </si>
  <si>
    <t>Campañas de gestión del riesgo para enfermedades emergentes, reemergentes y desatendidas implementadas</t>
  </si>
  <si>
    <t>1901130</t>
  </si>
  <si>
    <t>Servicio de promoción en temas seguridad y salud en el trabajo</t>
  </si>
  <si>
    <t>Inversión en acciones poblacionales para desarrollar capacidades, crear entornos saludables y acciones sectoriales, intersectoriales y comunitarias para reducir inequidades y a la afectación de los determinantes sociales de la salud de la población</t>
  </si>
  <si>
    <t>190113000</t>
  </si>
  <si>
    <t>Campañas de promoción en temas seguridad y salud en el trabajo implementadas</t>
  </si>
  <si>
    <t>190113001</t>
  </si>
  <si>
    <t>Estrategias de promoción en temas seguridad y salud en el trabajo diseñadas</t>
  </si>
  <si>
    <t>Mejorar la capacidad institucional de la Entidad territorial con asistencia técnica y herramientas para consolidar una gestión pública moderna, eficiente y transparente enfocada a fortalecer el sistema de empleo público, el servicio al ciudadano, el control social y los mecanismos de participación para mejorar los niveles de productividad y eficiencia del Estado.</t>
  </si>
  <si>
    <t>0505-2</t>
  </si>
  <si>
    <t>Gestión pública moderna, eficiente y transparente</t>
  </si>
  <si>
    <t xml:space="preserve">Lineamientos estratégicos y políticas de empleo público y de gestión del talento humano del Estado, en materia de planeación, ingreso, permanencia, estímulos, evaluación y retiro de los servidores públicos, la gerencia pública, los procesos meritocráticos y los bancos de gerentes; fortalecimiento de las habilidades, conocimientos y competencias de los gerentes públicos a nivel nacional y territorial. </t>
  </si>
  <si>
    <t>Fortalecimiento del Sistema de Control Interno de la entidad central en el municipio de Angelópolis</t>
  </si>
  <si>
    <t>0505037</t>
  </si>
  <si>
    <t>Sistema de Control Interno</t>
  </si>
  <si>
    <t xml:space="preserve">El control interno es un conjunto de elementos interrelacionados, donde intervienen todos los servidores en las entidades, como responsables del control en el ejercicio de sus actividades; el control interno busca garantizar razonablemente el cumplimiento de los objetivos institucionales y la contribución de éstos a los fines esenciales del Estado. Se prestarán servicios de asesoría tanto de forma presencial o haciendo uso de otros canales, con el objetivo de mejorar la implementación de controles y la gestión del riesgo. </t>
  </si>
  <si>
    <t>050503700</t>
  </si>
  <si>
    <t>Entidades con sistema de control interno implementado y fortalecido</t>
  </si>
  <si>
    <t>050503701</t>
  </si>
  <si>
    <t>Avance del índice de madurez en la implementación y sostenimiento del Sistema de Control Interno</t>
  </si>
  <si>
    <t>Justicia y del Derecho</t>
  </si>
  <si>
    <t>Sistema penitenciario y carcelario en el marco de los derechos humanos</t>
  </si>
  <si>
    <t>1206-1</t>
  </si>
  <si>
    <t xml:space="preserve">Servicios básicos para la población privada de la libertad </t>
  </si>
  <si>
    <t>Incluye la atención básica y rehabilitación para la población privada de la libertad en el marco de los derechos humanos.</t>
  </si>
  <si>
    <t>Fortalecimiento del servicio de bienestar y transporte a la población privada de libertad en el municipio de Angelópolis</t>
  </si>
  <si>
    <t>1206007</t>
  </si>
  <si>
    <t>Servicio de bienestar a la población privada de libertad</t>
  </si>
  <si>
    <t>Hace referencia a los diferentes Servicio de bienestar que reciben las personas privadas de la libertad</t>
  </si>
  <si>
    <t>Personas privadas de la libertad con Servicio de bienestar</t>
  </si>
  <si>
    <t>Personas privadas de la libertad (PPL) con servicio de alimentación</t>
  </si>
  <si>
    <t>Minas y Energía</t>
  </si>
  <si>
    <t>Consolidación productiva del sector minero</t>
  </si>
  <si>
    <t>Mejorar las condiciones de competitividad de la cadena de producción del sector minero</t>
  </si>
  <si>
    <t>2104-1</t>
  </si>
  <si>
    <t>Minería y servicios asociados sustentables</t>
  </si>
  <si>
    <t>Promoción de la explotación en áreas mineras: incluye los procedimientos en temas técnicos, operativos, ambientales y administrativos que promuevan la explotación de minerales.</t>
  </si>
  <si>
    <t>Servicio de apoyo a la consolidación productiva y desarrollo ambiental sustentable del sector minero en el municipio de Angelópolis</t>
  </si>
  <si>
    <t>2104010</t>
  </si>
  <si>
    <t>Servicio de educación para el trabajo en actividades mineras</t>
  </si>
  <si>
    <t>Formación a mineros y autoridades en contenidos ambientales, sociales, normativos y empresariales. Incluye temas como seguridad en el trabajo, buenas prácticas,  normatividad y regulación minera, así como técnicas adecuadas para desempeñar las actividades de minería. Puede incluir temas de tecnologías limpias cuando corresponda a un componente de capacitación integral en temas de minería.</t>
  </si>
  <si>
    <t>210401001</t>
  </si>
  <si>
    <t>Capacitaciones realizadas</t>
  </si>
  <si>
    <t>2104015</t>
  </si>
  <si>
    <t>Servicio de atención de emergencias mineras</t>
  </si>
  <si>
    <t>Consiste en la realización de acciones de rescate y prestación de ayuda en minas afectadas por incendios, derrumbes, inundaciones, atmósferas irrespirables, explosiones, emergencias eléctricas, mecánicas y caídas de altura, en donde se presenten vidas humanas en peligro.</t>
  </si>
  <si>
    <t>Número de emergencias mineras</t>
  </si>
  <si>
    <t>210401500</t>
  </si>
  <si>
    <t>Emergencias mineras atendidas</t>
  </si>
  <si>
    <t>2104021</t>
  </si>
  <si>
    <t>Servicio de asistencia técnica para la reconversión socio laboral de personas dedicadas a la minería</t>
  </si>
  <si>
    <t>Mediante los cuales se brinda asistencia técnica para desarrollar proyectos productivos alternos a la minería con el fin de apoyar a los mineros que se dedican a esta actividad para su reconversión a otras actividades económicas.</t>
  </si>
  <si>
    <t>210402100</t>
  </si>
  <si>
    <t>Personas asistidas técnicamente</t>
  </si>
  <si>
    <t>2104018</t>
  </si>
  <si>
    <t>Servicio de asistencia técnica para la regularización de las actividades mineras</t>
  </si>
  <si>
    <t>Corresponde a las acciones mediante las cuales se busca fortalecer la pequeña minería, eliminar el trabajo infantil de la actividad minera e incluir a los productores mineros en los programas de minería bien hecha (condiciones técnicas mínimas establecidas por Ley, en términos de operación, seguridad e higiene minera, seguridad industrial, entre otras).</t>
  </si>
  <si>
    <t>Número de unidades productivas mineras</t>
  </si>
  <si>
    <t>210401800</t>
  </si>
  <si>
    <t>Unidades productivas mineras beneficiarias de asistencia técnica para regularización</t>
  </si>
  <si>
    <t>2104004</t>
  </si>
  <si>
    <t>Servicio de asistencia técnica en actividades de explotación minera de pequeña y mediana escala</t>
  </si>
  <si>
    <t xml:space="preserve">Destinada a las unidades de producción minera  amparadas con títulos que requieren apoyo especializado en temas empresariales y técnicos mineros ambientales. </t>
  </si>
  <si>
    <t>Número de unidades de producción minera</t>
  </si>
  <si>
    <t>210400400</t>
  </si>
  <si>
    <t>Unidades de producción minera asistidas técnicamente</t>
  </si>
  <si>
    <t>Desarrollo ambiental sostenible del sector minero energético</t>
  </si>
  <si>
    <t>Disminuir los impactos ambientales derivados de las actividades minero energéticas y el uso de combustibles fósiles</t>
  </si>
  <si>
    <t>2105-1</t>
  </si>
  <si>
    <t>2105019</t>
  </si>
  <si>
    <t>Servicio de asistencia técnica en el manejo socio ambiental en las actividades mineras</t>
  </si>
  <si>
    <t>Servicio mediante el cual se realiza acciones de acercamiento, comunicación, diálogo y asistencia técnica a los mineros y actores institucionales en el territorio nacional para la prevención y mitigación de los conflictos socio ambientales.</t>
  </si>
  <si>
    <t>210501900</t>
  </si>
  <si>
    <t>Sector Defensa y Policía</t>
  </si>
  <si>
    <t>Capacidades de la Policía Nacional en seguridad pública, prevención, convivencia y seguridad ciudadana</t>
  </si>
  <si>
    <t xml:space="preserve">Desarrollar y/o sostener las capacidades de la Policía Nacional para mantener las condiciones necesarias para el ejercicio de los derechos y libertades públicas. </t>
  </si>
  <si>
    <t>1501-1</t>
  </si>
  <si>
    <t>Soporte, apoyo tecnológico y logístico a la actividad policial</t>
  </si>
  <si>
    <t>Recursos asociados a fortalecer todos los elementos que sirven como soporte, apoyo tecnológico y logístico a la actividad policial, incluyendo salud operacional.</t>
  </si>
  <si>
    <t>Fortalecimiento de la fuerza pública en el desarrollo de estrategias de seguridad y convivencia ciudadana en el municipio de Angelópolis</t>
  </si>
  <si>
    <t>1501005</t>
  </si>
  <si>
    <t>Servicio de apoyo financiero para la atención de actividades de seguridad y órden público</t>
  </si>
  <si>
    <t>Números de organismos</t>
  </si>
  <si>
    <t>150100500</t>
  </si>
  <si>
    <t>Organismos de seguridad apoyados financieramente</t>
  </si>
  <si>
    <t>150100501</t>
  </si>
  <si>
    <t>Organismos de seguridad dotados</t>
  </si>
  <si>
    <t>Sanidad Ambiental</t>
  </si>
  <si>
    <t>1904-1</t>
  </si>
  <si>
    <t>Dimensión de salud ambiental</t>
  </si>
  <si>
    <t xml:space="preserve">Orientado a la gestión para el mejoramiento de la salud ambiental en el territorio urbano y rural </t>
  </si>
  <si>
    <t>Desarrollo y gestión para el mejoramiento de la salud ambiental en el municipio de Angelópolis</t>
  </si>
  <si>
    <t>1904017</t>
  </si>
  <si>
    <t>Servicio de asistencia funeraria</t>
  </si>
  <si>
    <t>Corresponde a un auxilio para gastos y servicios exequiales ante la pérdida de un ser querido</t>
  </si>
  <si>
    <t>190401700</t>
  </si>
  <si>
    <t>Personas beneficiadas con el servicio de asistencia funeraria</t>
  </si>
  <si>
    <t>Asistencia, promoción y prevención en Salud en el marco del plan de contingencia ante el COVID-19 en el municipio de Angelópolis</t>
  </si>
  <si>
    <t>Construcción y Rehabilitación de vías y andenes urbanos en el Municipio de Angelópolis</t>
  </si>
  <si>
    <t>Vía urbana rehabilitada</t>
  </si>
  <si>
    <t>Incluye las intervenciones vías urbanas para devolverlas al estado inicial para la cual fueron construidas.</t>
  </si>
  <si>
    <t>Kilómetros de vías urbanas</t>
  </si>
  <si>
    <t>240211600</t>
  </si>
  <si>
    <t xml:space="preserve">Vía urbana rehabilitada </t>
  </si>
  <si>
    <t>Prestación de servicios de transporte público de pasajeros</t>
  </si>
  <si>
    <t>Andenes de la red urbana construidos</t>
  </si>
  <si>
    <t>Metros lineales de andenes</t>
  </si>
  <si>
    <t>240802900</t>
  </si>
  <si>
    <t>Andenes construidos</t>
  </si>
  <si>
    <t>Andenes de la red urbana rehabilitados</t>
  </si>
  <si>
    <t>240803000</t>
  </si>
  <si>
    <t xml:space="preserve">Andenes rehabilitados </t>
  </si>
  <si>
    <t>Adecuación y mejoramiento de la unidad deportiva urbana Rodrigo Mejía en el municipio de   Angelópolis</t>
  </si>
  <si>
    <t>Mejoramiento  y Mantenimiento de caminos ancestrales en el municipio de  Angelópolis</t>
  </si>
  <si>
    <t>Adecuación de la E.S.E Hospital La Misericordia del Municipio de   Angelópolis</t>
  </si>
  <si>
    <t>Construcción y mantenimiento de unidades y sistemas de saneamiento básico en el municipio de Angelópolis</t>
  </si>
  <si>
    <t>2599-2</t>
  </si>
  <si>
    <t xml:space="preserve">Desarrollo de procesos misionales y administrativos del Concejo Municipal </t>
  </si>
  <si>
    <t>El proyecto busca adecuar y fortalecer la organización y misión de la Institución</t>
  </si>
  <si>
    <t>Fortalecimiento de los procesos misionales y de apoyo del Concejo Municipal del municipio de Angelópolis</t>
  </si>
  <si>
    <t>Concejo Municipal</t>
  </si>
  <si>
    <t>Ambiente y Desarrollo Sostenible</t>
  </si>
  <si>
    <t>Creemos en Angelópolis Sostenible y territorialmente ordenado</t>
  </si>
  <si>
    <t xml:space="preserve">Mejorar la relación ser humano, medio ambiente y su entorno, mediante la recuperación, conservación y preservación integralmente del ecosistema, con gestión, educación ambiental, mantenimiento, restauración y protección de las áreas de interés hídrico. </t>
  </si>
  <si>
    <t>3202-1</t>
  </si>
  <si>
    <t>Conservación de la biodiversidad y sus servicios ecosistémicos</t>
  </si>
  <si>
    <t>Promover la conservación y la restauración ecológica de ecosistemas estratégicos para garantizar su oferta</t>
  </si>
  <si>
    <t>Conservación y restauración ecológica de ecosistemas estratégicos en el municipio de Angelópolis</t>
  </si>
  <si>
    <t>Servicio de asistencia técnica relacionado con calidad, uso y planificación del recurso hídrico</t>
  </si>
  <si>
    <t xml:space="preserve">Incluye el acompañamiento a las entidades territoriales y a las autoridades ambientales en la difusión de herramientas para la gestión integral del recurso hídrico </t>
  </si>
  <si>
    <t>Número de talleres</t>
  </si>
  <si>
    <t>320300600</t>
  </si>
  <si>
    <t xml:space="preserve">Talleres realizados </t>
  </si>
  <si>
    <t>UMATA</t>
  </si>
  <si>
    <t>Servicio de caracterización de la calidad del agua</t>
  </si>
  <si>
    <t>Incluye la medición de la oferta y demanda de agua en detalle suficiente para asignar eficientey eficazmente el recurso hídrico a nivel de cuencas priorizadas aguas superficiales, subterráneas y marino costeras.</t>
  </si>
  <si>
    <t>320300900</t>
  </si>
  <si>
    <t>Documento con análisis de la calidad del recurso hídrico</t>
  </si>
  <si>
    <t>Servicio de seguimiento a los procesos de ordenación y manejo de cuencas hidrográficas</t>
  </si>
  <si>
    <t>Corresponde a sesiones de trabajo para la toma de decisiones, constatar y exigir  el cumplimiento entorno a la formulación  e implementación de instrumentos técnicos y normativos en relación con la Ordenación y Manejo Cuencas </t>
  </si>
  <si>
    <t>Número de reportes</t>
  </si>
  <si>
    <t>320303000</t>
  </si>
  <si>
    <t xml:space="preserve">Reportes de avance de la formulación e implementación de los procesos de Ordenación y Manejo Cuencas </t>
  </si>
  <si>
    <t>0204</t>
  </si>
  <si>
    <t>Desarrollo Integral de Niños, Niñas, Adolescentes, Juventud y sus Familias</t>
  </si>
  <si>
    <t>Consolidar políticas y proyectos encaminados a promover el respeto, reconocimiento, exigibilidad y ejercicio de los derechos de las niñas, niños y adolescentes y sus familias en el municipio, fomentando espacios para su desarrollo e inclusión dentro del proceso de construcción social del territorio.</t>
  </si>
  <si>
    <t>0204-1</t>
  </si>
  <si>
    <t>Creemos en Angelópolis por la juventud, con la juventud y para la juventud</t>
  </si>
  <si>
    <t>Promover el desarrollo integral de los jóvenes del municipio de Angelópolis en el contexto social, económico e institucional con miras a su fortalecimiento humano, personal y profesional; con fundamento en la Ley 1622 de 2013.</t>
  </si>
  <si>
    <t>Implementación de acciones que impulsen el desarrollo integral de las y los jóvenes del municipio de  Angelópolis</t>
  </si>
  <si>
    <t>0204015</t>
  </si>
  <si>
    <t>Servicio de apoyo para la implementación de estrategias que promuevan el desarrollo de los jóvenes</t>
  </si>
  <si>
    <t>Coordinar la estructuración, definición y socialización de estrategias que incentiven el desarrollo de los jóvenes, así como apoyar técnica y financieramente su implementación y procesos de seguimiento y control.</t>
  </si>
  <si>
    <t>020401500</t>
  </si>
  <si>
    <t>Estrategias implementadas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</si>
</sst>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
  </numFmts>
  <fonts count="5" x14ac:knownFonts="1">
    <font>
      <sz val="11"/>
      <color theme="1"/>
      <name val="Calibri"/>
      <family val="2"/>
      <scheme val="minor"/>
    </font>
    <font>
      <b/>
      <sz val="11"/>
      <color theme="0"/>
      <name val="Times New Roman"/>
      <family val="1"/>
    </font>
    <font>
      <b/>
      <sz val="11"/>
      <color theme="1"/>
      <name val="Times New Roman"/>
      <family val="1"/>
    </font>
    <font>
      <sz val="11"/>
      <color theme="1"/>
      <name val="Times New Roman"/>
      <family val="1"/>
    </font>
    <font>
      <sz val="11"/>
      <name val="Times New Roman"/>
      <family val="1"/>
    </font>
  </fonts>
  <fills count="9">
    <fill>
      <patternFill patternType="none"/>
    </fill>
    <fill>
      <patternFill patternType="gray125"/>
    </fill>
    <fill>
      <patternFill patternType="solid">
        <fgColor theme="5" tint="-0.49998474074526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0000"/>
        <bgColor indexed="64"/>
      </patternFill>
    </fill>
    <fill>
      <patternFill patternType="solid">
        <fgColor theme="5" tint="0.79998168889431442"/>
        <bgColor indexed="64"/>
      </patternFill>
    </fill>
    <fill>
      <patternFill patternType="solid">
        <fgColor theme="7" tint="0.79998168889431442"/>
        <bgColor indexed="64"/>
      </patternFill>
    </fill>
  </fills>
  <borders count="40">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diagonal/>
    </border>
    <border>
      <left style="thin">
        <color indexed="64"/>
      </left>
      <right/>
      <top/>
      <bottom/>
      <diagonal/>
    </border>
    <border>
      <left style="thin">
        <color indexed="64"/>
      </left>
      <right style="medium">
        <color indexed="64"/>
      </right>
      <top/>
      <bottom/>
      <diagonal/>
    </border>
    <border>
      <left style="medium">
        <color indexed="64"/>
      </left>
      <right style="thin">
        <color indexed="64"/>
      </right>
      <top/>
      <bottom/>
      <diagonal/>
    </border>
  </borders>
  <cellStyleXfs count="1">
    <xf numFmtId="0" fontId="0" fillId="0" borderId="0"/>
  </cellStyleXfs>
  <cellXfs count="188">
    <xf numFmtId="0" fontId="0" fillId="0" borderId="0" xfId="0"/>
    <xf numFmtId="0" fontId="1" fillId="2" borderId="1" xfId="0" applyFont="1" applyFill="1" applyBorder="1" applyAlignment="1">
      <alignment horizontal="center" vertical="center" wrapText="1"/>
    </xf>
    <xf numFmtId="1" fontId="1" fillId="2" borderId="2" xfId="0" applyNumberFormat="1" applyFont="1" applyFill="1" applyBorder="1" applyAlignment="1">
      <alignment horizontal="center" vertical="center" wrapText="1"/>
    </xf>
    <xf numFmtId="1" fontId="1" fillId="2" borderId="3" xfId="0" applyNumberFormat="1"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1" fontId="1" fillId="2" borderId="4"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2" fillId="0" borderId="0" xfId="0" applyFont="1" applyAlignment="1">
      <alignment horizontal="center" vertical="center" wrapText="1"/>
    </xf>
    <xf numFmtId="0" fontId="3" fillId="3" borderId="6" xfId="0" applyFont="1" applyFill="1" applyBorder="1" applyAlignment="1">
      <alignment horizontal="center" vertical="center" wrapText="1"/>
    </xf>
    <xf numFmtId="49" fontId="3" fillId="3" borderId="7" xfId="0" applyNumberFormat="1" applyFont="1" applyFill="1" applyBorder="1" applyAlignment="1">
      <alignment horizontal="center" vertical="center" wrapText="1"/>
    </xf>
    <xf numFmtId="1" fontId="3" fillId="3" borderId="7" xfId="0" applyNumberFormat="1" applyFont="1" applyFill="1" applyBorder="1" applyAlignment="1">
      <alignment horizontal="center" vertical="center" wrapText="1"/>
    </xf>
    <xf numFmtId="49" fontId="3" fillId="3" borderId="7" xfId="0" applyNumberFormat="1" applyFont="1" applyFill="1" applyBorder="1" applyAlignment="1">
      <alignment horizontal="justify" vertical="center" wrapText="1"/>
    </xf>
    <xf numFmtId="164" fontId="3" fillId="3" borderId="7" xfId="0" applyNumberFormat="1"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0" borderId="0" xfId="0" applyFont="1" applyAlignment="1">
      <alignment horizontal="center" vertical="center" wrapText="1"/>
    </xf>
    <xf numFmtId="0" fontId="3" fillId="3" borderId="10" xfId="0" applyFont="1" applyFill="1" applyBorder="1" applyAlignment="1">
      <alignment horizontal="center" vertical="center" wrapText="1"/>
    </xf>
    <xf numFmtId="49" fontId="3" fillId="3" borderId="11" xfId="0" applyNumberFormat="1" applyFont="1" applyFill="1" applyBorder="1" applyAlignment="1">
      <alignment horizontal="center" vertical="center" wrapText="1"/>
    </xf>
    <xf numFmtId="1" fontId="3" fillId="3" borderId="11" xfId="0" applyNumberFormat="1" applyFont="1" applyFill="1" applyBorder="1" applyAlignment="1">
      <alignment horizontal="center" vertical="center" wrapText="1"/>
    </xf>
    <xf numFmtId="49" fontId="3" fillId="3" borderId="11" xfId="0" applyNumberFormat="1" applyFont="1" applyFill="1" applyBorder="1" applyAlignment="1">
      <alignment horizontal="justify" vertical="center" wrapText="1"/>
    </xf>
    <xf numFmtId="164" fontId="3" fillId="3" borderId="11" xfId="0" applyNumberFormat="1" applyFont="1" applyFill="1" applyBorder="1" applyAlignment="1">
      <alignment horizontal="center" vertical="center" wrapText="1"/>
    </xf>
    <xf numFmtId="0" fontId="3" fillId="3" borderId="11"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3" fillId="3" borderId="14" xfId="0" applyFont="1" applyFill="1" applyBorder="1" applyAlignment="1">
      <alignment horizontal="center" vertical="center" wrapText="1"/>
    </xf>
    <xf numFmtId="49" fontId="3" fillId="3" borderId="15" xfId="0" applyNumberFormat="1" applyFont="1" applyFill="1" applyBorder="1" applyAlignment="1">
      <alignment horizontal="center" vertical="center" wrapText="1"/>
    </xf>
    <xf numFmtId="1" fontId="3" fillId="3" borderId="15" xfId="0" applyNumberFormat="1" applyFont="1" applyFill="1" applyBorder="1" applyAlignment="1">
      <alignment horizontal="center" vertical="center" wrapText="1"/>
    </xf>
    <xf numFmtId="49" fontId="3" fillId="3" borderId="15" xfId="0" applyNumberFormat="1" applyFont="1" applyFill="1" applyBorder="1" applyAlignment="1">
      <alignment horizontal="justify" vertical="center" wrapText="1"/>
    </xf>
    <xf numFmtId="164" fontId="3" fillId="3" borderId="15" xfId="0" applyNumberFormat="1" applyFont="1" applyFill="1" applyBorder="1" applyAlignment="1">
      <alignment horizontal="center" vertical="center" wrapText="1"/>
    </xf>
    <xf numFmtId="0" fontId="3" fillId="3" borderId="15" xfId="0" applyFont="1" applyFill="1" applyBorder="1" applyAlignment="1">
      <alignment horizontal="center" vertical="center" wrapText="1"/>
    </xf>
    <xf numFmtId="0" fontId="3" fillId="3" borderId="16" xfId="0" applyFont="1" applyFill="1" applyBorder="1" applyAlignment="1">
      <alignment horizontal="center" vertical="center" wrapText="1"/>
    </xf>
    <xf numFmtId="0" fontId="3" fillId="3" borderId="17" xfId="0" applyFont="1" applyFill="1" applyBorder="1" applyAlignment="1">
      <alignment horizontal="center" vertical="center" wrapText="1"/>
    </xf>
    <xf numFmtId="0" fontId="3" fillId="4" borderId="6" xfId="0" applyFont="1" applyFill="1" applyBorder="1" applyAlignment="1">
      <alignment horizontal="center" vertical="center" wrapText="1"/>
    </xf>
    <xf numFmtId="49"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49" fontId="3" fillId="4" borderId="7" xfId="0" applyNumberFormat="1" applyFont="1" applyFill="1" applyBorder="1" applyAlignment="1">
      <alignment horizontal="justify" vertical="center" wrapText="1"/>
    </xf>
    <xf numFmtId="1" fontId="3" fillId="4" borderId="7" xfId="0" applyNumberFormat="1" applyFont="1" applyFill="1" applyBorder="1" applyAlignment="1">
      <alignment vertical="center" wrapText="1"/>
    </xf>
    <xf numFmtId="164" fontId="3" fillId="4" borderId="7" xfId="0" applyNumberFormat="1" applyFont="1" applyFill="1" applyBorder="1" applyAlignment="1">
      <alignment vertical="center" wrapText="1"/>
    </xf>
    <xf numFmtId="0" fontId="3" fillId="4" borderId="8" xfId="0" applyFont="1" applyFill="1" applyBorder="1" applyAlignment="1">
      <alignment horizontal="center" vertical="center" wrapText="1"/>
    </xf>
    <xf numFmtId="0" fontId="3" fillId="4" borderId="9" xfId="0" applyFont="1" applyFill="1" applyBorder="1" applyAlignment="1">
      <alignment horizontal="center" vertical="center" wrapText="1"/>
    </xf>
    <xf numFmtId="0" fontId="3" fillId="4" borderId="14" xfId="0" applyFont="1" applyFill="1" applyBorder="1" applyAlignment="1">
      <alignment horizontal="center" vertical="center" wrapText="1"/>
    </xf>
    <xf numFmtId="49" fontId="3" fillId="4" borderId="15" xfId="0" applyNumberFormat="1" applyFont="1" applyFill="1" applyBorder="1" applyAlignment="1">
      <alignment horizontal="center" vertical="center" wrapText="1"/>
    </xf>
    <xf numFmtId="0" fontId="3" fillId="4" borderId="15" xfId="0" applyFont="1" applyFill="1" applyBorder="1" applyAlignment="1">
      <alignment horizontal="center" vertical="center" wrapText="1"/>
    </xf>
    <xf numFmtId="49" fontId="3" fillId="4" borderId="15" xfId="0" applyNumberFormat="1" applyFont="1" applyFill="1" applyBorder="1" applyAlignment="1">
      <alignment horizontal="justify" vertical="center" wrapText="1"/>
    </xf>
    <xf numFmtId="1" fontId="3" fillId="4" borderId="15" xfId="0" applyNumberFormat="1" applyFont="1" applyFill="1" applyBorder="1" applyAlignment="1">
      <alignment vertical="center" wrapText="1"/>
    </xf>
    <xf numFmtId="164" fontId="3" fillId="4" borderId="15" xfId="0" applyNumberFormat="1" applyFont="1" applyFill="1" applyBorder="1" applyAlignment="1">
      <alignment vertical="center" wrapText="1"/>
    </xf>
    <xf numFmtId="0" fontId="3" fillId="4" borderId="16" xfId="0" applyFont="1" applyFill="1" applyBorder="1" applyAlignment="1">
      <alignment horizontal="center" vertical="center" wrapText="1"/>
    </xf>
    <xf numFmtId="0" fontId="3" fillId="4" borderId="17" xfId="0" applyFont="1" applyFill="1" applyBorder="1" applyAlignment="1">
      <alignment horizontal="center" vertical="center" wrapText="1"/>
    </xf>
    <xf numFmtId="1" fontId="3" fillId="4" borderId="7" xfId="0" applyNumberFormat="1" applyFont="1" applyFill="1" applyBorder="1" applyAlignment="1">
      <alignment horizontal="center" vertical="center" wrapText="1"/>
    </xf>
    <xf numFmtId="164" fontId="3" fillId="4" borderId="7" xfId="0" applyNumberFormat="1" applyFont="1" applyFill="1" applyBorder="1" applyAlignment="1">
      <alignment horizontal="center" vertical="center" wrapText="1"/>
    </xf>
    <xf numFmtId="49" fontId="3" fillId="4" borderId="7" xfId="0" applyNumberFormat="1" applyFont="1" applyFill="1" applyBorder="1" applyAlignment="1">
      <alignment vertical="center" wrapText="1"/>
    </xf>
    <xf numFmtId="1" fontId="3" fillId="4" borderId="15" xfId="0" applyNumberFormat="1" applyFont="1" applyFill="1" applyBorder="1" applyAlignment="1">
      <alignment horizontal="center" vertical="center" wrapText="1"/>
    </xf>
    <xf numFmtId="164" fontId="3" fillId="4" borderId="15" xfId="0" applyNumberFormat="1" applyFont="1" applyFill="1" applyBorder="1" applyAlignment="1">
      <alignment horizontal="center" vertical="center" wrapText="1"/>
    </xf>
    <xf numFmtId="49" fontId="3" fillId="4" borderId="15" xfId="0" applyNumberFormat="1" applyFont="1" applyFill="1" applyBorder="1" applyAlignment="1">
      <alignment vertical="center" wrapText="1"/>
    </xf>
    <xf numFmtId="49" fontId="3" fillId="3" borderId="11" xfId="0" applyNumberFormat="1" applyFont="1" applyFill="1" applyBorder="1" applyAlignment="1">
      <alignment vertical="center" wrapText="1"/>
    </xf>
    <xf numFmtId="49" fontId="3" fillId="3" borderId="15" xfId="0" applyNumberFormat="1" applyFont="1" applyFill="1" applyBorder="1" applyAlignment="1">
      <alignment vertical="center" wrapText="1"/>
    </xf>
    <xf numFmtId="0" fontId="3" fillId="4" borderId="10" xfId="0" applyFont="1" applyFill="1" applyBorder="1" applyAlignment="1">
      <alignment horizontal="center" vertical="center" wrapText="1"/>
    </xf>
    <xf numFmtId="49" fontId="3" fillId="4" borderId="11" xfId="0" applyNumberFormat="1" applyFont="1" applyFill="1" applyBorder="1" applyAlignment="1">
      <alignment horizontal="center" vertical="center" wrapText="1"/>
    </xf>
    <xf numFmtId="0" fontId="3" fillId="4" borderId="11" xfId="0" applyFont="1" applyFill="1" applyBorder="1" applyAlignment="1">
      <alignment horizontal="center" vertical="center" wrapText="1"/>
    </xf>
    <xf numFmtId="49" fontId="3" fillId="4" borderId="11" xfId="0" applyNumberFormat="1" applyFont="1" applyFill="1" applyBorder="1" applyAlignment="1">
      <alignment horizontal="justify" vertical="center" wrapText="1"/>
    </xf>
    <xf numFmtId="1" fontId="3" fillId="4" borderId="11" xfId="0" applyNumberFormat="1" applyFont="1" applyFill="1" applyBorder="1" applyAlignment="1">
      <alignment horizontal="center" vertical="center" wrapText="1"/>
    </xf>
    <xf numFmtId="164" fontId="3" fillId="4" borderId="11" xfId="0" applyNumberFormat="1" applyFont="1" applyFill="1" applyBorder="1" applyAlignment="1">
      <alignment horizontal="center" vertical="center" wrapText="1"/>
    </xf>
    <xf numFmtId="0" fontId="3" fillId="4" borderId="12" xfId="0" applyFont="1" applyFill="1" applyBorder="1" applyAlignment="1">
      <alignment horizontal="center" vertical="center" wrapText="1"/>
    </xf>
    <xf numFmtId="0" fontId="3" fillId="4" borderId="13" xfId="0" applyFont="1" applyFill="1" applyBorder="1" applyAlignment="1">
      <alignment horizontal="center" vertical="center" wrapText="1"/>
    </xf>
    <xf numFmtId="49" fontId="3" fillId="5" borderId="7" xfId="0" applyNumberFormat="1" applyFont="1" applyFill="1" applyBorder="1" applyAlignment="1">
      <alignment horizontal="center" vertical="center" wrapText="1"/>
    </xf>
    <xf numFmtId="1" fontId="3" fillId="3" borderId="18" xfId="0" applyNumberFormat="1" applyFont="1" applyFill="1" applyBorder="1" applyAlignment="1">
      <alignment horizontal="center" vertical="center" wrapText="1"/>
    </xf>
    <xf numFmtId="164" fontId="3" fillId="3" borderId="18" xfId="0" applyNumberFormat="1" applyFont="1" applyFill="1" applyBorder="1" applyAlignment="1">
      <alignment horizontal="center" vertical="center" wrapText="1"/>
    </xf>
    <xf numFmtId="49" fontId="3" fillId="5" borderId="11" xfId="0" applyNumberFormat="1" applyFont="1" applyFill="1" applyBorder="1" applyAlignment="1">
      <alignment horizontal="center" vertical="center" wrapText="1"/>
    </xf>
    <xf numFmtId="0" fontId="3" fillId="3" borderId="19" xfId="0" applyFont="1" applyFill="1" applyBorder="1" applyAlignment="1">
      <alignment horizontal="center" vertical="center" wrapText="1"/>
    </xf>
    <xf numFmtId="49" fontId="3" fillId="3" borderId="20" xfId="0" applyNumberFormat="1" applyFont="1" applyFill="1" applyBorder="1" applyAlignment="1">
      <alignment horizontal="center" vertical="center" wrapText="1"/>
    </xf>
    <xf numFmtId="0" fontId="3" fillId="3" borderId="20" xfId="0" applyFont="1" applyFill="1" applyBorder="1" applyAlignment="1">
      <alignment horizontal="center" vertical="center" wrapText="1"/>
    </xf>
    <xf numFmtId="49" fontId="3" fillId="3" borderId="20" xfId="0" applyNumberFormat="1" applyFont="1" applyFill="1" applyBorder="1" applyAlignment="1">
      <alignment horizontal="justify" vertical="center" wrapText="1"/>
    </xf>
    <xf numFmtId="49" fontId="3" fillId="5" borderId="20" xfId="0" applyNumberFormat="1" applyFont="1" applyFill="1" applyBorder="1" applyAlignment="1">
      <alignment horizontal="center" vertical="center" wrapText="1"/>
    </xf>
    <xf numFmtId="1" fontId="3" fillId="3" borderId="20" xfId="0" applyNumberFormat="1" applyFont="1" applyFill="1" applyBorder="1" applyAlignment="1">
      <alignment horizontal="center" vertical="center" wrapText="1"/>
    </xf>
    <xf numFmtId="164" fontId="3" fillId="3" borderId="20" xfId="0" applyNumberFormat="1" applyFont="1" applyFill="1" applyBorder="1" applyAlignment="1">
      <alignment horizontal="center" vertical="center" wrapText="1"/>
    </xf>
    <xf numFmtId="0" fontId="3" fillId="3" borderId="21" xfId="0" applyFont="1" applyFill="1" applyBorder="1" applyAlignment="1">
      <alignment horizontal="center" vertical="center" wrapText="1"/>
    </xf>
    <xf numFmtId="0" fontId="3" fillId="3" borderId="22" xfId="0" applyFont="1" applyFill="1" applyBorder="1" applyAlignment="1">
      <alignment horizontal="center" vertical="center" wrapText="1"/>
    </xf>
    <xf numFmtId="49" fontId="3" fillId="5" borderId="15" xfId="0" applyNumberFormat="1" applyFont="1" applyFill="1" applyBorder="1" applyAlignment="1">
      <alignment horizontal="center" vertical="center" wrapText="1"/>
    </xf>
    <xf numFmtId="0" fontId="3" fillId="4" borderId="19" xfId="0" applyFont="1" applyFill="1" applyBorder="1" applyAlignment="1">
      <alignment horizontal="center" vertical="center" wrapText="1"/>
    </xf>
    <xf numFmtId="49" fontId="3" fillId="4" borderId="20" xfId="0" applyNumberFormat="1" applyFont="1" applyFill="1" applyBorder="1" applyAlignment="1">
      <alignment horizontal="center" vertical="center" wrapText="1"/>
    </xf>
    <xf numFmtId="0" fontId="3" fillId="4" borderId="20" xfId="0" applyFont="1" applyFill="1" applyBorder="1" applyAlignment="1">
      <alignment horizontal="center" vertical="center" wrapText="1"/>
    </xf>
    <xf numFmtId="49" fontId="3" fillId="4" borderId="20" xfId="0" applyNumberFormat="1" applyFont="1" applyFill="1" applyBorder="1" applyAlignment="1">
      <alignment horizontal="justify" vertical="center" wrapText="1"/>
    </xf>
    <xf numFmtId="1" fontId="3" fillId="4" borderId="20" xfId="0" applyNumberFormat="1" applyFont="1" applyFill="1" applyBorder="1" applyAlignment="1">
      <alignment horizontal="center" vertical="center" wrapText="1"/>
    </xf>
    <xf numFmtId="164" fontId="3" fillId="4" borderId="20" xfId="0" applyNumberFormat="1" applyFont="1" applyFill="1" applyBorder="1" applyAlignment="1">
      <alignment horizontal="center" vertical="center" wrapText="1"/>
    </xf>
    <xf numFmtId="0" fontId="3" fillId="4" borderId="21" xfId="0" applyFont="1" applyFill="1" applyBorder="1" applyAlignment="1">
      <alignment horizontal="center" vertical="center" wrapText="1"/>
    </xf>
    <xf numFmtId="0" fontId="3" fillId="4" borderId="22" xfId="0" applyFont="1" applyFill="1" applyBorder="1" applyAlignment="1">
      <alignment horizontal="center" vertical="center" wrapText="1"/>
    </xf>
    <xf numFmtId="0" fontId="3" fillId="4" borderId="23" xfId="0" applyFont="1" applyFill="1" applyBorder="1" applyAlignment="1">
      <alignment horizontal="center" vertical="center" wrapText="1"/>
    </xf>
    <xf numFmtId="49" fontId="3" fillId="4" borderId="24" xfId="0" applyNumberFormat="1" applyFont="1" applyFill="1" applyBorder="1" applyAlignment="1">
      <alignment horizontal="center" vertical="center" wrapText="1"/>
    </xf>
    <xf numFmtId="0" fontId="3" fillId="4" borderId="24" xfId="0" applyFont="1" applyFill="1" applyBorder="1" applyAlignment="1">
      <alignment horizontal="center" vertical="center" wrapText="1"/>
    </xf>
    <xf numFmtId="49" fontId="3" fillId="4" borderId="24" xfId="0" applyNumberFormat="1" applyFont="1" applyFill="1" applyBorder="1" applyAlignment="1">
      <alignment horizontal="justify" vertical="center" wrapText="1"/>
    </xf>
    <xf numFmtId="1" fontId="3" fillId="4" borderId="24" xfId="0" applyNumberFormat="1" applyFont="1" applyFill="1" applyBorder="1" applyAlignment="1">
      <alignment horizontal="center" vertical="center" wrapText="1"/>
    </xf>
    <xf numFmtId="164" fontId="3" fillId="4" borderId="24" xfId="0" applyNumberFormat="1" applyFont="1" applyFill="1" applyBorder="1" applyAlignment="1">
      <alignment horizontal="center" vertical="center" wrapText="1"/>
    </xf>
    <xf numFmtId="0" fontId="3" fillId="4" borderId="25" xfId="0" applyFont="1" applyFill="1" applyBorder="1" applyAlignment="1">
      <alignment horizontal="center" vertical="center" wrapText="1"/>
    </xf>
    <xf numFmtId="0" fontId="3" fillId="4" borderId="26" xfId="0" applyFont="1" applyFill="1" applyBorder="1" applyAlignment="1">
      <alignment horizontal="center" vertical="center" wrapText="1"/>
    </xf>
    <xf numFmtId="0" fontId="3" fillId="3" borderId="27" xfId="0" applyFont="1" applyFill="1" applyBorder="1" applyAlignment="1">
      <alignment horizontal="center" vertical="center" wrapText="1"/>
    </xf>
    <xf numFmtId="49" fontId="3" fillId="3" borderId="28" xfId="0" applyNumberFormat="1" applyFont="1" applyFill="1" applyBorder="1" applyAlignment="1">
      <alignment horizontal="center" vertical="center" wrapText="1"/>
    </xf>
    <xf numFmtId="0" fontId="3" fillId="3" borderId="28" xfId="0" applyFont="1" applyFill="1" applyBorder="1" applyAlignment="1">
      <alignment horizontal="center" vertical="center" wrapText="1"/>
    </xf>
    <xf numFmtId="49" fontId="3" fillId="3" borderId="28" xfId="0" applyNumberFormat="1" applyFont="1" applyFill="1" applyBorder="1" applyAlignment="1">
      <alignment horizontal="justify" vertical="center" wrapText="1"/>
    </xf>
    <xf numFmtId="1" fontId="3" fillId="3" borderId="29" xfId="0" applyNumberFormat="1" applyFont="1" applyFill="1" applyBorder="1" applyAlignment="1">
      <alignment horizontal="center" vertical="center" wrapText="1"/>
    </xf>
    <xf numFmtId="49" fontId="3" fillId="3" borderId="29" xfId="0" applyNumberFormat="1" applyFont="1" applyFill="1" applyBorder="1" applyAlignment="1">
      <alignment horizontal="justify" vertical="center" wrapText="1"/>
    </xf>
    <xf numFmtId="164" fontId="3" fillId="3" borderId="29" xfId="0" applyNumberFormat="1" applyFont="1" applyFill="1" applyBorder="1" applyAlignment="1">
      <alignment horizontal="center" vertical="center" wrapText="1"/>
    </xf>
    <xf numFmtId="49" fontId="3" fillId="3" borderId="29" xfId="0" applyNumberFormat="1" applyFont="1" applyFill="1" applyBorder="1" applyAlignment="1">
      <alignment horizontal="center" vertical="center" wrapText="1"/>
    </xf>
    <xf numFmtId="0" fontId="3" fillId="3" borderId="29" xfId="0" applyFont="1" applyFill="1" applyBorder="1" applyAlignment="1">
      <alignment horizontal="center" vertical="center" wrapText="1"/>
    </xf>
    <xf numFmtId="49" fontId="3" fillId="3" borderId="30" xfId="0" applyNumberFormat="1" applyFont="1" applyFill="1" applyBorder="1" applyAlignment="1">
      <alignment horizontal="justify" vertical="center" wrapText="1"/>
    </xf>
    <xf numFmtId="0" fontId="3" fillId="3" borderId="30" xfId="0" applyFont="1" applyFill="1" applyBorder="1" applyAlignment="1">
      <alignment horizontal="center" vertical="center" wrapText="1"/>
    </xf>
    <xf numFmtId="0" fontId="3" fillId="3" borderId="31" xfId="0" applyFont="1" applyFill="1" applyBorder="1" applyAlignment="1">
      <alignment horizontal="center" vertical="center" wrapText="1"/>
    </xf>
    <xf numFmtId="0" fontId="3" fillId="6" borderId="0" xfId="0" applyFont="1" applyFill="1" applyAlignment="1">
      <alignment horizontal="center" vertical="center" wrapText="1"/>
    </xf>
    <xf numFmtId="0" fontId="3" fillId="4" borderId="32" xfId="0" applyFont="1" applyFill="1" applyBorder="1" applyAlignment="1">
      <alignment horizontal="center" vertical="center" wrapText="1"/>
    </xf>
    <xf numFmtId="49" fontId="3" fillId="4" borderId="33" xfId="0" applyNumberFormat="1" applyFont="1" applyFill="1" applyBorder="1" applyAlignment="1">
      <alignment horizontal="center" vertical="center" wrapText="1"/>
    </xf>
    <xf numFmtId="0" fontId="3" fillId="4" borderId="33" xfId="0" applyFont="1" applyFill="1" applyBorder="1" applyAlignment="1">
      <alignment horizontal="center" vertical="center" wrapText="1"/>
    </xf>
    <xf numFmtId="49" fontId="3" fillId="4" borderId="33" xfId="0" applyNumberFormat="1" applyFont="1" applyFill="1" applyBorder="1" applyAlignment="1">
      <alignment horizontal="justify" vertical="center" wrapText="1"/>
    </xf>
    <xf numFmtId="1" fontId="3" fillId="4" borderId="18" xfId="0" applyNumberFormat="1" applyFont="1" applyFill="1" applyBorder="1" applyAlignment="1">
      <alignment horizontal="center" vertical="center" wrapText="1"/>
    </xf>
    <xf numFmtId="49" fontId="3" fillId="4" borderId="18" xfId="0" applyNumberFormat="1" applyFont="1" applyFill="1" applyBorder="1" applyAlignment="1">
      <alignment horizontal="justify" vertical="center" wrapText="1"/>
    </xf>
    <xf numFmtId="164" fontId="3" fillId="4" borderId="18" xfId="0" applyNumberFormat="1" applyFont="1" applyFill="1" applyBorder="1" applyAlignment="1">
      <alignment horizontal="center" vertical="center" wrapText="1"/>
    </xf>
    <xf numFmtId="49" fontId="3" fillId="4" borderId="18" xfId="0" applyNumberFormat="1" applyFont="1" applyFill="1" applyBorder="1" applyAlignment="1">
      <alignment horizontal="center" vertical="center" wrapText="1"/>
    </xf>
    <xf numFmtId="0" fontId="3" fillId="4" borderId="18" xfId="0" applyFont="1" applyFill="1" applyBorder="1" applyAlignment="1">
      <alignment horizontal="center" vertical="center" wrapText="1"/>
    </xf>
    <xf numFmtId="49" fontId="3" fillId="4" borderId="34" xfId="0" applyNumberFormat="1" applyFont="1" applyFill="1" applyBorder="1" applyAlignment="1">
      <alignment horizontal="justify" vertical="center" wrapText="1"/>
    </xf>
    <xf numFmtId="0" fontId="3" fillId="4" borderId="34" xfId="0" applyFont="1" applyFill="1" applyBorder="1" applyAlignment="1">
      <alignment horizontal="center" vertical="center" wrapText="1"/>
    </xf>
    <xf numFmtId="0" fontId="3" fillId="4" borderId="35" xfId="0" applyFont="1" applyFill="1" applyBorder="1" applyAlignment="1">
      <alignment horizontal="center" vertical="center" wrapText="1"/>
    </xf>
    <xf numFmtId="49" fontId="3" fillId="7" borderId="11" xfId="0" applyNumberFormat="1" applyFont="1" applyFill="1" applyBorder="1" applyAlignment="1">
      <alignment horizontal="center" vertical="center" wrapText="1"/>
    </xf>
    <xf numFmtId="49" fontId="3" fillId="7" borderId="11" xfId="0" applyNumberFormat="1" applyFont="1" applyFill="1" applyBorder="1" applyAlignment="1">
      <alignment horizontal="justify" vertical="center" wrapText="1"/>
    </xf>
    <xf numFmtId="49" fontId="3" fillId="3" borderId="11" xfId="0" applyNumberFormat="1" applyFont="1" applyFill="1" applyBorder="1" applyAlignment="1">
      <alignment horizontal="center" vertical="center" wrapText="1"/>
    </xf>
    <xf numFmtId="49" fontId="3" fillId="3" borderId="11" xfId="0" applyNumberFormat="1" applyFont="1" applyFill="1" applyBorder="1" applyAlignment="1">
      <alignment horizontal="justify" vertical="center" wrapText="1"/>
    </xf>
    <xf numFmtId="49" fontId="3" fillId="7" borderId="20" xfId="0" applyNumberFormat="1" applyFont="1" applyFill="1" applyBorder="1" applyAlignment="1">
      <alignment horizontal="center" vertical="center" wrapText="1"/>
    </xf>
    <xf numFmtId="49" fontId="3" fillId="7" borderId="20" xfId="0" applyNumberFormat="1" applyFont="1" applyFill="1" applyBorder="1" applyAlignment="1">
      <alignment horizontal="justify" vertical="center" wrapText="1"/>
    </xf>
    <xf numFmtId="49" fontId="3" fillId="3" borderId="20" xfId="0" applyNumberFormat="1" applyFont="1" applyFill="1" applyBorder="1" applyAlignment="1">
      <alignment horizontal="center" vertical="center" wrapText="1"/>
    </xf>
    <xf numFmtId="49" fontId="3" fillId="3" borderId="20" xfId="0" applyNumberFormat="1" applyFont="1" applyFill="1" applyBorder="1" applyAlignment="1">
      <alignment horizontal="justify" vertical="center" wrapText="1"/>
    </xf>
    <xf numFmtId="49" fontId="3" fillId="4" borderId="11" xfId="0" applyNumberFormat="1" applyFont="1" applyFill="1" applyBorder="1" applyAlignment="1">
      <alignment horizontal="justify" vertical="center"/>
    </xf>
    <xf numFmtId="49" fontId="3" fillId="3" borderId="7" xfId="0" applyNumberFormat="1" applyFont="1" applyFill="1" applyBorder="1" applyAlignment="1">
      <alignment vertical="center" wrapText="1"/>
    </xf>
    <xf numFmtId="0" fontId="3" fillId="3" borderId="7" xfId="0" applyFont="1" applyFill="1" applyBorder="1" applyAlignment="1">
      <alignment vertical="center" wrapText="1"/>
    </xf>
    <xf numFmtId="0" fontId="3" fillId="3" borderId="11" xfId="0" applyFont="1" applyFill="1" applyBorder="1" applyAlignment="1">
      <alignment vertical="center" wrapText="1"/>
    </xf>
    <xf numFmtId="0" fontId="3" fillId="3" borderId="20" xfId="0" applyFont="1" applyFill="1" applyBorder="1" applyAlignment="1">
      <alignment vertical="center" wrapText="1"/>
    </xf>
    <xf numFmtId="49" fontId="3" fillId="4" borderId="11" xfId="0" applyNumberFormat="1" applyFont="1" applyFill="1" applyBorder="1" applyAlignment="1">
      <alignment vertical="center" wrapText="1"/>
    </xf>
    <xf numFmtId="0" fontId="3" fillId="4" borderId="7" xfId="0" applyFont="1" applyFill="1" applyBorder="1" applyAlignment="1">
      <alignment horizontal="justify" vertical="center" wrapText="1"/>
    </xf>
    <xf numFmtId="165" fontId="3" fillId="4" borderId="7" xfId="0" applyNumberFormat="1" applyFont="1" applyFill="1" applyBorder="1" applyAlignment="1">
      <alignment horizontal="center" vertical="center" wrapText="1"/>
    </xf>
    <xf numFmtId="0" fontId="3" fillId="4" borderId="11" xfId="0" applyFont="1" applyFill="1" applyBorder="1" applyAlignment="1">
      <alignment horizontal="justify" vertical="center" wrapText="1"/>
    </xf>
    <xf numFmtId="165" fontId="3" fillId="4" borderId="11" xfId="0" applyNumberFormat="1" applyFont="1" applyFill="1" applyBorder="1" applyAlignment="1">
      <alignment horizontal="center" vertical="center" wrapText="1"/>
    </xf>
    <xf numFmtId="0" fontId="3" fillId="4" borderId="20" xfId="0" applyFont="1" applyFill="1" applyBorder="1" applyAlignment="1">
      <alignment horizontal="justify" vertical="center" wrapText="1"/>
    </xf>
    <xf numFmtId="165" fontId="3" fillId="4" borderId="20" xfId="0" applyNumberFormat="1" applyFont="1" applyFill="1" applyBorder="1" applyAlignment="1">
      <alignment horizontal="center" vertical="center" wrapText="1"/>
    </xf>
    <xf numFmtId="0" fontId="3" fillId="3" borderId="7" xfId="0" applyFont="1" applyFill="1" applyBorder="1" applyAlignment="1">
      <alignment horizontal="justify" vertical="center" wrapText="1"/>
    </xf>
    <xf numFmtId="165" fontId="3" fillId="3" borderId="7" xfId="0" applyNumberFormat="1" applyFont="1" applyFill="1" applyBorder="1" applyAlignment="1">
      <alignment horizontal="center" vertical="center" wrapText="1"/>
    </xf>
    <xf numFmtId="0" fontId="3" fillId="3" borderId="11" xfId="0" applyFont="1" applyFill="1" applyBorder="1" applyAlignment="1">
      <alignment horizontal="justify" vertical="center" wrapText="1"/>
    </xf>
    <xf numFmtId="165" fontId="3" fillId="3" borderId="11" xfId="0" applyNumberFormat="1" applyFont="1" applyFill="1" applyBorder="1" applyAlignment="1">
      <alignment horizontal="center" vertical="center" wrapText="1"/>
    </xf>
    <xf numFmtId="0" fontId="3" fillId="7" borderId="11" xfId="0" applyFont="1" applyFill="1" applyBorder="1" applyAlignment="1">
      <alignment horizontal="center" vertical="center" wrapText="1"/>
    </xf>
    <xf numFmtId="0" fontId="3" fillId="3" borderId="15" xfId="0" applyFont="1" applyFill="1" applyBorder="1" applyAlignment="1">
      <alignment horizontal="justify" vertical="center" wrapText="1"/>
    </xf>
    <xf numFmtId="0" fontId="3" fillId="7" borderId="15" xfId="0" applyFont="1" applyFill="1" applyBorder="1" applyAlignment="1">
      <alignment horizontal="center" vertical="center" wrapText="1"/>
    </xf>
    <xf numFmtId="49" fontId="3" fillId="7" borderId="15" xfId="0" applyNumberFormat="1" applyFont="1" applyFill="1" applyBorder="1" applyAlignment="1">
      <alignment horizontal="justify" vertical="center" wrapText="1"/>
    </xf>
    <xf numFmtId="165" fontId="3" fillId="3" borderId="15" xfId="0" applyNumberFormat="1" applyFont="1" applyFill="1" applyBorder="1" applyAlignment="1">
      <alignment horizontal="center" vertical="center" wrapText="1"/>
    </xf>
    <xf numFmtId="0" fontId="3" fillId="4" borderId="15" xfId="0" applyFont="1" applyFill="1" applyBorder="1" applyAlignment="1">
      <alignment horizontal="justify" vertical="center" wrapText="1"/>
    </xf>
    <xf numFmtId="165" fontId="3" fillId="4" borderId="15" xfId="0" applyNumberFormat="1" applyFont="1" applyFill="1" applyBorder="1" applyAlignment="1">
      <alignment horizontal="center" vertical="center" wrapText="1"/>
    </xf>
    <xf numFmtId="49" fontId="3" fillId="3" borderId="18" xfId="0" applyNumberFormat="1" applyFont="1" applyFill="1" applyBorder="1" applyAlignment="1">
      <alignment horizontal="justify" vertical="center" wrapText="1"/>
    </xf>
    <xf numFmtId="0" fontId="3" fillId="3" borderId="20" xfId="0" applyFont="1" applyFill="1" applyBorder="1" applyAlignment="1">
      <alignment horizontal="justify" vertical="center" wrapText="1"/>
    </xf>
    <xf numFmtId="165" fontId="3" fillId="3" borderId="20" xfId="0" applyNumberFormat="1" applyFont="1" applyFill="1" applyBorder="1" applyAlignment="1">
      <alignment horizontal="center" vertical="center" wrapText="1"/>
    </xf>
    <xf numFmtId="0" fontId="3" fillId="4" borderId="18" xfId="0" applyFont="1" applyFill="1" applyBorder="1" applyAlignment="1">
      <alignment horizontal="justify" vertical="center" wrapText="1"/>
    </xf>
    <xf numFmtId="0" fontId="3" fillId="4" borderId="36" xfId="0" applyFont="1" applyFill="1" applyBorder="1" applyAlignment="1">
      <alignment horizontal="center" vertical="center" wrapText="1"/>
    </xf>
    <xf numFmtId="0" fontId="3" fillId="4" borderId="36" xfId="0" applyFont="1" applyFill="1" applyBorder="1" applyAlignment="1">
      <alignment horizontal="justify" vertical="center" wrapText="1"/>
    </xf>
    <xf numFmtId="49" fontId="3" fillId="4" borderId="36" xfId="0" applyNumberFormat="1" applyFont="1" applyFill="1" applyBorder="1" applyAlignment="1">
      <alignment horizontal="justify" vertical="center" wrapText="1"/>
    </xf>
    <xf numFmtId="49" fontId="3" fillId="4" borderId="36" xfId="0" applyNumberFormat="1" applyFont="1" applyFill="1" applyBorder="1" applyAlignment="1">
      <alignment horizontal="center" vertical="center" wrapText="1"/>
    </xf>
    <xf numFmtId="1" fontId="3" fillId="4" borderId="36" xfId="0" applyNumberFormat="1" applyFont="1" applyFill="1" applyBorder="1" applyAlignment="1">
      <alignment horizontal="center" vertical="center" wrapText="1"/>
    </xf>
    <xf numFmtId="164" fontId="3" fillId="4" borderId="36" xfId="0" applyNumberFormat="1" applyFont="1" applyFill="1" applyBorder="1" applyAlignment="1">
      <alignment horizontal="center" vertical="center" wrapText="1"/>
    </xf>
    <xf numFmtId="0" fontId="3" fillId="4" borderId="37" xfId="0" applyFont="1" applyFill="1" applyBorder="1" applyAlignment="1">
      <alignment horizontal="center" vertical="center" wrapText="1"/>
    </xf>
    <xf numFmtId="0" fontId="3" fillId="4" borderId="38" xfId="0" applyFont="1" applyFill="1" applyBorder="1" applyAlignment="1">
      <alignment horizontal="center" vertical="center"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3" fillId="3" borderId="24" xfId="0" applyFont="1" applyFill="1" applyBorder="1" applyAlignment="1">
      <alignment horizontal="justify" vertical="center" wrapText="1"/>
    </xf>
    <xf numFmtId="49" fontId="3" fillId="3" borderId="24" xfId="0" applyNumberFormat="1" applyFont="1" applyFill="1" applyBorder="1" applyAlignment="1">
      <alignment horizontal="justify" vertical="center" wrapText="1"/>
    </xf>
    <xf numFmtId="1" fontId="3" fillId="3" borderId="24" xfId="0" applyNumberFormat="1" applyFont="1" applyFill="1" applyBorder="1" applyAlignment="1">
      <alignment horizontal="center" vertical="center" wrapText="1"/>
    </xf>
    <xf numFmtId="165" fontId="3" fillId="3" borderId="24" xfId="0" applyNumberFormat="1" applyFont="1" applyFill="1" applyBorder="1" applyAlignment="1">
      <alignment horizontal="center" vertical="center" wrapText="1"/>
    </xf>
    <xf numFmtId="0" fontId="3" fillId="3" borderId="25" xfId="0" applyFont="1" applyFill="1" applyBorder="1" applyAlignment="1">
      <alignment horizontal="center" vertical="center" wrapText="1"/>
    </xf>
    <xf numFmtId="0" fontId="3" fillId="3" borderId="26" xfId="0" applyFont="1" applyFill="1" applyBorder="1" applyAlignment="1">
      <alignment horizontal="center" vertical="center" wrapText="1"/>
    </xf>
    <xf numFmtId="0" fontId="3" fillId="8" borderId="23" xfId="0" applyFont="1" applyFill="1" applyBorder="1" applyAlignment="1">
      <alignment horizontal="center" vertical="center" wrapText="1"/>
    </xf>
    <xf numFmtId="0" fontId="3" fillId="8" borderId="24" xfId="0" applyFont="1" applyFill="1" applyBorder="1" applyAlignment="1">
      <alignment horizontal="center" vertical="center" wrapText="1"/>
    </xf>
    <xf numFmtId="0" fontId="4" fillId="8" borderId="24" xfId="0" applyFont="1" applyFill="1" applyBorder="1" applyAlignment="1">
      <alignment horizontal="center" vertical="center" wrapText="1"/>
    </xf>
    <xf numFmtId="0" fontId="3" fillId="8" borderId="24" xfId="0" applyFont="1" applyFill="1" applyBorder="1" applyAlignment="1">
      <alignment horizontal="justify" vertical="center" wrapText="1"/>
    </xf>
    <xf numFmtId="49" fontId="3" fillId="8" borderId="24" xfId="0" applyNumberFormat="1" applyFont="1" applyFill="1" applyBorder="1" applyAlignment="1">
      <alignment horizontal="justify" vertical="center" wrapText="1"/>
    </xf>
    <xf numFmtId="49" fontId="3" fillId="8" borderId="24" xfId="0" applyNumberFormat="1" applyFont="1" applyFill="1" applyBorder="1" applyAlignment="1">
      <alignment horizontal="center" vertical="center" wrapText="1"/>
    </xf>
    <xf numFmtId="1" fontId="4" fillId="8" borderId="24" xfId="0" applyNumberFormat="1" applyFont="1" applyFill="1" applyBorder="1" applyAlignment="1">
      <alignment horizontal="center" vertical="center" wrapText="1"/>
    </xf>
    <xf numFmtId="165" fontId="3" fillId="8" borderId="24" xfId="0" applyNumberFormat="1" applyFont="1" applyFill="1" applyBorder="1" applyAlignment="1">
      <alignment horizontal="center" vertical="center" wrapText="1"/>
    </xf>
    <xf numFmtId="0" fontId="3" fillId="8" borderId="25" xfId="0" applyFont="1" applyFill="1" applyBorder="1" applyAlignment="1">
      <alignment horizontal="center" vertical="center" wrapText="1"/>
    </xf>
    <xf numFmtId="0" fontId="3" fillId="8" borderId="26" xfId="0" applyFont="1" applyFill="1" applyBorder="1" applyAlignment="1">
      <alignment horizontal="center" vertical="center" wrapText="1"/>
    </xf>
    <xf numFmtId="165" fontId="3" fillId="4" borderId="18" xfId="0" applyNumberFormat="1" applyFont="1" applyFill="1" applyBorder="1" applyAlignment="1">
      <alignment horizontal="center" vertical="center" wrapText="1"/>
    </xf>
    <xf numFmtId="165" fontId="3" fillId="4" borderId="24" xfId="0" applyNumberFormat="1" applyFont="1" applyFill="1" applyBorder="1" applyAlignment="1">
      <alignment horizontal="center" vertical="center" wrapText="1"/>
    </xf>
    <xf numFmtId="0" fontId="3" fillId="4" borderId="39" xfId="0" applyFont="1" applyFill="1" applyBorder="1" applyAlignment="1">
      <alignment horizontal="center" vertical="center" wrapText="1"/>
    </xf>
    <xf numFmtId="165" fontId="3" fillId="4" borderId="36" xfId="0" applyNumberFormat="1" applyFont="1" applyFill="1" applyBorder="1" applyAlignment="1">
      <alignment horizontal="center" vertical="center" wrapText="1"/>
    </xf>
    <xf numFmtId="1" fontId="3" fillId="0" borderId="0" xfId="0" applyNumberFormat="1" applyFont="1" applyAlignment="1">
      <alignment horizontal="center" vertical="center" wrapText="1"/>
    </xf>
    <xf numFmtId="49" fontId="3" fillId="0" borderId="0" xfId="0" applyNumberFormat="1" applyFont="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0A7FC-6C20-46F4-8DE8-62E42E8E8237}">
  <dimension ref="A1:U197"/>
  <sheetViews>
    <sheetView tabSelected="1" zoomScaleNormal="100" workbookViewId="0">
      <pane ySplit="1" topLeftCell="A190" activePane="bottomLeft" state="frozenSplit"/>
      <selection pane="bottomLeft" activeCell="S194" sqref="S194"/>
    </sheetView>
  </sheetViews>
  <sheetFormatPr baseColWidth="10" defaultColWidth="9.140625" defaultRowHeight="15" x14ac:dyDescent="0.25"/>
  <cols>
    <col min="1" max="1" width="12.28515625" style="17" customWidth="1"/>
    <col min="2" max="2" width="16.42578125" style="17" customWidth="1"/>
    <col min="3" max="3" width="15.28515625" style="17" customWidth="1"/>
    <col min="4" max="4" width="10.42578125" style="17" bestFit="1" customWidth="1"/>
    <col min="5" max="5" width="29" style="17" customWidth="1"/>
    <col min="6" max="6" width="54.42578125" style="17" customWidth="1"/>
    <col min="7" max="7" width="18.42578125" style="17" bestFit="1" customWidth="1"/>
    <col min="8" max="8" width="32.85546875" style="17" customWidth="1"/>
    <col min="9" max="9" width="51.42578125" style="17" customWidth="1"/>
    <col min="10" max="10" width="18.5703125" style="186" bestFit="1" customWidth="1"/>
    <col min="11" max="11" width="50.28515625" style="17" customWidth="1"/>
    <col min="12" max="12" width="19.85546875" style="17" bestFit="1" customWidth="1"/>
    <col min="13" max="13" width="14.5703125" style="17" bestFit="1" customWidth="1"/>
    <col min="14" max="14" width="28.42578125" style="17" customWidth="1"/>
    <col min="15" max="15" width="80.140625" style="17" customWidth="1"/>
    <col min="16" max="16" width="20" style="17" customWidth="1"/>
    <col min="17" max="17" width="23.7109375" style="17" customWidth="1"/>
    <col min="18" max="18" width="41.5703125" style="187" customWidth="1"/>
    <col min="19" max="20" width="22.42578125" style="17" bestFit="1" customWidth="1"/>
    <col min="21" max="16384" width="9.140625" style="17"/>
  </cols>
  <sheetData>
    <row r="1" spans="1:20" s="8" customFormat="1" ht="29.25" thickBot="1" x14ac:dyDescent="0.3">
      <c r="A1" s="1" t="s">
        <v>0</v>
      </c>
      <c r="B1" s="2" t="s">
        <v>1</v>
      </c>
      <c r="C1" s="3" t="s">
        <v>2</v>
      </c>
      <c r="D1" s="4" t="s">
        <v>3</v>
      </c>
      <c r="E1" s="2" t="s">
        <v>4</v>
      </c>
      <c r="F1" s="5" t="s">
        <v>5</v>
      </c>
      <c r="G1" s="4" t="s">
        <v>6</v>
      </c>
      <c r="H1" s="2" t="s">
        <v>7</v>
      </c>
      <c r="I1" s="2" t="s">
        <v>8</v>
      </c>
      <c r="J1" s="2" t="s">
        <v>9</v>
      </c>
      <c r="K1" s="6" t="s">
        <v>10</v>
      </c>
      <c r="L1" s="6" t="s">
        <v>11</v>
      </c>
      <c r="M1" s="6" t="s">
        <v>12</v>
      </c>
      <c r="N1" s="6" t="s">
        <v>13</v>
      </c>
      <c r="O1" s="6" t="s">
        <v>14</v>
      </c>
      <c r="P1" s="6" t="s">
        <v>15</v>
      </c>
      <c r="Q1" s="6" t="s">
        <v>16</v>
      </c>
      <c r="R1" s="6" t="s">
        <v>17</v>
      </c>
      <c r="S1" s="7" t="s">
        <v>18</v>
      </c>
      <c r="T1" s="7" t="s">
        <v>19</v>
      </c>
    </row>
    <row r="2" spans="1:20" ht="75" x14ac:dyDescent="0.25">
      <c r="A2" s="9">
        <v>1</v>
      </c>
      <c r="B2" s="10" t="s">
        <v>20</v>
      </c>
      <c r="C2" s="11" t="s">
        <v>21</v>
      </c>
      <c r="D2" s="10" t="s">
        <v>22</v>
      </c>
      <c r="E2" s="12" t="s">
        <v>23</v>
      </c>
      <c r="F2" s="12"/>
      <c r="G2" s="10" t="s">
        <v>24</v>
      </c>
      <c r="H2" s="12" t="s">
        <v>25</v>
      </c>
      <c r="I2" s="12" t="s">
        <v>26</v>
      </c>
      <c r="J2" s="11">
        <v>2020050360001</v>
      </c>
      <c r="K2" s="12" t="s">
        <v>27</v>
      </c>
      <c r="L2" s="13">
        <v>0</v>
      </c>
      <c r="M2" s="10">
        <v>2402096</v>
      </c>
      <c r="N2" s="10" t="s">
        <v>28</v>
      </c>
      <c r="O2" s="12" t="s">
        <v>29</v>
      </c>
      <c r="P2" s="14" t="s">
        <v>30</v>
      </c>
      <c r="Q2" s="10">
        <v>240209600</v>
      </c>
      <c r="R2" s="12" t="s">
        <v>31</v>
      </c>
      <c r="S2" s="15" t="s">
        <v>32</v>
      </c>
      <c r="T2" s="16" t="s">
        <v>33</v>
      </c>
    </row>
    <row r="3" spans="1:20" ht="75" x14ac:dyDescent="0.25">
      <c r="A3" s="18">
        <v>1</v>
      </c>
      <c r="B3" s="19" t="s">
        <v>20</v>
      </c>
      <c r="C3" s="20" t="s">
        <v>21</v>
      </c>
      <c r="D3" s="19" t="s">
        <v>22</v>
      </c>
      <c r="E3" s="21" t="s">
        <v>23</v>
      </c>
      <c r="F3" s="21"/>
      <c r="G3" s="19" t="s">
        <v>24</v>
      </c>
      <c r="H3" s="21" t="s">
        <v>25</v>
      </c>
      <c r="I3" s="21" t="s">
        <v>26</v>
      </c>
      <c r="J3" s="20">
        <v>2020050360001</v>
      </c>
      <c r="K3" s="21" t="s">
        <v>27</v>
      </c>
      <c r="L3" s="22">
        <v>0</v>
      </c>
      <c r="M3" s="19">
        <v>2402041</v>
      </c>
      <c r="N3" s="19" t="s">
        <v>34</v>
      </c>
      <c r="O3" s="21" t="s">
        <v>35</v>
      </c>
      <c r="P3" s="23" t="s">
        <v>30</v>
      </c>
      <c r="Q3" s="19">
        <v>240204100</v>
      </c>
      <c r="R3" s="21" t="s">
        <v>34</v>
      </c>
      <c r="S3" s="24" t="s">
        <v>32</v>
      </c>
      <c r="T3" s="25" t="s">
        <v>33</v>
      </c>
    </row>
    <row r="4" spans="1:20" ht="75" x14ac:dyDescent="0.25">
      <c r="A4" s="18">
        <v>1</v>
      </c>
      <c r="B4" s="19" t="s">
        <v>20</v>
      </c>
      <c r="C4" s="20" t="s">
        <v>21</v>
      </c>
      <c r="D4" s="19" t="s">
        <v>22</v>
      </c>
      <c r="E4" s="21" t="s">
        <v>23</v>
      </c>
      <c r="F4" s="21"/>
      <c r="G4" s="19" t="s">
        <v>24</v>
      </c>
      <c r="H4" s="21" t="s">
        <v>25</v>
      </c>
      <c r="I4" s="21" t="s">
        <v>26</v>
      </c>
      <c r="J4" s="20">
        <v>2020050360001</v>
      </c>
      <c r="K4" s="21" t="s">
        <v>27</v>
      </c>
      <c r="L4" s="22">
        <v>0</v>
      </c>
      <c r="M4" s="19">
        <v>2402041</v>
      </c>
      <c r="N4" s="19" t="s">
        <v>34</v>
      </c>
      <c r="O4" s="21" t="s">
        <v>35</v>
      </c>
      <c r="P4" s="23" t="s">
        <v>30</v>
      </c>
      <c r="Q4" s="19">
        <v>240204104</v>
      </c>
      <c r="R4" s="21" t="s">
        <v>36</v>
      </c>
      <c r="S4" s="24" t="s">
        <v>32</v>
      </c>
      <c r="T4" s="25" t="s">
        <v>33</v>
      </c>
    </row>
    <row r="5" spans="1:20" ht="75" x14ac:dyDescent="0.25">
      <c r="A5" s="18">
        <v>1</v>
      </c>
      <c r="B5" s="19" t="s">
        <v>20</v>
      </c>
      <c r="C5" s="20" t="s">
        <v>21</v>
      </c>
      <c r="D5" s="19" t="s">
        <v>22</v>
      </c>
      <c r="E5" s="21" t="s">
        <v>23</v>
      </c>
      <c r="F5" s="21"/>
      <c r="G5" s="19" t="s">
        <v>24</v>
      </c>
      <c r="H5" s="21" t="s">
        <v>25</v>
      </c>
      <c r="I5" s="21" t="s">
        <v>26</v>
      </c>
      <c r="J5" s="20">
        <v>2020050360001</v>
      </c>
      <c r="K5" s="21" t="s">
        <v>27</v>
      </c>
      <c r="L5" s="22">
        <v>0</v>
      </c>
      <c r="M5" s="19">
        <v>2402045</v>
      </c>
      <c r="N5" s="19" t="s">
        <v>37</v>
      </c>
      <c r="O5" s="21" t="s">
        <v>38</v>
      </c>
      <c r="P5" s="23" t="s">
        <v>30</v>
      </c>
      <c r="Q5" s="19">
        <v>240204500</v>
      </c>
      <c r="R5" s="21" t="s">
        <v>39</v>
      </c>
      <c r="S5" s="24" t="s">
        <v>32</v>
      </c>
      <c r="T5" s="25" t="s">
        <v>33</v>
      </c>
    </row>
    <row r="6" spans="1:20" ht="75.75" thickBot="1" x14ac:dyDescent="0.3">
      <c r="A6" s="26">
        <v>1</v>
      </c>
      <c r="B6" s="27" t="s">
        <v>20</v>
      </c>
      <c r="C6" s="28" t="s">
        <v>21</v>
      </c>
      <c r="D6" s="27" t="s">
        <v>22</v>
      </c>
      <c r="E6" s="29" t="s">
        <v>23</v>
      </c>
      <c r="F6" s="29"/>
      <c r="G6" s="27" t="s">
        <v>24</v>
      </c>
      <c r="H6" s="29" t="s">
        <v>25</v>
      </c>
      <c r="I6" s="29" t="s">
        <v>26</v>
      </c>
      <c r="J6" s="28">
        <v>2020050360001</v>
      </c>
      <c r="K6" s="29" t="s">
        <v>27</v>
      </c>
      <c r="L6" s="30">
        <v>0</v>
      </c>
      <c r="M6" s="27">
        <v>2402112</v>
      </c>
      <c r="N6" s="27" t="s">
        <v>40</v>
      </c>
      <c r="O6" s="29" t="s">
        <v>41</v>
      </c>
      <c r="P6" s="31" t="s">
        <v>30</v>
      </c>
      <c r="Q6" s="27">
        <v>240211200</v>
      </c>
      <c r="R6" s="29" t="s">
        <v>42</v>
      </c>
      <c r="S6" s="32" t="s">
        <v>32</v>
      </c>
      <c r="T6" s="33" t="s">
        <v>33</v>
      </c>
    </row>
    <row r="7" spans="1:20" ht="60" x14ac:dyDescent="0.25">
      <c r="A7" s="34">
        <v>2</v>
      </c>
      <c r="B7" s="35" t="s">
        <v>43</v>
      </c>
      <c r="C7" s="36" t="s">
        <v>44</v>
      </c>
      <c r="D7" s="35" t="s">
        <v>45</v>
      </c>
      <c r="E7" s="37" t="s">
        <v>46</v>
      </c>
      <c r="F7" s="37"/>
      <c r="G7" s="35" t="s">
        <v>47</v>
      </c>
      <c r="H7" s="37" t="s">
        <v>48</v>
      </c>
      <c r="I7" s="37" t="s">
        <v>49</v>
      </c>
      <c r="J7" s="38">
        <v>2020050360002</v>
      </c>
      <c r="K7" s="37" t="s">
        <v>50</v>
      </c>
      <c r="L7" s="39">
        <v>40000000</v>
      </c>
      <c r="M7" s="35" t="s">
        <v>51</v>
      </c>
      <c r="N7" s="37" t="s">
        <v>52</v>
      </c>
      <c r="O7" s="37" t="s">
        <v>53</v>
      </c>
      <c r="P7" s="36" t="s">
        <v>54</v>
      </c>
      <c r="Q7" s="35" t="s">
        <v>55</v>
      </c>
      <c r="R7" s="37" t="s">
        <v>56</v>
      </c>
      <c r="S7" s="40" t="s">
        <v>57</v>
      </c>
      <c r="T7" s="41" t="s">
        <v>58</v>
      </c>
    </row>
    <row r="8" spans="1:20" ht="60.75" thickBot="1" x14ac:dyDescent="0.3">
      <c r="A8" s="42">
        <v>2</v>
      </c>
      <c r="B8" s="43" t="s">
        <v>43</v>
      </c>
      <c r="C8" s="44" t="s">
        <v>44</v>
      </c>
      <c r="D8" s="43" t="s">
        <v>45</v>
      </c>
      <c r="E8" s="45" t="s">
        <v>46</v>
      </c>
      <c r="F8" s="45"/>
      <c r="G8" s="43" t="s">
        <v>47</v>
      </c>
      <c r="H8" s="45" t="s">
        <v>48</v>
      </c>
      <c r="I8" s="45" t="s">
        <v>49</v>
      </c>
      <c r="J8" s="46">
        <v>2020050360002</v>
      </c>
      <c r="K8" s="45" t="s">
        <v>50</v>
      </c>
      <c r="L8" s="47">
        <v>40000000</v>
      </c>
      <c r="M8" s="43" t="s">
        <v>59</v>
      </c>
      <c r="N8" s="45" t="s">
        <v>60</v>
      </c>
      <c r="O8" s="45"/>
      <c r="P8" s="44" t="s">
        <v>61</v>
      </c>
      <c r="Q8" s="43" t="s">
        <v>62</v>
      </c>
      <c r="R8" s="45" t="s">
        <v>63</v>
      </c>
      <c r="S8" s="48" t="s">
        <v>57</v>
      </c>
      <c r="T8" s="49" t="s">
        <v>58</v>
      </c>
    </row>
    <row r="9" spans="1:20" ht="60" x14ac:dyDescent="0.25">
      <c r="A9" s="9">
        <v>3</v>
      </c>
      <c r="B9" s="10" t="s">
        <v>64</v>
      </c>
      <c r="C9" s="14" t="s">
        <v>65</v>
      </c>
      <c r="D9" s="10" t="s">
        <v>66</v>
      </c>
      <c r="E9" s="12" t="s">
        <v>67</v>
      </c>
      <c r="F9" s="12"/>
      <c r="G9" s="10" t="s">
        <v>68</v>
      </c>
      <c r="H9" s="12" t="s">
        <v>69</v>
      </c>
      <c r="I9" s="12" t="s">
        <v>70</v>
      </c>
      <c r="J9" s="11">
        <v>2020050360003</v>
      </c>
      <c r="K9" s="12" t="s">
        <v>71</v>
      </c>
      <c r="L9" s="13">
        <v>24000000</v>
      </c>
      <c r="M9" s="10" t="s">
        <v>72</v>
      </c>
      <c r="N9" s="12" t="s">
        <v>73</v>
      </c>
      <c r="O9" s="12" t="s">
        <v>74</v>
      </c>
      <c r="P9" s="14" t="s">
        <v>75</v>
      </c>
      <c r="Q9" s="10" t="s">
        <v>76</v>
      </c>
      <c r="R9" s="12" t="s">
        <v>77</v>
      </c>
      <c r="S9" s="15" t="s">
        <v>78</v>
      </c>
      <c r="T9" s="16" t="s">
        <v>33</v>
      </c>
    </row>
    <row r="10" spans="1:20" ht="60.75" thickBot="1" x14ac:dyDescent="0.3">
      <c r="A10" s="26">
        <v>3</v>
      </c>
      <c r="B10" s="27" t="s">
        <v>64</v>
      </c>
      <c r="C10" s="31" t="s">
        <v>65</v>
      </c>
      <c r="D10" s="27" t="s">
        <v>66</v>
      </c>
      <c r="E10" s="29" t="s">
        <v>67</v>
      </c>
      <c r="F10" s="29"/>
      <c r="G10" s="27" t="s">
        <v>68</v>
      </c>
      <c r="H10" s="29" t="s">
        <v>69</v>
      </c>
      <c r="I10" s="29" t="s">
        <v>70</v>
      </c>
      <c r="J10" s="28">
        <v>2020050360003</v>
      </c>
      <c r="K10" s="29" t="s">
        <v>71</v>
      </c>
      <c r="L10" s="30">
        <v>24000000</v>
      </c>
      <c r="M10" s="27" t="s">
        <v>79</v>
      </c>
      <c r="N10" s="29" t="s">
        <v>80</v>
      </c>
      <c r="O10" s="29" t="s">
        <v>81</v>
      </c>
      <c r="P10" s="31" t="s">
        <v>82</v>
      </c>
      <c r="Q10" s="27" t="s">
        <v>83</v>
      </c>
      <c r="R10" s="29" t="s">
        <v>84</v>
      </c>
      <c r="S10" s="32" t="s">
        <v>57</v>
      </c>
      <c r="T10" s="33" t="s">
        <v>33</v>
      </c>
    </row>
    <row r="11" spans="1:20" ht="45" x14ac:dyDescent="0.25">
      <c r="A11" s="34">
        <v>4</v>
      </c>
      <c r="B11" s="35" t="s">
        <v>85</v>
      </c>
      <c r="C11" s="35" t="s">
        <v>86</v>
      </c>
      <c r="D11" s="35" t="s">
        <v>87</v>
      </c>
      <c r="E11" s="37" t="s">
        <v>88</v>
      </c>
      <c r="F11" s="37"/>
      <c r="G11" s="35" t="s">
        <v>89</v>
      </c>
      <c r="H11" s="37" t="s">
        <v>90</v>
      </c>
      <c r="I11" s="37" t="s">
        <v>91</v>
      </c>
      <c r="J11" s="50">
        <v>2020050360004</v>
      </c>
      <c r="K11" s="37" t="s">
        <v>92</v>
      </c>
      <c r="L11" s="51">
        <v>82500000</v>
      </c>
      <c r="M11" s="52" t="s">
        <v>93</v>
      </c>
      <c r="N11" s="37" t="s">
        <v>94</v>
      </c>
      <c r="O11" s="37" t="s">
        <v>95</v>
      </c>
      <c r="P11" s="36" t="s">
        <v>96</v>
      </c>
      <c r="Q11" s="35" t="s">
        <v>97</v>
      </c>
      <c r="R11" s="37" t="s">
        <v>94</v>
      </c>
      <c r="S11" s="40" t="s">
        <v>57</v>
      </c>
      <c r="T11" s="41" t="s">
        <v>33</v>
      </c>
    </row>
    <row r="12" spans="1:20" ht="60.75" thickBot="1" x14ac:dyDescent="0.3">
      <c r="A12" s="42">
        <v>4</v>
      </c>
      <c r="B12" s="43" t="s">
        <v>85</v>
      </c>
      <c r="C12" s="43" t="s">
        <v>86</v>
      </c>
      <c r="D12" s="43" t="s">
        <v>87</v>
      </c>
      <c r="E12" s="45" t="s">
        <v>88</v>
      </c>
      <c r="F12" s="45"/>
      <c r="G12" s="43" t="s">
        <v>89</v>
      </c>
      <c r="H12" s="45" t="s">
        <v>90</v>
      </c>
      <c r="I12" s="45" t="s">
        <v>91</v>
      </c>
      <c r="J12" s="53">
        <v>2020050360004</v>
      </c>
      <c r="K12" s="45" t="s">
        <v>92</v>
      </c>
      <c r="L12" s="54">
        <v>82500000</v>
      </c>
      <c r="M12" s="55" t="s">
        <v>98</v>
      </c>
      <c r="N12" s="45" t="s">
        <v>99</v>
      </c>
      <c r="O12" s="45" t="s">
        <v>100</v>
      </c>
      <c r="P12" s="44" t="s">
        <v>96</v>
      </c>
      <c r="Q12" s="43" t="s">
        <v>101</v>
      </c>
      <c r="R12" s="45" t="s">
        <v>102</v>
      </c>
      <c r="S12" s="48" t="s">
        <v>57</v>
      </c>
      <c r="T12" s="49" t="s">
        <v>33</v>
      </c>
    </row>
    <row r="13" spans="1:20" ht="60" x14ac:dyDescent="0.25">
      <c r="A13" s="9">
        <v>5</v>
      </c>
      <c r="B13" s="10" t="s">
        <v>43</v>
      </c>
      <c r="C13" s="14" t="s">
        <v>44</v>
      </c>
      <c r="D13" s="10" t="s">
        <v>45</v>
      </c>
      <c r="E13" s="12" t="s">
        <v>46</v>
      </c>
      <c r="F13" s="12"/>
      <c r="G13" s="10" t="s">
        <v>47</v>
      </c>
      <c r="H13" s="12" t="s">
        <v>48</v>
      </c>
      <c r="I13" s="12" t="s">
        <v>49</v>
      </c>
      <c r="J13" s="11">
        <v>2020050360005</v>
      </c>
      <c r="K13" s="12" t="s">
        <v>103</v>
      </c>
      <c r="L13" s="13">
        <v>452857821</v>
      </c>
      <c r="M13" s="10" t="s">
        <v>104</v>
      </c>
      <c r="N13" s="12" t="s">
        <v>105</v>
      </c>
      <c r="O13" s="12" t="s">
        <v>106</v>
      </c>
      <c r="P13" s="14" t="s">
        <v>54</v>
      </c>
      <c r="Q13" s="10" t="s">
        <v>107</v>
      </c>
      <c r="R13" s="12" t="s">
        <v>108</v>
      </c>
      <c r="S13" s="15" t="s">
        <v>57</v>
      </c>
      <c r="T13" s="16" t="s">
        <v>58</v>
      </c>
    </row>
    <row r="14" spans="1:20" ht="75" x14ac:dyDescent="0.25">
      <c r="A14" s="18">
        <v>5</v>
      </c>
      <c r="B14" s="19" t="s">
        <v>43</v>
      </c>
      <c r="C14" s="23" t="s">
        <v>44</v>
      </c>
      <c r="D14" s="19" t="s">
        <v>45</v>
      </c>
      <c r="E14" s="21" t="s">
        <v>46</v>
      </c>
      <c r="F14" s="21"/>
      <c r="G14" s="19" t="s">
        <v>47</v>
      </c>
      <c r="H14" s="21" t="s">
        <v>48</v>
      </c>
      <c r="I14" s="21" t="s">
        <v>49</v>
      </c>
      <c r="J14" s="20">
        <v>2020050360005</v>
      </c>
      <c r="K14" s="21" t="s">
        <v>103</v>
      </c>
      <c r="L14" s="22">
        <v>452857821</v>
      </c>
      <c r="M14" s="19" t="s">
        <v>109</v>
      </c>
      <c r="N14" s="21" t="s">
        <v>110</v>
      </c>
      <c r="O14" s="21"/>
      <c r="P14" s="23" t="s">
        <v>111</v>
      </c>
      <c r="Q14" s="19" t="s">
        <v>112</v>
      </c>
      <c r="R14" s="21" t="s">
        <v>113</v>
      </c>
      <c r="S14" s="24" t="s">
        <v>57</v>
      </c>
      <c r="T14" s="25" t="s">
        <v>58</v>
      </c>
    </row>
    <row r="15" spans="1:20" ht="60" x14ac:dyDescent="0.25">
      <c r="A15" s="18">
        <v>5</v>
      </c>
      <c r="B15" s="19" t="s">
        <v>43</v>
      </c>
      <c r="C15" s="23" t="s">
        <v>44</v>
      </c>
      <c r="D15" s="19" t="s">
        <v>45</v>
      </c>
      <c r="E15" s="21" t="s">
        <v>46</v>
      </c>
      <c r="F15" s="21"/>
      <c r="G15" s="19" t="s">
        <v>47</v>
      </c>
      <c r="H15" s="21" t="s">
        <v>48</v>
      </c>
      <c r="I15" s="21" t="s">
        <v>49</v>
      </c>
      <c r="J15" s="20">
        <v>2020050360005</v>
      </c>
      <c r="K15" s="21" t="s">
        <v>103</v>
      </c>
      <c r="L15" s="22">
        <v>452857821</v>
      </c>
      <c r="M15" s="19" t="s">
        <v>114</v>
      </c>
      <c r="N15" s="21" t="s">
        <v>115</v>
      </c>
      <c r="O15" s="21" t="s">
        <v>116</v>
      </c>
      <c r="P15" s="23" t="s">
        <v>54</v>
      </c>
      <c r="Q15" s="19" t="s">
        <v>117</v>
      </c>
      <c r="R15" s="21" t="s">
        <v>118</v>
      </c>
      <c r="S15" s="24" t="s">
        <v>57</v>
      </c>
      <c r="T15" s="25" t="s">
        <v>58</v>
      </c>
    </row>
    <row r="16" spans="1:20" ht="60" x14ac:dyDescent="0.25">
      <c r="A16" s="18">
        <v>5</v>
      </c>
      <c r="B16" s="19" t="s">
        <v>43</v>
      </c>
      <c r="C16" s="23" t="s">
        <v>44</v>
      </c>
      <c r="D16" s="19" t="s">
        <v>45</v>
      </c>
      <c r="E16" s="21" t="s">
        <v>46</v>
      </c>
      <c r="F16" s="21"/>
      <c r="G16" s="19" t="s">
        <v>47</v>
      </c>
      <c r="H16" s="21" t="s">
        <v>48</v>
      </c>
      <c r="I16" s="21" t="s">
        <v>49</v>
      </c>
      <c r="J16" s="20">
        <v>2020050360005</v>
      </c>
      <c r="K16" s="21" t="s">
        <v>103</v>
      </c>
      <c r="L16" s="22">
        <v>452857821</v>
      </c>
      <c r="M16" s="19" t="s">
        <v>119</v>
      </c>
      <c r="N16" s="21" t="s">
        <v>120</v>
      </c>
      <c r="O16" s="21" t="s">
        <v>121</v>
      </c>
      <c r="P16" s="23" t="s">
        <v>122</v>
      </c>
      <c r="Q16" s="19" t="s">
        <v>123</v>
      </c>
      <c r="R16" s="21" t="s">
        <v>120</v>
      </c>
      <c r="S16" s="24" t="s">
        <v>57</v>
      </c>
      <c r="T16" s="25" t="s">
        <v>58</v>
      </c>
    </row>
    <row r="17" spans="1:20" ht="60" x14ac:dyDescent="0.25">
      <c r="A17" s="18">
        <v>5</v>
      </c>
      <c r="B17" s="19" t="s">
        <v>43</v>
      </c>
      <c r="C17" s="23" t="s">
        <v>44</v>
      </c>
      <c r="D17" s="19" t="s">
        <v>45</v>
      </c>
      <c r="E17" s="21" t="s">
        <v>46</v>
      </c>
      <c r="F17" s="21"/>
      <c r="G17" s="19" t="s">
        <v>47</v>
      </c>
      <c r="H17" s="21" t="s">
        <v>48</v>
      </c>
      <c r="I17" s="21" t="s">
        <v>49</v>
      </c>
      <c r="J17" s="20">
        <v>2020050360005</v>
      </c>
      <c r="K17" s="21" t="s">
        <v>103</v>
      </c>
      <c r="L17" s="22">
        <v>452857821</v>
      </c>
      <c r="M17" s="19" t="s">
        <v>119</v>
      </c>
      <c r="N17" s="21" t="s">
        <v>120</v>
      </c>
      <c r="O17" s="21" t="s">
        <v>121</v>
      </c>
      <c r="P17" s="23" t="s">
        <v>122</v>
      </c>
      <c r="Q17" s="19" t="s">
        <v>124</v>
      </c>
      <c r="R17" s="21" t="s">
        <v>125</v>
      </c>
      <c r="S17" s="24" t="s">
        <v>57</v>
      </c>
      <c r="T17" s="25" t="s">
        <v>58</v>
      </c>
    </row>
    <row r="18" spans="1:20" ht="60" x14ac:dyDescent="0.25">
      <c r="A18" s="18">
        <v>5</v>
      </c>
      <c r="B18" s="19" t="s">
        <v>43</v>
      </c>
      <c r="C18" s="23" t="s">
        <v>44</v>
      </c>
      <c r="D18" s="19" t="s">
        <v>45</v>
      </c>
      <c r="E18" s="21" t="s">
        <v>46</v>
      </c>
      <c r="F18" s="21"/>
      <c r="G18" s="19" t="s">
        <v>47</v>
      </c>
      <c r="H18" s="21" t="s">
        <v>48</v>
      </c>
      <c r="I18" s="21" t="s">
        <v>49</v>
      </c>
      <c r="J18" s="20">
        <v>2020050360005</v>
      </c>
      <c r="K18" s="21" t="s">
        <v>103</v>
      </c>
      <c r="L18" s="22">
        <v>452857821</v>
      </c>
      <c r="M18" s="56" t="s">
        <v>126</v>
      </c>
      <c r="N18" s="21" t="s">
        <v>127</v>
      </c>
      <c r="O18" s="21" t="s">
        <v>128</v>
      </c>
      <c r="P18" s="23" t="s">
        <v>129</v>
      </c>
      <c r="Q18" s="19" t="s">
        <v>130</v>
      </c>
      <c r="R18" s="21" t="s">
        <v>127</v>
      </c>
      <c r="S18" s="24" t="s">
        <v>57</v>
      </c>
      <c r="T18" s="25" t="s">
        <v>58</v>
      </c>
    </row>
    <row r="19" spans="1:20" ht="60.75" thickBot="1" x14ac:dyDescent="0.3">
      <c r="A19" s="26">
        <v>5</v>
      </c>
      <c r="B19" s="27" t="s">
        <v>43</v>
      </c>
      <c r="C19" s="31" t="s">
        <v>44</v>
      </c>
      <c r="D19" s="27" t="s">
        <v>45</v>
      </c>
      <c r="E19" s="29" t="s">
        <v>46</v>
      </c>
      <c r="F19" s="29"/>
      <c r="G19" s="27" t="s">
        <v>47</v>
      </c>
      <c r="H19" s="29" t="s">
        <v>48</v>
      </c>
      <c r="I19" s="29" t="s">
        <v>49</v>
      </c>
      <c r="J19" s="28">
        <v>2020050360005</v>
      </c>
      <c r="K19" s="29" t="s">
        <v>103</v>
      </c>
      <c r="L19" s="30">
        <v>452857821</v>
      </c>
      <c r="M19" s="57" t="s">
        <v>126</v>
      </c>
      <c r="N19" s="29" t="s">
        <v>127</v>
      </c>
      <c r="O19" s="29" t="s">
        <v>128</v>
      </c>
      <c r="P19" s="31"/>
      <c r="Q19" s="27" t="s">
        <v>131</v>
      </c>
      <c r="R19" s="29" t="s">
        <v>132</v>
      </c>
      <c r="S19" s="32" t="s">
        <v>57</v>
      </c>
      <c r="T19" s="33" t="s">
        <v>58</v>
      </c>
    </row>
    <row r="20" spans="1:20" ht="30" customHeight="1" x14ac:dyDescent="0.25">
      <c r="A20" s="34">
        <v>6</v>
      </c>
      <c r="B20" s="35" t="s">
        <v>133</v>
      </c>
      <c r="C20" s="36" t="s">
        <v>134</v>
      </c>
      <c r="D20" s="35" t="s">
        <v>135</v>
      </c>
      <c r="E20" s="37" t="s">
        <v>136</v>
      </c>
      <c r="F20" s="37"/>
      <c r="G20" s="35" t="s">
        <v>137</v>
      </c>
      <c r="H20" s="37" t="s">
        <v>138</v>
      </c>
      <c r="I20" s="37" t="s">
        <v>139</v>
      </c>
      <c r="J20" s="50">
        <v>2020050360006</v>
      </c>
      <c r="K20" s="37" t="s">
        <v>140</v>
      </c>
      <c r="L20" s="51">
        <v>60000000</v>
      </c>
      <c r="M20" s="35" t="s">
        <v>141</v>
      </c>
      <c r="N20" s="37" t="s">
        <v>138</v>
      </c>
      <c r="O20" s="37"/>
      <c r="P20" s="36" t="s">
        <v>142</v>
      </c>
      <c r="Q20" s="35" t="s">
        <v>143</v>
      </c>
      <c r="R20" s="37" t="s">
        <v>144</v>
      </c>
      <c r="S20" s="40" t="s">
        <v>142</v>
      </c>
      <c r="T20" s="41" t="s">
        <v>145</v>
      </c>
    </row>
    <row r="21" spans="1:20" ht="45" x14ac:dyDescent="0.25">
      <c r="A21" s="58">
        <v>6</v>
      </c>
      <c r="B21" s="59" t="s">
        <v>133</v>
      </c>
      <c r="C21" s="60" t="s">
        <v>134</v>
      </c>
      <c r="D21" s="59" t="s">
        <v>135</v>
      </c>
      <c r="E21" s="61" t="s">
        <v>136</v>
      </c>
      <c r="F21" s="61"/>
      <c r="G21" s="59" t="s">
        <v>137</v>
      </c>
      <c r="H21" s="61" t="s">
        <v>138</v>
      </c>
      <c r="I21" s="61" t="s">
        <v>139</v>
      </c>
      <c r="J21" s="62">
        <v>2020050360006</v>
      </c>
      <c r="K21" s="61" t="s">
        <v>140</v>
      </c>
      <c r="L21" s="63">
        <v>60000000</v>
      </c>
      <c r="M21" s="59" t="s">
        <v>146</v>
      </c>
      <c r="N21" s="61" t="s">
        <v>147</v>
      </c>
      <c r="O21" s="61"/>
      <c r="P21" s="60" t="s">
        <v>142</v>
      </c>
      <c r="Q21" s="59" t="s">
        <v>148</v>
      </c>
      <c r="R21" s="61" t="s">
        <v>149</v>
      </c>
      <c r="S21" s="64" t="s">
        <v>142</v>
      </c>
      <c r="T21" s="65" t="s">
        <v>145</v>
      </c>
    </row>
    <row r="22" spans="1:20" ht="45" x14ac:dyDescent="0.25">
      <c r="A22" s="58">
        <v>6</v>
      </c>
      <c r="B22" s="59" t="s">
        <v>133</v>
      </c>
      <c r="C22" s="60" t="s">
        <v>134</v>
      </c>
      <c r="D22" s="59" t="s">
        <v>135</v>
      </c>
      <c r="E22" s="61" t="s">
        <v>136</v>
      </c>
      <c r="F22" s="61"/>
      <c r="G22" s="59" t="s">
        <v>137</v>
      </c>
      <c r="H22" s="61" t="s">
        <v>138</v>
      </c>
      <c r="I22" s="61" t="s">
        <v>139</v>
      </c>
      <c r="J22" s="62">
        <v>2020050360006</v>
      </c>
      <c r="K22" s="61" t="s">
        <v>140</v>
      </c>
      <c r="L22" s="63">
        <v>60000000</v>
      </c>
      <c r="M22" s="59" t="s">
        <v>150</v>
      </c>
      <c r="N22" s="61" t="s">
        <v>151</v>
      </c>
      <c r="O22" s="61"/>
      <c r="P22" s="60" t="s">
        <v>142</v>
      </c>
      <c r="Q22" s="59" t="s">
        <v>152</v>
      </c>
      <c r="R22" s="61" t="s">
        <v>153</v>
      </c>
      <c r="S22" s="64" t="s">
        <v>142</v>
      </c>
      <c r="T22" s="65" t="s">
        <v>145</v>
      </c>
    </row>
    <row r="23" spans="1:20" ht="45" x14ac:dyDescent="0.25">
      <c r="A23" s="58">
        <v>6</v>
      </c>
      <c r="B23" s="59" t="s">
        <v>133</v>
      </c>
      <c r="C23" s="60" t="s">
        <v>134</v>
      </c>
      <c r="D23" s="59" t="s">
        <v>135</v>
      </c>
      <c r="E23" s="61" t="s">
        <v>136</v>
      </c>
      <c r="F23" s="61"/>
      <c r="G23" s="59" t="s">
        <v>137</v>
      </c>
      <c r="H23" s="61" t="s">
        <v>138</v>
      </c>
      <c r="I23" s="61" t="s">
        <v>139</v>
      </c>
      <c r="J23" s="62">
        <v>2020050360006</v>
      </c>
      <c r="K23" s="61" t="s">
        <v>140</v>
      </c>
      <c r="L23" s="63">
        <v>60000000</v>
      </c>
      <c r="M23" s="59" t="s">
        <v>154</v>
      </c>
      <c r="N23" s="61" t="s">
        <v>155</v>
      </c>
      <c r="O23" s="61"/>
      <c r="P23" s="60" t="s">
        <v>142</v>
      </c>
      <c r="Q23" s="59" t="s">
        <v>156</v>
      </c>
      <c r="R23" s="61" t="s">
        <v>157</v>
      </c>
      <c r="S23" s="64" t="s">
        <v>142</v>
      </c>
      <c r="T23" s="65" t="s">
        <v>145</v>
      </c>
    </row>
    <row r="24" spans="1:20" ht="45.75" thickBot="1" x14ac:dyDescent="0.3">
      <c r="A24" s="42">
        <v>6</v>
      </c>
      <c r="B24" s="43" t="s">
        <v>133</v>
      </c>
      <c r="C24" s="44" t="s">
        <v>134</v>
      </c>
      <c r="D24" s="43" t="s">
        <v>135</v>
      </c>
      <c r="E24" s="45" t="s">
        <v>136</v>
      </c>
      <c r="F24" s="45"/>
      <c r="G24" s="43" t="s">
        <v>137</v>
      </c>
      <c r="H24" s="45" t="s">
        <v>138</v>
      </c>
      <c r="I24" s="45" t="s">
        <v>139</v>
      </c>
      <c r="J24" s="53">
        <v>2020050360006</v>
      </c>
      <c r="K24" s="45" t="s">
        <v>140</v>
      </c>
      <c r="L24" s="54">
        <v>60000000</v>
      </c>
      <c r="M24" s="43" t="s">
        <v>158</v>
      </c>
      <c r="N24" s="45" t="s">
        <v>159</v>
      </c>
      <c r="O24" s="45"/>
      <c r="P24" s="44" t="s">
        <v>142</v>
      </c>
      <c r="Q24" s="43" t="s">
        <v>160</v>
      </c>
      <c r="R24" s="45" t="s">
        <v>161</v>
      </c>
      <c r="S24" s="48" t="s">
        <v>142</v>
      </c>
      <c r="T24" s="49" t="s">
        <v>145</v>
      </c>
    </row>
    <row r="25" spans="1:20" ht="45" x14ac:dyDescent="0.25">
      <c r="A25" s="9">
        <v>7</v>
      </c>
      <c r="B25" s="10" t="s">
        <v>162</v>
      </c>
      <c r="C25" s="14" t="s">
        <v>163</v>
      </c>
      <c r="D25" s="10" t="s">
        <v>164</v>
      </c>
      <c r="E25" s="12" t="s">
        <v>165</v>
      </c>
      <c r="F25" s="12"/>
      <c r="G25" s="66"/>
      <c r="H25" s="12" t="s">
        <v>166</v>
      </c>
      <c r="I25" s="12" t="s">
        <v>167</v>
      </c>
      <c r="J25" s="67">
        <v>2020050360007</v>
      </c>
      <c r="K25" s="12" t="s">
        <v>168</v>
      </c>
      <c r="L25" s="68">
        <v>111050646</v>
      </c>
      <c r="M25" s="10" t="s">
        <v>169</v>
      </c>
      <c r="N25" s="12" t="s">
        <v>170</v>
      </c>
      <c r="O25" s="12" t="s">
        <v>171</v>
      </c>
      <c r="P25" s="14" t="s">
        <v>172</v>
      </c>
      <c r="Q25" s="10" t="s">
        <v>173</v>
      </c>
      <c r="R25" s="12" t="s">
        <v>174</v>
      </c>
      <c r="S25" s="15" t="s">
        <v>57</v>
      </c>
      <c r="T25" s="16" t="s">
        <v>145</v>
      </c>
    </row>
    <row r="26" spans="1:20" ht="60" x14ac:dyDescent="0.25">
      <c r="A26" s="18">
        <v>7</v>
      </c>
      <c r="B26" s="19" t="s">
        <v>162</v>
      </c>
      <c r="C26" s="23" t="s">
        <v>163</v>
      </c>
      <c r="D26" s="19" t="s">
        <v>164</v>
      </c>
      <c r="E26" s="21" t="s">
        <v>165</v>
      </c>
      <c r="F26" s="21"/>
      <c r="G26" s="69"/>
      <c r="H26" s="21" t="s">
        <v>166</v>
      </c>
      <c r="I26" s="21" t="s">
        <v>175</v>
      </c>
      <c r="J26" s="28">
        <v>2020050360007</v>
      </c>
      <c r="K26" s="21" t="s">
        <v>168</v>
      </c>
      <c r="L26" s="30">
        <v>111050646</v>
      </c>
      <c r="M26" s="19" t="s">
        <v>176</v>
      </c>
      <c r="N26" s="21" t="s">
        <v>177</v>
      </c>
      <c r="O26" s="21" t="s">
        <v>178</v>
      </c>
      <c r="P26" s="23" t="s">
        <v>179</v>
      </c>
      <c r="Q26" s="19" t="s">
        <v>180</v>
      </c>
      <c r="R26" s="21" t="s">
        <v>181</v>
      </c>
      <c r="S26" s="24" t="s">
        <v>57</v>
      </c>
      <c r="T26" s="25" t="s">
        <v>145</v>
      </c>
    </row>
    <row r="27" spans="1:20" ht="60" x14ac:dyDescent="0.25">
      <c r="A27" s="18">
        <v>7</v>
      </c>
      <c r="B27" s="19" t="s">
        <v>162</v>
      </c>
      <c r="C27" s="23" t="s">
        <v>163</v>
      </c>
      <c r="D27" s="19" t="s">
        <v>164</v>
      </c>
      <c r="E27" s="21" t="s">
        <v>165</v>
      </c>
      <c r="F27" s="21"/>
      <c r="G27" s="69"/>
      <c r="H27" s="21" t="s">
        <v>166</v>
      </c>
      <c r="I27" s="21" t="s">
        <v>167</v>
      </c>
      <c r="J27" s="28">
        <v>2020050360007</v>
      </c>
      <c r="K27" s="21" t="s">
        <v>168</v>
      </c>
      <c r="L27" s="30">
        <v>111050646</v>
      </c>
      <c r="M27" s="19" t="s">
        <v>182</v>
      </c>
      <c r="N27" s="21" t="s">
        <v>183</v>
      </c>
      <c r="O27" s="21" t="s">
        <v>184</v>
      </c>
      <c r="P27" s="23" t="s">
        <v>185</v>
      </c>
      <c r="Q27" s="19" t="s">
        <v>186</v>
      </c>
      <c r="R27" s="21" t="s">
        <v>187</v>
      </c>
      <c r="S27" s="24" t="s">
        <v>57</v>
      </c>
      <c r="T27" s="25" t="s">
        <v>145</v>
      </c>
    </row>
    <row r="28" spans="1:20" ht="90" x14ac:dyDescent="0.25">
      <c r="A28" s="18">
        <v>7</v>
      </c>
      <c r="B28" s="19" t="s">
        <v>162</v>
      </c>
      <c r="C28" s="23" t="s">
        <v>163</v>
      </c>
      <c r="D28" s="19" t="s">
        <v>164</v>
      </c>
      <c r="E28" s="21" t="s">
        <v>165</v>
      </c>
      <c r="F28" s="21"/>
      <c r="G28" s="69"/>
      <c r="H28" s="21" t="s">
        <v>166</v>
      </c>
      <c r="I28" s="21" t="s">
        <v>167</v>
      </c>
      <c r="J28" s="28">
        <v>2020050360007</v>
      </c>
      <c r="K28" s="21" t="s">
        <v>168</v>
      </c>
      <c r="L28" s="30">
        <v>111050646</v>
      </c>
      <c r="M28" s="19" t="s">
        <v>188</v>
      </c>
      <c r="N28" s="21" t="s">
        <v>189</v>
      </c>
      <c r="O28" s="21" t="s">
        <v>190</v>
      </c>
      <c r="P28" s="23" t="s">
        <v>185</v>
      </c>
      <c r="Q28" s="19" t="s">
        <v>191</v>
      </c>
      <c r="R28" s="21" t="s">
        <v>192</v>
      </c>
      <c r="S28" s="24" t="s">
        <v>57</v>
      </c>
      <c r="T28" s="25" t="s">
        <v>145</v>
      </c>
    </row>
    <row r="29" spans="1:20" ht="45" x14ac:dyDescent="0.25">
      <c r="A29" s="18">
        <v>7</v>
      </c>
      <c r="B29" s="19" t="s">
        <v>162</v>
      </c>
      <c r="C29" s="23" t="s">
        <v>163</v>
      </c>
      <c r="D29" s="19" t="s">
        <v>164</v>
      </c>
      <c r="E29" s="21" t="s">
        <v>165</v>
      </c>
      <c r="F29" s="21"/>
      <c r="G29" s="69"/>
      <c r="H29" s="21" t="s">
        <v>166</v>
      </c>
      <c r="I29" s="21" t="s">
        <v>167</v>
      </c>
      <c r="J29" s="28">
        <v>2020050360007</v>
      </c>
      <c r="K29" s="21" t="s">
        <v>168</v>
      </c>
      <c r="L29" s="30">
        <v>111050646</v>
      </c>
      <c r="M29" s="19" t="s">
        <v>193</v>
      </c>
      <c r="N29" s="21" t="s">
        <v>194</v>
      </c>
      <c r="O29" s="21" t="s">
        <v>178</v>
      </c>
      <c r="P29" s="23" t="s">
        <v>195</v>
      </c>
      <c r="Q29" s="19" t="s">
        <v>196</v>
      </c>
      <c r="R29" s="21" t="s">
        <v>197</v>
      </c>
      <c r="S29" s="24" t="s">
        <v>57</v>
      </c>
      <c r="T29" s="25" t="s">
        <v>145</v>
      </c>
    </row>
    <row r="30" spans="1:20" ht="90.75" thickBot="1" x14ac:dyDescent="0.3">
      <c r="A30" s="70">
        <v>7</v>
      </c>
      <c r="B30" s="71" t="s">
        <v>162</v>
      </c>
      <c r="C30" s="72" t="s">
        <v>163</v>
      </c>
      <c r="D30" s="71" t="s">
        <v>164</v>
      </c>
      <c r="E30" s="73" t="s">
        <v>165</v>
      </c>
      <c r="F30" s="73"/>
      <c r="G30" s="74"/>
      <c r="H30" s="73" t="s">
        <v>166</v>
      </c>
      <c r="I30" s="73" t="s">
        <v>167</v>
      </c>
      <c r="J30" s="75">
        <v>2020050360007</v>
      </c>
      <c r="K30" s="73" t="s">
        <v>168</v>
      </c>
      <c r="L30" s="76">
        <v>111050646</v>
      </c>
      <c r="M30" s="71" t="s">
        <v>198</v>
      </c>
      <c r="N30" s="73" t="s">
        <v>199</v>
      </c>
      <c r="O30" s="73" t="s">
        <v>200</v>
      </c>
      <c r="P30" s="72" t="s">
        <v>201</v>
      </c>
      <c r="Q30" s="71" t="s">
        <v>202</v>
      </c>
      <c r="R30" s="73" t="s">
        <v>203</v>
      </c>
      <c r="S30" s="77" t="s">
        <v>57</v>
      </c>
      <c r="T30" s="78" t="s">
        <v>145</v>
      </c>
    </row>
    <row r="31" spans="1:20" ht="90" x14ac:dyDescent="0.25">
      <c r="A31" s="34">
        <v>8</v>
      </c>
      <c r="B31" s="35" t="s">
        <v>204</v>
      </c>
      <c r="C31" s="36" t="s">
        <v>205</v>
      </c>
      <c r="D31" s="35" t="s">
        <v>206</v>
      </c>
      <c r="E31" s="37" t="s">
        <v>207</v>
      </c>
      <c r="F31" s="37"/>
      <c r="G31" s="66"/>
      <c r="H31" s="37" t="s">
        <v>208</v>
      </c>
      <c r="I31" s="37" t="s">
        <v>209</v>
      </c>
      <c r="J31" s="50">
        <v>2020050360008</v>
      </c>
      <c r="K31" s="37" t="s">
        <v>210</v>
      </c>
      <c r="L31" s="51">
        <v>19200000</v>
      </c>
      <c r="M31" s="35" t="s">
        <v>211</v>
      </c>
      <c r="N31" s="37" t="s">
        <v>212</v>
      </c>
      <c r="O31" s="37" t="s">
        <v>209</v>
      </c>
      <c r="P31" s="36" t="s">
        <v>213</v>
      </c>
      <c r="Q31" s="35" t="s">
        <v>214</v>
      </c>
      <c r="R31" s="37" t="s">
        <v>215</v>
      </c>
      <c r="S31" s="40" t="s">
        <v>57</v>
      </c>
      <c r="T31" s="41" t="s">
        <v>216</v>
      </c>
    </row>
    <row r="32" spans="1:20" ht="90" x14ac:dyDescent="0.25">
      <c r="A32" s="58">
        <v>8</v>
      </c>
      <c r="B32" s="59" t="s">
        <v>204</v>
      </c>
      <c r="C32" s="60" t="s">
        <v>205</v>
      </c>
      <c r="D32" s="59" t="s">
        <v>206</v>
      </c>
      <c r="E32" s="61" t="s">
        <v>207</v>
      </c>
      <c r="F32" s="61"/>
      <c r="G32" s="69"/>
      <c r="H32" s="61" t="s">
        <v>208</v>
      </c>
      <c r="I32" s="61" t="s">
        <v>209</v>
      </c>
      <c r="J32" s="62">
        <v>2020050360008</v>
      </c>
      <c r="K32" s="61" t="s">
        <v>210</v>
      </c>
      <c r="L32" s="63">
        <v>19200000</v>
      </c>
      <c r="M32" s="59" t="s">
        <v>211</v>
      </c>
      <c r="N32" s="61" t="s">
        <v>212</v>
      </c>
      <c r="O32" s="61" t="s">
        <v>209</v>
      </c>
      <c r="P32" s="60"/>
      <c r="Q32" s="59" t="s">
        <v>217</v>
      </c>
      <c r="R32" s="61" t="s">
        <v>218</v>
      </c>
      <c r="S32" s="64" t="s">
        <v>57</v>
      </c>
      <c r="T32" s="65" t="s">
        <v>216</v>
      </c>
    </row>
    <row r="33" spans="1:20" ht="90" x14ac:dyDescent="0.25">
      <c r="A33" s="58">
        <v>8</v>
      </c>
      <c r="B33" s="59" t="s">
        <v>204</v>
      </c>
      <c r="C33" s="60" t="s">
        <v>205</v>
      </c>
      <c r="D33" s="59" t="s">
        <v>206</v>
      </c>
      <c r="E33" s="61" t="s">
        <v>207</v>
      </c>
      <c r="F33" s="61"/>
      <c r="G33" s="69"/>
      <c r="H33" s="61" t="s">
        <v>208</v>
      </c>
      <c r="I33" s="61" t="s">
        <v>209</v>
      </c>
      <c r="J33" s="62">
        <v>2020050360008</v>
      </c>
      <c r="K33" s="61" t="s">
        <v>210</v>
      </c>
      <c r="L33" s="63">
        <v>19200000</v>
      </c>
      <c r="M33" s="59" t="s">
        <v>211</v>
      </c>
      <c r="N33" s="61" t="s">
        <v>212</v>
      </c>
      <c r="O33" s="61" t="s">
        <v>209</v>
      </c>
      <c r="P33" s="60"/>
      <c r="Q33" s="59" t="s">
        <v>219</v>
      </c>
      <c r="R33" s="61" t="s">
        <v>220</v>
      </c>
      <c r="S33" s="64" t="s">
        <v>57</v>
      </c>
      <c r="T33" s="65" t="s">
        <v>216</v>
      </c>
    </row>
    <row r="34" spans="1:20" ht="90.75" thickBot="1" x14ac:dyDescent="0.3">
      <c r="A34" s="42">
        <v>8</v>
      </c>
      <c r="B34" s="43" t="s">
        <v>204</v>
      </c>
      <c r="C34" s="44" t="s">
        <v>205</v>
      </c>
      <c r="D34" s="43" t="s">
        <v>206</v>
      </c>
      <c r="E34" s="45" t="s">
        <v>207</v>
      </c>
      <c r="F34" s="45"/>
      <c r="G34" s="79"/>
      <c r="H34" s="45" t="s">
        <v>208</v>
      </c>
      <c r="I34" s="45" t="s">
        <v>209</v>
      </c>
      <c r="J34" s="53">
        <v>2020050360008</v>
      </c>
      <c r="K34" s="45" t="s">
        <v>210</v>
      </c>
      <c r="L34" s="54">
        <v>19200000</v>
      </c>
      <c r="M34" s="43" t="s">
        <v>211</v>
      </c>
      <c r="N34" s="45" t="s">
        <v>212</v>
      </c>
      <c r="O34" s="45" t="s">
        <v>209</v>
      </c>
      <c r="P34" s="44"/>
      <c r="Q34" s="43" t="s">
        <v>221</v>
      </c>
      <c r="R34" s="45" t="s">
        <v>222</v>
      </c>
      <c r="S34" s="48" t="s">
        <v>78</v>
      </c>
      <c r="T34" s="49" t="s">
        <v>216</v>
      </c>
    </row>
    <row r="35" spans="1:20" ht="60" x14ac:dyDescent="0.25">
      <c r="A35" s="9">
        <v>9</v>
      </c>
      <c r="B35" s="10" t="s">
        <v>64</v>
      </c>
      <c r="C35" s="14" t="s">
        <v>65</v>
      </c>
      <c r="D35" s="10" t="s">
        <v>223</v>
      </c>
      <c r="E35" s="12" t="s">
        <v>224</v>
      </c>
      <c r="F35" s="12"/>
      <c r="G35" s="10" t="s">
        <v>225</v>
      </c>
      <c r="H35" s="12" t="s">
        <v>226</v>
      </c>
      <c r="I35" s="12" t="s">
        <v>227</v>
      </c>
      <c r="J35" s="11">
        <v>2020050360009</v>
      </c>
      <c r="K35" s="12" t="s">
        <v>228</v>
      </c>
      <c r="L35" s="13">
        <f>3500000*12</f>
        <v>42000000</v>
      </c>
      <c r="M35" s="10" t="s">
        <v>229</v>
      </c>
      <c r="N35" s="10" t="s">
        <v>230</v>
      </c>
      <c r="O35" s="12" t="s">
        <v>231</v>
      </c>
      <c r="P35" s="14" t="s">
        <v>232</v>
      </c>
      <c r="Q35" s="10" t="s">
        <v>233</v>
      </c>
      <c r="R35" s="12" t="s">
        <v>234</v>
      </c>
      <c r="S35" s="15" t="s">
        <v>57</v>
      </c>
      <c r="T35" s="16" t="s">
        <v>33</v>
      </c>
    </row>
    <row r="36" spans="1:20" ht="60" x14ac:dyDescent="0.25">
      <c r="A36" s="18">
        <v>9</v>
      </c>
      <c r="B36" s="19" t="s">
        <v>64</v>
      </c>
      <c r="C36" s="23" t="s">
        <v>65</v>
      </c>
      <c r="D36" s="19" t="s">
        <v>223</v>
      </c>
      <c r="E36" s="21" t="s">
        <v>224</v>
      </c>
      <c r="F36" s="21"/>
      <c r="G36" s="19" t="s">
        <v>225</v>
      </c>
      <c r="H36" s="21" t="s">
        <v>226</v>
      </c>
      <c r="I36" s="21" t="s">
        <v>227</v>
      </c>
      <c r="J36" s="20">
        <v>2020050360009</v>
      </c>
      <c r="K36" s="21" t="s">
        <v>228</v>
      </c>
      <c r="L36" s="22">
        <v>42000000</v>
      </c>
      <c r="M36" s="19" t="s">
        <v>229</v>
      </c>
      <c r="N36" s="19" t="s">
        <v>230</v>
      </c>
      <c r="O36" s="21" t="s">
        <v>231</v>
      </c>
      <c r="P36" s="23"/>
      <c r="Q36" s="19" t="s">
        <v>235</v>
      </c>
      <c r="R36" s="21" t="s">
        <v>236</v>
      </c>
      <c r="S36" s="24" t="s">
        <v>57</v>
      </c>
      <c r="T36" s="25" t="s">
        <v>33</v>
      </c>
    </row>
    <row r="37" spans="1:20" ht="60" x14ac:dyDescent="0.25">
      <c r="A37" s="18">
        <v>9</v>
      </c>
      <c r="B37" s="19" t="s">
        <v>64</v>
      </c>
      <c r="C37" s="23" t="s">
        <v>65</v>
      </c>
      <c r="D37" s="19" t="s">
        <v>223</v>
      </c>
      <c r="E37" s="21" t="s">
        <v>224</v>
      </c>
      <c r="F37" s="21"/>
      <c r="G37" s="19" t="s">
        <v>225</v>
      </c>
      <c r="H37" s="21" t="s">
        <v>226</v>
      </c>
      <c r="I37" s="21" t="s">
        <v>227</v>
      </c>
      <c r="J37" s="20">
        <v>2020050360009</v>
      </c>
      <c r="K37" s="21" t="s">
        <v>228</v>
      </c>
      <c r="L37" s="22">
        <v>42000000</v>
      </c>
      <c r="M37" s="19" t="s">
        <v>229</v>
      </c>
      <c r="N37" s="19" t="s">
        <v>230</v>
      </c>
      <c r="O37" s="21" t="s">
        <v>231</v>
      </c>
      <c r="P37" s="23"/>
      <c r="Q37" s="19" t="s">
        <v>237</v>
      </c>
      <c r="R37" s="21" t="s">
        <v>238</v>
      </c>
      <c r="S37" s="24" t="s">
        <v>57</v>
      </c>
      <c r="T37" s="25" t="s">
        <v>33</v>
      </c>
    </row>
    <row r="38" spans="1:20" ht="60.75" thickBot="1" x14ac:dyDescent="0.3">
      <c r="A38" s="70">
        <v>9</v>
      </c>
      <c r="B38" s="71" t="s">
        <v>64</v>
      </c>
      <c r="C38" s="72" t="s">
        <v>65</v>
      </c>
      <c r="D38" s="71" t="s">
        <v>223</v>
      </c>
      <c r="E38" s="73" t="s">
        <v>224</v>
      </c>
      <c r="F38" s="73"/>
      <c r="G38" s="71" t="s">
        <v>225</v>
      </c>
      <c r="H38" s="73" t="s">
        <v>226</v>
      </c>
      <c r="I38" s="73" t="s">
        <v>227</v>
      </c>
      <c r="J38" s="75">
        <v>2020050360009</v>
      </c>
      <c r="K38" s="73" t="s">
        <v>228</v>
      </c>
      <c r="L38" s="76">
        <v>42000000</v>
      </c>
      <c r="M38" s="71" t="s">
        <v>239</v>
      </c>
      <c r="N38" s="73" t="s">
        <v>240</v>
      </c>
      <c r="O38" s="73" t="s">
        <v>241</v>
      </c>
      <c r="P38" s="72" t="s">
        <v>82</v>
      </c>
      <c r="Q38" s="71" t="s">
        <v>242</v>
      </c>
      <c r="R38" s="73" t="s">
        <v>243</v>
      </c>
      <c r="S38" s="77" t="s">
        <v>57</v>
      </c>
      <c r="T38" s="78" t="s">
        <v>33</v>
      </c>
    </row>
    <row r="39" spans="1:20" ht="75" x14ac:dyDescent="0.25">
      <c r="A39" s="34">
        <v>10</v>
      </c>
      <c r="B39" s="35" t="s">
        <v>133</v>
      </c>
      <c r="C39" s="36" t="s">
        <v>134</v>
      </c>
      <c r="D39" s="35" t="s">
        <v>244</v>
      </c>
      <c r="E39" s="37" t="s">
        <v>245</v>
      </c>
      <c r="F39" s="37"/>
      <c r="G39" s="35" t="s">
        <v>246</v>
      </c>
      <c r="H39" s="37" t="s">
        <v>247</v>
      </c>
      <c r="I39" s="37" t="s">
        <v>248</v>
      </c>
      <c r="J39" s="50">
        <v>2020050360010</v>
      </c>
      <c r="K39" s="37" t="s">
        <v>249</v>
      </c>
      <c r="L39" s="51">
        <f>(12800000/8)*12</f>
        <v>19200000</v>
      </c>
      <c r="M39" s="35" t="s">
        <v>250</v>
      </c>
      <c r="N39" s="37" t="s">
        <v>251</v>
      </c>
      <c r="O39" s="37"/>
      <c r="P39" s="36" t="s">
        <v>61</v>
      </c>
      <c r="Q39" s="35" t="s">
        <v>252</v>
      </c>
      <c r="R39" s="37" t="s">
        <v>253</v>
      </c>
      <c r="S39" s="40" t="s">
        <v>57</v>
      </c>
      <c r="T39" s="41" t="s">
        <v>145</v>
      </c>
    </row>
    <row r="40" spans="1:20" ht="75.75" thickBot="1" x14ac:dyDescent="0.3">
      <c r="A40" s="80">
        <v>10</v>
      </c>
      <c r="B40" s="81" t="s">
        <v>133</v>
      </c>
      <c r="C40" s="82" t="s">
        <v>134</v>
      </c>
      <c r="D40" s="81" t="s">
        <v>244</v>
      </c>
      <c r="E40" s="83" t="s">
        <v>245</v>
      </c>
      <c r="F40" s="83"/>
      <c r="G40" s="81" t="s">
        <v>246</v>
      </c>
      <c r="H40" s="83" t="s">
        <v>247</v>
      </c>
      <c r="I40" s="83" t="s">
        <v>248</v>
      </c>
      <c r="J40" s="84">
        <v>2020050360010</v>
      </c>
      <c r="K40" s="83" t="s">
        <v>254</v>
      </c>
      <c r="L40" s="85">
        <v>19200000</v>
      </c>
      <c r="M40" s="81" t="s">
        <v>255</v>
      </c>
      <c r="N40" s="83" t="s">
        <v>256</v>
      </c>
      <c r="O40" s="83"/>
      <c r="P40" s="82" t="s">
        <v>257</v>
      </c>
      <c r="Q40" s="81" t="s">
        <v>258</v>
      </c>
      <c r="R40" s="83" t="s">
        <v>259</v>
      </c>
      <c r="S40" s="86" t="s">
        <v>57</v>
      </c>
      <c r="T40" s="87" t="s">
        <v>145</v>
      </c>
    </row>
    <row r="41" spans="1:20" ht="75" x14ac:dyDescent="0.25">
      <c r="A41" s="9">
        <v>11</v>
      </c>
      <c r="B41" s="10" t="s">
        <v>260</v>
      </c>
      <c r="C41" s="14" t="s">
        <v>261</v>
      </c>
      <c r="D41" s="10" t="s">
        <v>262</v>
      </c>
      <c r="E41" s="12" t="s">
        <v>263</v>
      </c>
      <c r="F41" s="12" t="s">
        <v>264</v>
      </c>
      <c r="G41" s="10" t="s">
        <v>265</v>
      </c>
      <c r="H41" s="12" t="s">
        <v>266</v>
      </c>
      <c r="I41" s="12" t="s">
        <v>267</v>
      </c>
      <c r="J41" s="11">
        <v>2020050360011</v>
      </c>
      <c r="K41" s="12" t="s">
        <v>268</v>
      </c>
      <c r="L41" s="13">
        <v>70000000</v>
      </c>
      <c r="M41" s="10" t="s">
        <v>269</v>
      </c>
      <c r="N41" s="12" t="s">
        <v>270</v>
      </c>
      <c r="O41" s="12" t="s">
        <v>271</v>
      </c>
      <c r="P41" s="14" t="s">
        <v>272</v>
      </c>
      <c r="Q41" s="10" t="s">
        <v>273</v>
      </c>
      <c r="R41" s="12" t="s">
        <v>274</v>
      </c>
      <c r="S41" s="15" t="s">
        <v>57</v>
      </c>
      <c r="T41" s="16" t="s">
        <v>275</v>
      </c>
    </row>
    <row r="42" spans="1:20" ht="75" x14ac:dyDescent="0.25">
      <c r="A42" s="18">
        <v>11</v>
      </c>
      <c r="B42" s="19" t="s">
        <v>260</v>
      </c>
      <c r="C42" s="23" t="s">
        <v>261</v>
      </c>
      <c r="D42" s="19" t="s">
        <v>262</v>
      </c>
      <c r="E42" s="21" t="s">
        <v>263</v>
      </c>
      <c r="F42" s="21" t="s">
        <v>264</v>
      </c>
      <c r="G42" s="19" t="s">
        <v>265</v>
      </c>
      <c r="H42" s="21" t="s">
        <v>266</v>
      </c>
      <c r="I42" s="21" t="s">
        <v>276</v>
      </c>
      <c r="J42" s="20">
        <v>2020050360011</v>
      </c>
      <c r="K42" s="21" t="s">
        <v>268</v>
      </c>
      <c r="L42" s="22">
        <v>70000000</v>
      </c>
      <c r="M42" s="19" t="s">
        <v>277</v>
      </c>
      <c r="N42" s="21" t="s">
        <v>278</v>
      </c>
      <c r="O42" s="21" t="s">
        <v>279</v>
      </c>
      <c r="P42" s="23" t="s">
        <v>272</v>
      </c>
      <c r="Q42" s="19" t="s">
        <v>280</v>
      </c>
      <c r="R42" s="21" t="s">
        <v>278</v>
      </c>
      <c r="S42" s="24" t="s">
        <v>57</v>
      </c>
      <c r="T42" s="25" t="s">
        <v>275</v>
      </c>
    </row>
    <row r="43" spans="1:20" ht="75" x14ac:dyDescent="0.25">
      <c r="A43" s="18">
        <v>11</v>
      </c>
      <c r="B43" s="19" t="s">
        <v>260</v>
      </c>
      <c r="C43" s="23" t="s">
        <v>261</v>
      </c>
      <c r="D43" s="19" t="s">
        <v>262</v>
      </c>
      <c r="E43" s="21" t="s">
        <v>263</v>
      </c>
      <c r="F43" s="21" t="s">
        <v>264</v>
      </c>
      <c r="G43" s="19" t="s">
        <v>265</v>
      </c>
      <c r="H43" s="21" t="s">
        <v>266</v>
      </c>
      <c r="I43" s="21" t="s">
        <v>267</v>
      </c>
      <c r="J43" s="20">
        <v>2020050360011</v>
      </c>
      <c r="K43" s="21" t="s">
        <v>268</v>
      </c>
      <c r="L43" s="22">
        <v>70000000</v>
      </c>
      <c r="M43" s="19" t="s">
        <v>281</v>
      </c>
      <c r="N43" s="21" t="s">
        <v>282</v>
      </c>
      <c r="O43" s="21" t="s">
        <v>283</v>
      </c>
      <c r="P43" s="23" t="s">
        <v>272</v>
      </c>
      <c r="Q43" s="19" t="s">
        <v>284</v>
      </c>
      <c r="R43" s="21" t="s">
        <v>282</v>
      </c>
      <c r="S43" s="24" t="s">
        <v>57</v>
      </c>
      <c r="T43" s="25" t="s">
        <v>275</v>
      </c>
    </row>
    <row r="44" spans="1:20" ht="75" x14ac:dyDescent="0.25">
      <c r="A44" s="18">
        <v>11</v>
      </c>
      <c r="B44" s="19" t="s">
        <v>260</v>
      </c>
      <c r="C44" s="23" t="s">
        <v>261</v>
      </c>
      <c r="D44" s="19" t="s">
        <v>262</v>
      </c>
      <c r="E44" s="21" t="s">
        <v>263</v>
      </c>
      <c r="F44" s="21" t="s">
        <v>264</v>
      </c>
      <c r="G44" s="19" t="s">
        <v>265</v>
      </c>
      <c r="H44" s="21" t="s">
        <v>266</v>
      </c>
      <c r="I44" s="21" t="s">
        <v>267</v>
      </c>
      <c r="J44" s="20">
        <v>2020050360011</v>
      </c>
      <c r="K44" s="21" t="s">
        <v>268</v>
      </c>
      <c r="L44" s="22">
        <v>70000000</v>
      </c>
      <c r="M44" s="19" t="s">
        <v>285</v>
      </c>
      <c r="N44" s="21" t="s">
        <v>286</v>
      </c>
      <c r="O44" s="21" t="s">
        <v>287</v>
      </c>
      <c r="P44" s="23" t="s">
        <v>288</v>
      </c>
      <c r="Q44" s="19" t="s">
        <v>289</v>
      </c>
      <c r="R44" s="21" t="s">
        <v>286</v>
      </c>
      <c r="S44" s="24" t="s">
        <v>57</v>
      </c>
      <c r="T44" s="25" t="s">
        <v>275</v>
      </c>
    </row>
    <row r="45" spans="1:20" ht="75" x14ac:dyDescent="0.25">
      <c r="A45" s="18">
        <v>11</v>
      </c>
      <c r="B45" s="19" t="s">
        <v>260</v>
      </c>
      <c r="C45" s="23" t="s">
        <v>261</v>
      </c>
      <c r="D45" s="19" t="s">
        <v>262</v>
      </c>
      <c r="E45" s="21" t="s">
        <v>263</v>
      </c>
      <c r="F45" s="21" t="s">
        <v>264</v>
      </c>
      <c r="G45" s="19" t="s">
        <v>265</v>
      </c>
      <c r="H45" s="21" t="s">
        <v>266</v>
      </c>
      <c r="I45" s="21" t="s">
        <v>267</v>
      </c>
      <c r="J45" s="20">
        <v>2020050360011</v>
      </c>
      <c r="K45" s="21" t="s">
        <v>268</v>
      </c>
      <c r="L45" s="22">
        <v>70000000</v>
      </c>
      <c r="M45" s="19" t="s">
        <v>290</v>
      </c>
      <c r="N45" s="21" t="s">
        <v>291</v>
      </c>
      <c r="O45" s="21" t="s">
        <v>279</v>
      </c>
      <c r="P45" s="23" t="s">
        <v>288</v>
      </c>
      <c r="Q45" s="19" t="s">
        <v>292</v>
      </c>
      <c r="R45" s="21" t="s">
        <v>291</v>
      </c>
      <c r="S45" s="24" t="s">
        <v>57</v>
      </c>
      <c r="T45" s="25" t="s">
        <v>275</v>
      </c>
    </row>
    <row r="46" spans="1:20" ht="75" x14ac:dyDescent="0.25">
      <c r="A46" s="18">
        <v>11</v>
      </c>
      <c r="B46" s="19" t="s">
        <v>260</v>
      </c>
      <c r="C46" s="23" t="s">
        <v>261</v>
      </c>
      <c r="D46" s="19" t="s">
        <v>262</v>
      </c>
      <c r="E46" s="21" t="s">
        <v>263</v>
      </c>
      <c r="F46" s="21" t="s">
        <v>264</v>
      </c>
      <c r="G46" s="19" t="s">
        <v>265</v>
      </c>
      <c r="H46" s="21" t="s">
        <v>266</v>
      </c>
      <c r="I46" s="21" t="s">
        <v>267</v>
      </c>
      <c r="J46" s="20">
        <v>2020050360011</v>
      </c>
      <c r="K46" s="21" t="s">
        <v>268</v>
      </c>
      <c r="L46" s="22">
        <v>70000000</v>
      </c>
      <c r="M46" s="19" t="s">
        <v>293</v>
      </c>
      <c r="N46" s="21" t="s">
        <v>294</v>
      </c>
      <c r="O46" s="21" t="s">
        <v>283</v>
      </c>
      <c r="P46" s="23" t="s">
        <v>288</v>
      </c>
      <c r="Q46" s="19" t="s">
        <v>295</v>
      </c>
      <c r="R46" s="21" t="s">
        <v>296</v>
      </c>
      <c r="S46" s="24" t="s">
        <v>57</v>
      </c>
      <c r="T46" s="25" t="s">
        <v>275</v>
      </c>
    </row>
    <row r="47" spans="1:20" ht="75" x14ac:dyDescent="0.25">
      <c r="A47" s="18">
        <v>11</v>
      </c>
      <c r="B47" s="19" t="s">
        <v>260</v>
      </c>
      <c r="C47" s="23" t="s">
        <v>261</v>
      </c>
      <c r="D47" s="19" t="s">
        <v>262</v>
      </c>
      <c r="E47" s="21" t="s">
        <v>263</v>
      </c>
      <c r="F47" s="21" t="s">
        <v>264</v>
      </c>
      <c r="G47" s="19" t="s">
        <v>265</v>
      </c>
      <c r="H47" s="21" t="s">
        <v>266</v>
      </c>
      <c r="I47" s="21" t="s">
        <v>267</v>
      </c>
      <c r="J47" s="20">
        <v>2020050360011</v>
      </c>
      <c r="K47" s="21" t="s">
        <v>268</v>
      </c>
      <c r="L47" s="22">
        <v>70000000</v>
      </c>
      <c r="M47" s="19" t="s">
        <v>297</v>
      </c>
      <c r="N47" s="21" t="s">
        <v>298</v>
      </c>
      <c r="O47" s="21" t="s">
        <v>299</v>
      </c>
      <c r="P47" s="23" t="s">
        <v>300</v>
      </c>
      <c r="Q47" s="19" t="s">
        <v>301</v>
      </c>
      <c r="R47" s="21" t="s">
        <v>302</v>
      </c>
      <c r="S47" s="24" t="s">
        <v>57</v>
      </c>
      <c r="T47" s="25" t="s">
        <v>275</v>
      </c>
    </row>
    <row r="48" spans="1:20" ht="75" x14ac:dyDescent="0.25">
      <c r="A48" s="18">
        <v>11</v>
      </c>
      <c r="B48" s="19" t="s">
        <v>260</v>
      </c>
      <c r="C48" s="23" t="s">
        <v>261</v>
      </c>
      <c r="D48" s="19" t="s">
        <v>262</v>
      </c>
      <c r="E48" s="21" t="s">
        <v>263</v>
      </c>
      <c r="F48" s="21" t="s">
        <v>264</v>
      </c>
      <c r="G48" s="19" t="s">
        <v>265</v>
      </c>
      <c r="H48" s="21" t="s">
        <v>266</v>
      </c>
      <c r="I48" s="21" t="s">
        <v>267</v>
      </c>
      <c r="J48" s="20">
        <v>2020050360011</v>
      </c>
      <c r="K48" s="21" t="s">
        <v>268</v>
      </c>
      <c r="L48" s="22">
        <v>70000000</v>
      </c>
      <c r="M48" s="19" t="s">
        <v>303</v>
      </c>
      <c r="N48" s="21" t="s">
        <v>304</v>
      </c>
      <c r="O48" s="21" t="s">
        <v>279</v>
      </c>
      <c r="P48" s="23" t="s">
        <v>300</v>
      </c>
      <c r="Q48" s="19" t="s">
        <v>305</v>
      </c>
      <c r="R48" s="21" t="s">
        <v>304</v>
      </c>
      <c r="S48" s="24" t="s">
        <v>57</v>
      </c>
      <c r="T48" s="25" t="s">
        <v>275</v>
      </c>
    </row>
    <row r="49" spans="1:21" ht="75" x14ac:dyDescent="0.25">
      <c r="A49" s="18">
        <v>11</v>
      </c>
      <c r="B49" s="19" t="s">
        <v>260</v>
      </c>
      <c r="C49" s="23" t="s">
        <v>261</v>
      </c>
      <c r="D49" s="19" t="s">
        <v>262</v>
      </c>
      <c r="E49" s="21" t="s">
        <v>263</v>
      </c>
      <c r="F49" s="21" t="s">
        <v>264</v>
      </c>
      <c r="G49" s="19" t="s">
        <v>265</v>
      </c>
      <c r="H49" s="21" t="s">
        <v>266</v>
      </c>
      <c r="I49" s="21" t="s">
        <v>267</v>
      </c>
      <c r="J49" s="20">
        <v>2020050360011</v>
      </c>
      <c r="K49" s="21" t="s">
        <v>268</v>
      </c>
      <c r="L49" s="22">
        <v>70000000</v>
      </c>
      <c r="M49" s="19" t="s">
        <v>306</v>
      </c>
      <c r="N49" s="21" t="s">
        <v>307</v>
      </c>
      <c r="O49" s="21" t="s">
        <v>283</v>
      </c>
      <c r="P49" s="23" t="s">
        <v>300</v>
      </c>
      <c r="Q49" s="19" t="s">
        <v>308</v>
      </c>
      <c r="R49" s="21" t="s">
        <v>307</v>
      </c>
      <c r="S49" s="24" t="s">
        <v>57</v>
      </c>
      <c r="T49" s="25" t="s">
        <v>275</v>
      </c>
    </row>
    <row r="50" spans="1:21" ht="75" x14ac:dyDescent="0.25">
      <c r="A50" s="18">
        <v>11</v>
      </c>
      <c r="B50" s="19" t="s">
        <v>260</v>
      </c>
      <c r="C50" s="23" t="s">
        <v>261</v>
      </c>
      <c r="D50" s="19" t="s">
        <v>262</v>
      </c>
      <c r="E50" s="21" t="s">
        <v>263</v>
      </c>
      <c r="F50" s="21" t="s">
        <v>264</v>
      </c>
      <c r="G50" s="19" t="s">
        <v>265</v>
      </c>
      <c r="H50" s="21" t="s">
        <v>266</v>
      </c>
      <c r="I50" s="21" t="s">
        <v>267</v>
      </c>
      <c r="J50" s="20">
        <v>2020050360011</v>
      </c>
      <c r="K50" s="21" t="s">
        <v>268</v>
      </c>
      <c r="L50" s="22">
        <v>70000000</v>
      </c>
      <c r="M50" s="19" t="s">
        <v>309</v>
      </c>
      <c r="N50" s="21" t="s">
        <v>310</v>
      </c>
      <c r="O50" s="21" t="s">
        <v>311</v>
      </c>
      <c r="P50" s="23" t="s">
        <v>312</v>
      </c>
      <c r="Q50" s="19" t="s">
        <v>313</v>
      </c>
      <c r="R50" s="21" t="s">
        <v>314</v>
      </c>
      <c r="S50" s="24" t="s">
        <v>57</v>
      </c>
      <c r="T50" s="25" t="s">
        <v>275</v>
      </c>
    </row>
    <row r="51" spans="1:21" ht="75" x14ac:dyDescent="0.25">
      <c r="A51" s="18">
        <v>11</v>
      </c>
      <c r="B51" s="19" t="s">
        <v>260</v>
      </c>
      <c r="C51" s="23" t="s">
        <v>261</v>
      </c>
      <c r="D51" s="19" t="s">
        <v>262</v>
      </c>
      <c r="E51" s="21" t="s">
        <v>263</v>
      </c>
      <c r="F51" s="21" t="s">
        <v>264</v>
      </c>
      <c r="G51" s="19" t="s">
        <v>265</v>
      </c>
      <c r="H51" s="21" t="s">
        <v>266</v>
      </c>
      <c r="I51" s="21" t="s">
        <v>267</v>
      </c>
      <c r="J51" s="20">
        <v>2020050360011</v>
      </c>
      <c r="K51" s="21" t="s">
        <v>268</v>
      </c>
      <c r="L51" s="22">
        <v>70000000</v>
      </c>
      <c r="M51" s="19" t="s">
        <v>315</v>
      </c>
      <c r="N51" s="21" t="s">
        <v>316</v>
      </c>
      <c r="O51" s="21" t="s">
        <v>317</v>
      </c>
      <c r="P51" s="23" t="s">
        <v>318</v>
      </c>
      <c r="Q51" s="19" t="s">
        <v>319</v>
      </c>
      <c r="R51" s="21" t="s">
        <v>320</v>
      </c>
      <c r="S51" s="24" t="s">
        <v>57</v>
      </c>
      <c r="T51" s="25" t="s">
        <v>275</v>
      </c>
    </row>
    <row r="52" spans="1:21" ht="75.75" thickBot="1" x14ac:dyDescent="0.3">
      <c r="A52" s="70">
        <v>11</v>
      </c>
      <c r="B52" s="71" t="s">
        <v>260</v>
      </c>
      <c r="C52" s="72" t="s">
        <v>261</v>
      </c>
      <c r="D52" s="71" t="s">
        <v>262</v>
      </c>
      <c r="E52" s="73" t="s">
        <v>263</v>
      </c>
      <c r="F52" s="73" t="s">
        <v>264</v>
      </c>
      <c r="G52" s="71" t="s">
        <v>265</v>
      </c>
      <c r="H52" s="73" t="s">
        <v>266</v>
      </c>
      <c r="I52" s="73" t="s">
        <v>267</v>
      </c>
      <c r="J52" s="75">
        <v>2020050360011</v>
      </c>
      <c r="K52" s="73" t="s">
        <v>268</v>
      </c>
      <c r="L52" s="76">
        <v>70000000</v>
      </c>
      <c r="M52" s="71" t="s">
        <v>321</v>
      </c>
      <c r="N52" s="73" t="s">
        <v>322</v>
      </c>
      <c r="O52" s="73" t="s">
        <v>323</v>
      </c>
      <c r="P52" s="72" t="s">
        <v>324</v>
      </c>
      <c r="Q52" s="71" t="s">
        <v>325</v>
      </c>
      <c r="R52" s="73" t="s">
        <v>322</v>
      </c>
      <c r="S52" s="77" t="s">
        <v>57</v>
      </c>
      <c r="T52" s="78" t="s">
        <v>275</v>
      </c>
    </row>
    <row r="53" spans="1:21" ht="45" x14ac:dyDescent="0.25">
      <c r="A53" s="88">
        <v>12</v>
      </c>
      <c r="B53" s="89" t="s">
        <v>326</v>
      </c>
      <c r="C53" s="90" t="s">
        <v>327</v>
      </c>
      <c r="D53" s="89" t="s">
        <v>328</v>
      </c>
      <c r="E53" s="91" t="s">
        <v>329</v>
      </c>
      <c r="F53" s="91"/>
      <c r="G53" s="89" t="s">
        <v>330</v>
      </c>
      <c r="H53" s="91" t="s">
        <v>331</v>
      </c>
      <c r="I53" s="91" t="s">
        <v>332</v>
      </c>
      <c r="J53" s="92">
        <v>2020050360012</v>
      </c>
      <c r="K53" s="91" t="s">
        <v>333</v>
      </c>
      <c r="L53" s="93">
        <v>50000000</v>
      </c>
      <c r="M53" s="89" t="s">
        <v>334</v>
      </c>
      <c r="N53" s="91" t="s">
        <v>335</v>
      </c>
      <c r="O53" s="91" t="s">
        <v>336</v>
      </c>
      <c r="P53" s="90" t="s">
        <v>337</v>
      </c>
      <c r="Q53" s="89" t="s">
        <v>338</v>
      </c>
      <c r="R53" s="91" t="s">
        <v>339</v>
      </c>
      <c r="S53" s="94" t="s">
        <v>57</v>
      </c>
      <c r="T53" s="95" t="s">
        <v>275</v>
      </c>
    </row>
    <row r="54" spans="1:21" ht="45" x14ac:dyDescent="0.25">
      <c r="A54" s="58">
        <v>12</v>
      </c>
      <c r="B54" s="59" t="s">
        <v>326</v>
      </c>
      <c r="C54" s="60" t="s">
        <v>327</v>
      </c>
      <c r="D54" s="59" t="s">
        <v>328</v>
      </c>
      <c r="E54" s="61" t="s">
        <v>329</v>
      </c>
      <c r="F54" s="61"/>
      <c r="G54" s="59" t="s">
        <v>330</v>
      </c>
      <c r="H54" s="61" t="s">
        <v>331</v>
      </c>
      <c r="I54" s="61" t="s">
        <v>332</v>
      </c>
      <c r="J54" s="62">
        <v>2020050360012</v>
      </c>
      <c r="K54" s="61" t="s">
        <v>333</v>
      </c>
      <c r="L54" s="63">
        <v>50000000</v>
      </c>
      <c r="M54" s="59" t="s">
        <v>334</v>
      </c>
      <c r="N54" s="61" t="s">
        <v>335</v>
      </c>
      <c r="O54" s="61" t="s">
        <v>336</v>
      </c>
      <c r="P54" s="60" t="s">
        <v>337</v>
      </c>
      <c r="Q54" s="59" t="s">
        <v>340</v>
      </c>
      <c r="R54" s="61" t="s">
        <v>341</v>
      </c>
      <c r="S54" s="64" t="s">
        <v>57</v>
      </c>
      <c r="T54" s="65" t="s">
        <v>275</v>
      </c>
    </row>
    <row r="55" spans="1:21" ht="45.75" thickBot="1" x14ac:dyDescent="0.3">
      <c r="A55" s="80">
        <v>12</v>
      </c>
      <c r="B55" s="81" t="s">
        <v>326</v>
      </c>
      <c r="C55" s="82" t="s">
        <v>327</v>
      </c>
      <c r="D55" s="81" t="s">
        <v>328</v>
      </c>
      <c r="E55" s="83" t="s">
        <v>329</v>
      </c>
      <c r="F55" s="83"/>
      <c r="G55" s="81" t="s">
        <v>330</v>
      </c>
      <c r="H55" s="83" t="s">
        <v>331</v>
      </c>
      <c r="I55" s="83" t="s">
        <v>332</v>
      </c>
      <c r="J55" s="84">
        <v>2020050360012</v>
      </c>
      <c r="K55" s="83" t="s">
        <v>333</v>
      </c>
      <c r="L55" s="85">
        <v>50000000</v>
      </c>
      <c r="M55" s="81" t="s">
        <v>342</v>
      </c>
      <c r="N55" s="83" t="s">
        <v>343</v>
      </c>
      <c r="O55" s="83" t="s">
        <v>344</v>
      </c>
      <c r="P55" s="82" t="s">
        <v>345</v>
      </c>
      <c r="Q55" s="81" t="s">
        <v>346</v>
      </c>
      <c r="R55" s="83" t="s">
        <v>347</v>
      </c>
      <c r="S55" s="86" t="s">
        <v>57</v>
      </c>
      <c r="T55" s="87" t="s">
        <v>275</v>
      </c>
    </row>
    <row r="56" spans="1:21" ht="120.75" thickBot="1" x14ac:dyDescent="0.3">
      <c r="A56" s="96">
        <v>13</v>
      </c>
      <c r="B56" s="97" t="s">
        <v>348</v>
      </c>
      <c r="C56" s="98" t="s">
        <v>349</v>
      </c>
      <c r="D56" s="97" t="s">
        <v>350</v>
      </c>
      <c r="E56" s="99" t="s">
        <v>351</v>
      </c>
      <c r="F56" s="99"/>
      <c r="G56" s="97" t="s">
        <v>352</v>
      </c>
      <c r="H56" s="99" t="s">
        <v>353</v>
      </c>
      <c r="I56" s="99" t="s">
        <v>354</v>
      </c>
      <c r="J56" s="100">
        <v>2020050360013</v>
      </c>
      <c r="K56" s="101" t="s">
        <v>355</v>
      </c>
      <c r="L56" s="102">
        <v>33500000</v>
      </c>
      <c r="M56" s="103" t="s">
        <v>356</v>
      </c>
      <c r="N56" s="101" t="s">
        <v>357</v>
      </c>
      <c r="O56" s="101" t="s">
        <v>357</v>
      </c>
      <c r="P56" s="104" t="s">
        <v>358</v>
      </c>
      <c r="Q56" s="103" t="s">
        <v>359</v>
      </c>
      <c r="R56" s="105" t="s">
        <v>360</v>
      </c>
      <c r="S56" s="106" t="s">
        <v>78</v>
      </c>
      <c r="T56" s="107" t="s">
        <v>275</v>
      </c>
      <c r="U56" s="108"/>
    </row>
    <row r="57" spans="1:21" ht="45.75" thickBot="1" x14ac:dyDescent="0.3">
      <c r="A57" s="109">
        <v>14</v>
      </c>
      <c r="B57" s="110" t="s">
        <v>361</v>
      </c>
      <c r="C57" s="111" t="s">
        <v>362</v>
      </c>
      <c r="D57" s="110" t="s">
        <v>363</v>
      </c>
      <c r="E57" s="112" t="s">
        <v>364</v>
      </c>
      <c r="F57" s="112"/>
      <c r="G57" s="110" t="s">
        <v>365</v>
      </c>
      <c r="H57" s="112" t="s">
        <v>366</v>
      </c>
      <c r="I57" s="112" t="s">
        <v>367</v>
      </c>
      <c r="J57" s="113">
        <v>2020050360014</v>
      </c>
      <c r="K57" s="114" t="s">
        <v>368</v>
      </c>
      <c r="L57" s="115">
        <f>18480000+20400000</f>
        <v>38880000</v>
      </c>
      <c r="M57" s="116" t="s">
        <v>369</v>
      </c>
      <c r="N57" s="114" t="s">
        <v>370</v>
      </c>
      <c r="O57" s="114"/>
      <c r="P57" s="117" t="s">
        <v>232</v>
      </c>
      <c r="Q57" s="116" t="s">
        <v>371</v>
      </c>
      <c r="R57" s="118" t="s">
        <v>372</v>
      </c>
      <c r="S57" s="119" t="s">
        <v>57</v>
      </c>
      <c r="T57" s="120" t="s">
        <v>275</v>
      </c>
    </row>
    <row r="58" spans="1:21" ht="75" x14ac:dyDescent="0.25">
      <c r="A58" s="9">
        <v>15</v>
      </c>
      <c r="B58" s="10" t="s">
        <v>64</v>
      </c>
      <c r="C58" s="14" t="s">
        <v>65</v>
      </c>
      <c r="D58" s="10" t="s">
        <v>223</v>
      </c>
      <c r="E58" s="12" t="s">
        <v>224</v>
      </c>
      <c r="F58" s="12"/>
      <c r="G58" s="10" t="s">
        <v>225</v>
      </c>
      <c r="H58" s="12" t="s">
        <v>226</v>
      </c>
      <c r="I58" s="12" t="s">
        <v>373</v>
      </c>
      <c r="J58" s="11">
        <v>2020050360015</v>
      </c>
      <c r="K58" s="12" t="s">
        <v>374</v>
      </c>
      <c r="L58" s="13">
        <v>30000000</v>
      </c>
      <c r="M58" s="10" t="s">
        <v>375</v>
      </c>
      <c r="N58" s="12" t="s">
        <v>376</v>
      </c>
      <c r="O58" s="12" t="s">
        <v>377</v>
      </c>
      <c r="P58" s="14" t="s">
        <v>82</v>
      </c>
      <c r="Q58" s="10" t="s">
        <v>378</v>
      </c>
      <c r="R58" s="12" t="s">
        <v>379</v>
      </c>
      <c r="S58" s="15" t="s">
        <v>57</v>
      </c>
      <c r="T58" s="16" t="s">
        <v>275</v>
      </c>
    </row>
    <row r="59" spans="1:21" ht="75" x14ac:dyDescent="0.25">
      <c r="A59" s="18">
        <v>15</v>
      </c>
      <c r="B59" s="19" t="s">
        <v>64</v>
      </c>
      <c r="C59" s="23" t="s">
        <v>65</v>
      </c>
      <c r="D59" s="19" t="s">
        <v>223</v>
      </c>
      <c r="E59" s="21" t="s">
        <v>224</v>
      </c>
      <c r="F59" s="21"/>
      <c r="G59" s="19" t="s">
        <v>225</v>
      </c>
      <c r="H59" s="21" t="s">
        <v>226</v>
      </c>
      <c r="I59" s="21" t="s">
        <v>373</v>
      </c>
      <c r="J59" s="20">
        <v>2020050360015</v>
      </c>
      <c r="K59" s="21" t="s">
        <v>374</v>
      </c>
      <c r="L59" s="22">
        <v>30000000</v>
      </c>
      <c r="M59" s="19" t="s">
        <v>375</v>
      </c>
      <c r="N59" s="21" t="s">
        <v>376</v>
      </c>
      <c r="O59" s="21" t="s">
        <v>377</v>
      </c>
      <c r="P59" s="23" t="s">
        <v>82</v>
      </c>
      <c r="Q59" s="19" t="s">
        <v>380</v>
      </c>
      <c r="R59" s="21" t="s">
        <v>381</v>
      </c>
      <c r="S59" s="24" t="s">
        <v>57</v>
      </c>
      <c r="T59" s="25" t="s">
        <v>275</v>
      </c>
    </row>
    <row r="60" spans="1:21" ht="45" x14ac:dyDescent="0.25">
      <c r="A60" s="18">
        <v>15</v>
      </c>
      <c r="B60" s="19" t="s">
        <v>64</v>
      </c>
      <c r="C60" s="23" t="s">
        <v>65</v>
      </c>
      <c r="D60" s="19" t="s">
        <v>382</v>
      </c>
      <c r="E60" s="21" t="s">
        <v>383</v>
      </c>
      <c r="F60" s="21"/>
      <c r="G60" s="121" t="s">
        <v>384</v>
      </c>
      <c r="H60" s="122"/>
      <c r="I60" s="122"/>
      <c r="J60" s="20">
        <v>2020050360015</v>
      </c>
      <c r="K60" s="21" t="s">
        <v>374</v>
      </c>
      <c r="L60" s="22">
        <v>30000000</v>
      </c>
      <c r="M60" s="123" t="s">
        <v>385</v>
      </c>
      <c r="N60" s="124" t="s">
        <v>376</v>
      </c>
      <c r="O60" s="124" t="s">
        <v>377</v>
      </c>
      <c r="P60" s="23" t="s">
        <v>82</v>
      </c>
      <c r="Q60" s="19" t="s">
        <v>386</v>
      </c>
      <c r="R60" s="21" t="s">
        <v>387</v>
      </c>
      <c r="S60" s="24" t="s">
        <v>57</v>
      </c>
      <c r="T60" s="25" t="s">
        <v>275</v>
      </c>
    </row>
    <row r="61" spans="1:21" ht="45.75" thickBot="1" x14ac:dyDescent="0.3">
      <c r="A61" s="70">
        <v>15</v>
      </c>
      <c r="B61" s="71" t="s">
        <v>64</v>
      </c>
      <c r="C61" s="72" t="s">
        <v>65</v>
      </c>
      <c r="D61" s="71" t="s">
        <v>382</v>
      </c>
      <c r="E61" s="73" t="s">
        <v>383</v>
      </c>
      <c r="F61" s="73"/>
      <c r="G61" s="125" t="s">
        <v>384</v>
      </c>
      <c r="H61" s="126"/>
      <c r="I61" s="126"/>
      <c r="J61" s="75">
        <v>2020050360015</v>
      </c>
      <c r="K61" s="73" t="s">
        <v>374</v>
      </c>
      <c r="L61" s="76">
        <v>30000000</v>
      </c>
      <c r="M61" s="127"/>
      <c r="N61" s="128"/>
      <c r="O61" s="128"/>
      <c r="P61" s="72" t="s">
        <v>82</v>
      </c>
      <c r="Q61" s="71" t="s">
        <v>388</v>
      </c>
      <c r="R61" s="73" t="s">
        <v>389</v>
      </c>
      <c r="S61" s="77" t="s">
        <v>57</v>
      </c>
      <c r="T61" s="78" t="s">
        <v>275</v>
      </c>
    </row>
    <row r="62" spans="1:21" ht="90" x14ac:dyDescent="0.25">
      <c r="A62" s="34">
        <v>16</v>
      </c>
      <c r="B62" s="35" t="s">
        <v>64</v>
      </c>
      <c r="C62" s="36" t="s">
        <v>65</v>
      </c>
      <c r="D62" s="35" t="s">
        <v>223</v>
      </c>
      <c r="E62" s="37" t="s">
        <v>224</v>
      </c>
      <c r="F62" s="37"/>
      <c r="G62" s="35" t="s">
        <v>225</v>
      </c>
      <c r="H62" s="37" t="s">
        <v>226</v>
      </c>
      <c r="I62" s="37" t="s">
        <v>390</v>
      </c>
      <c r="J62" s="50">
        <v>2020050360016</v>
      </c>
      <c r="K62" s="37" t="s">
        <v>391</v>
      </c>
      <c r="L62" s="51">
        <v>72172198</v>
      </c>
      <c r="M62" s="35" t="s">
        <v>229</v>
      </c>
      <c r="N62" s="37" t="s">
        <v>230</v>
      </c>
      <c r="O62" s="37" t="s">
        <v>392</v>
      </c>
      <c r="P62" s="36" t="s">
        <v>232</v>
      </c>
      <c r="Q62" s="35" t="s">
        <v>233</v>
      </c>
      <c r="R62" s="37" t="s">
        <v>234</v>
      </c>
      <c r="S62" s="40" t="s">
        <v>57</v>
      </c>
      <c r="T62" s="41" t="s">
        <v>275</v>
      </c>
    </row>
    <row r="63" spans="1:21" ht="90" x14ac:dyDescent="0.25">
      <c r="A63" s="58">
        <v>16</v>
      </c>
      <c r="B63" s="59" t="s">
        <v>64</v>
      </c>
      <c r="C63" s="60" t="s">
        <v>65</v>
      </c>
      <c r="D63" s="59" t="s">
        <v>223</v>
      </c>
      <c r="E63" s="61" t="s">
        <v>224</v>
      </c>
      <c r="F63" s="61"/>
      <c r="G63" s="59" t="s">
        <v>225</v>
      </c>
      <c r="H63" s="61" t="s">
        <v>226</v>
      </c>
      <c r="I63" s="61" t="s">
        <v>390</v>
      </c>
      <c r="J63" s="62">
        <v>2020050360016</v>
      </c>
      <c r="K63" s="61" t="s">
        <v>391</v>
      </c>
      <c r="L63" s="63">
        <v>72172198</v>
      </c>
      <c r="M63" s="59" t="s">
        <v>229</v>
      </c>
      <c r="N63" s="61" t="s">
        <v>230</v>
      </c>
      <c r="O63" s="61" t="s">
        <v>392</v>
      </c>
      <c r="P63" s="60" t="s">
        <v>232</v>
      </c>
      <c r="Q63" s="59" t="s">
        <v>235</v>
      </c>
      <c r="R63" s="129" t="s">
        <v>236</v>
      </c>
      <c r="S63" s="64" t="s">
        <v>57</v>
      </c>
      <c r="T63" s="65" t="s">
        <v>275</v>
      </c>
    </row>
    <row r="64" spans="1:21" ht="90" x14ac:dyDescent="0.25">
      <c r="A64" s="58">
        <v>16</v>
      </c>
      <c r="B64" s="59" t="s">
        <v>64</v>
      </c>
      <c r="C64" s="60" t="s">
        <v>65</v>
      </c>
      <c r="D64" s="59" t="s">
        <v>223</v>
      </c>
      <c r="E64" s="61" t="s">
        <v>224</v>
      </c>
      <c r="F64" s="61"/>
      <c r="G64" s="59" t="s">
        <v>225</v>
      </c>
      <c r="H64" s="61" t="s">
        <v>226</v>
      </c>
      <c r="I64" s="61" t="s">
        <v>390</v>
      </c>
      <c r="J64" s="62">
        <v>2020050360016</v>
      </c>
      <c r="K64" s="61" t="s">
        <v>391</v>
      </c>
      <c r="L64" s="63">
        <v>72172198</v>
      </c>
      <c r="M64" s="59" t="s">
        <v>239</v>
      </c>
      <c r="N64" s="61" t="s">
        <v>240</v>
      </c>
      <c r="O64" s="61" t="s">
        <v>241</v>
      </c>
      <c r="P64" s="60" t="s">
        <v>82</v>
      </c>
      <c r="Q64" s="59" t="s">
        <v>242</v>
      </c>
      <c r="R64" s="61" t="s">
        <v>243</v>
      </c>
      <c r="S64" s="64" t="s">
        <v>57</v>
      </c>
      <c r="T64" s="65" t="s">
        <v>275</v>
      </c>
    </row>
    <row r="65" spans="1:20" ht="90" x14ac:dyDescent="0.25">
      <c r="A65" s="58">
        <v>16</v>
      </c>
      <c r="B65" s="59" t="s">
        <v>64</v>
      </c>
      <c r="C65" s="60" t="s">
        <v>65</v>
      </c>
      <c r="D65" s="59" t="s">
        <v>223</v>
      </c>
      <c r="E65" s="61" t="s">
        <v>224</v>
      </c>
      <c r="F65" s="61"/>
      <c r="G65" s="59" t="s">
        <v>225</v>
      </c>
      <c r="H65" s="61" t="s">
        <v>226</v>
      </c>
      <c r="I65" s="61" t="s">
        <v>390</v>
      </c>
      <c r="J65" s="62">
        <v>2020050360016</v>
      </c>
      <c r="K65" s="61" t="s">
        <v>391</v>
      </c>
      <c r="L65" s="63">
        <v>72172198</v>
      </c>
      <c r="M65" s="59" t="s">
        <v>393</v>
      </c>
      <c r="N65" s="61" t="s">
        <v>394</v>
      </c>
      <c r="O65" s="61" t="s">
        <v>395</v>
      </c>
      <c r="P65" s="60" t="s">
        <v>396</v>
      </c>
      <c r="Q65" s="59" t="s">
        <v>397</v>
      </c>
      <c r="R65" s="61" t="s">
        <v>398</v>
      </c>
      <c r="S65" s="64" t="s">
        <v>57</v>
      </c>
      <c r="T65" s="65" t="s">
        <v>275</v>
      </c>
    </row>
    <row r="66" spans="1:20" ht="90" x14ac:dyDescent="0.25">
      <c r="A66" s="58">
        <v>16</v>
      </c>
      <c r="B66" s="59" t="s">
        <v>64</v>
      </c>
      <c r="C66" s="60" t="s">
        <v>65</v>
      </c>
      <c r="D66" s="59" t="s">
        <v>223</v>
      </c>
      <c r="E66" s="61" t="s">
        <v>224</v>
      </c>
      <c r="F66" s="61"/>
      <c r="G66" s="59" t="s">
        <v>225</v>
      </c>
      <c r="H66" s="61" t="s">
        <v>226</v>
      </c>
      <c r="I66" s="61" t="s">
        <v>390</v>
      </c>
      <c r="J66" s="62">
        <v>2020050360016</v>
      </c>
      <c r="K66" s="61" t="s">
        <v>391</v>
      </c>
      <c r="L66" s="63">
        <v>72172198</v>
      </c>
      <c r="M66" s="59" t="s">
        <v>399</v>
      </c>
      <c r="N66" s="61" t="s">
        <v>400</v>
      </c>
      <c r="O66" s="61" t="s">
        <v>401</v>
      </c>
      <c r="P66" s="60" t="s">
        <v>82</v>
      </c>
      <c r="Q66" s="59" t="s">
        <v>402</v>
      </c>
      <c r="R66" s="61" t="s">
        <v>403</v>
      </c>
      <c r="S66" s="64" t="s">
        <v>57</v>
      </c>
      <c r="T66" s="65" t="s">
        <v>275</v>
      </c>
    </row>
    <row r="67" spans="1:20" ht="90" x14ac:dyDescent="0.25">
      <c r="A67" s="58">
        <v>16</v>
      </c>
      <c r="B67" s="59" t="s">
        <v>64</v>
      </c>
      <c r="C67" s="60" t="s">
        <v>65</v>
      </c>
      <c r="D67" s="59" t="s">
        <v>223</v>
      </c>
      <c r="E67" s="61" t="s">
        <v>224</v>
      </c>
      <c r="F67" s="61"/>
      <c r="G67" s="59" t="s">
        <v>225</v>
      </c>
      <c r="H67" s="61" t="s">
        <v>226</v>
      </c>
      <c r="I67" s="61" t="s">
        <v>390</v>
      </c>
      <c r="J67" s="62">
        <v>2020050360016</v>
      </c>
      <c r="K67" s="61" t="s">
        <v>391</v>
      </c>
      <c r="L67" s="63">
        <v>72172198</v>
      </c>
      <c r="M67" s="59" t="s">
        <v>404</v>
      </c>
      <c r="N67" s="61" t="s">
        <v>80</v>
      </c>
      <c r="O67" s="61" t="s">
        <v>405</v>
      </c>
      <c r="P67" s="60" t="s">
        <v>82</v>
      </c>
      <c r="Q67" s="59" t="s">
        <v>406</v>
      </c>
      <c r="R67" s="61" t="s">
        <v>80</v>
      </c>
      <c r="S67" s="64" t="s">
        <v>57</v>
      </c>
      <c r="T67" s="65" t="s">
        <v>275</v>
      </c>
    </row>
    <row r="68" spans="1:20" ht="90" x14ac:dyDescent="0.25">
      <c r="A68" s="58">
        <v>16</v>
      </c>
      <c r="B68" s="59" t="s">
        <v>64</v>
      </c>
      <c r="C68" s="60" t="s">
        <v>65</v>
      </c>
      <c r="D68" s="59" t="s">
        <v>223</v>
      </c>
      <c r="E68" s="61" t="s">
        <v>224</v>
      </c>
      <c r="F68" s="61"/>
      <c r="G68" s="59" t="s">
        <v>225</v>
      </c>
      <c r="H68" s="61" t="s">
        <v>226</v>
      </c>
      <c r="I68" s="61" t="s">
        <v>390</v>
      </c>
      <c r="J68" s="62">
        <v>2020050360016</v>
      </c>
      <c r="K68" s="61" t="s">
        <v>391</v>
      </c>
      <c r="L68" s="63">
        <v>72172198</v>
      </c>
      <c r="M68" s="59" t="s">
        <v>407</v>
      </c>
      <c r="N68" s="61" t="s">
        <v>408</v>
      </c>
      <c r="O68" s="61" t="s">
        <v>409</v>
      </c>
      <c r="P68" s="60" t="s">
        <v>82</v>
      </c>
      <c r="Q68" s="59" t="s">
        <v>410</v>
      </c>
      <c r="R68" s="61" t="s">
        <v>411</v>
      </c>
      <c r="S68" s="64" t="s">
        <v>57</v>
      </c>
      <c r="T68" s="65" t="s">
        <v>275</v>
      </c>
    </row>
    <row r="69" spans="1:20" ht="90" x14ac:dyDescent="0.25">
      <c r="A69" s="58">
        <v>16</v>
      </c>
      <c r="B69" s="59" t="s">
        <v>64</v>
      </c>
      <c r="C69" s="60" t="s">
        <v>65</v>
      </c>
      <c r="D69" s="59" t="s">
        <v>382</v>
      </c>
      <c r="E69" s="61" t="s">
        <v>383</v>
      </c>
      <c r="F69" s="61"/>
      <c r="G69" s="59" t="s">
        <v>412</v>
      </c>
      <c r="H69" s="61" t="s">
        <v>226</v>
      </c>
      <c r="I69" s="61" t="s">
        <v>390</v>
      </c>
      <c r="J69" s="62">
        <v>2020050360016</v>
      </c>
      <c r="K69" s="61" t="s">
        <v>391</v>
      </c>
      <c r="L69" s="63">
        <v>72172198</v>
      </c>
      <c r="M69" s="59" t="s">
        <v>413</v>
      </c>
      <c r="N69" s="61" t="s">
        <v>414</v>
      </c>
      <c r="O69" s="61" t="s">
        <v>415</v>
      </c>
      <c r="P69" s="60" t="s">
        <v>213</v>
      </c>
      <c r="Q69" s="59" t="s">
        <v>416</v>
      </c>
      <c r="R69" s="61" t="s">
        <v>417</v>
      </c>
      <c r="S69" s="64" t="s">
        <v>57</v>
      </c>
      <c r="T69" s="65" t="s">
        <v>275</v>
      </c>
    </row>
    <row r="70" spans="1:20" ht="90.75" thickBot="1" x14ac:dyDescent="0.3">
      <c r="A70" s="42">
        <v>16</v>
      </c>
      <c r="B70" s="43" t="s">
        <v>64</v>
      </c>
      <c r="C70" s="44" t="s">
        <v>65</v>
      </c>
      <c r="D70" s="43" t="s">
        <v>382</v>
      </c>
      <c r="E70" s="45" t="s">
        <v>383</v>
      </c>
      <c r="F70" s="45"/>
      <c r="G70" s="43" t="s">
        <v>412</v>
      </c>
      <c r="H70" s="45" t="s">
        <v>226</v>
      </c>
      <c r="I70" s="45" t="s">
        <v>390</v>
      </c>
      <c r="J70" s="53">
        <v>2020050360016</v>
      </c>
      <c r="K70" s="45" t="s">
        <v>391</v>
      </c>
      <c r="L70" s="54">
        <v>72172198</v>
      </c>
      <c r="M70" s="43" t="s">
        <v>418</v>
      </c>
      <c r="N70" s="45" t="s">
        <v>419</v>
      </c>
      <c r="O70" s="45" t="s">
        <v>420</v>
      </c>
      <c r="P70" s="44" t="s">
        <v>345</v>
      </c>
      <c r="Q70" s="43" t="s">
        <v>421</v>
      </c>
      <c r="R70" s="45" t="s">
        <v>422</v>
      </c>
      <c r="S70" s="48" t="s">
        <v>57</v>
      </c>
      <c r="T70" s="49" t="s">
        <v>275</v>
      </c>
    </row>
    <row r="71" spans="1:20" ht="45" x14ac:dyDescent="0.25">
      <c r="A71" s="9">
        <v>17</v>
      </c>
      <c r="B71" s="10" t="s">
        <v>423</v>
      </c>
      <c r="C71" s="14" t="s">
        <v>424</v>
      </c>
      <c r="D71" s="10" t="s">
        <v>425</v>
      </c>
      <c r="E71" s="12" t="s">
        <v>426</v>
      </c>
      <c r="F71" s="12"/>
      <c r="G71" s="130" t="s">
        <v>427</v>
      </c>
      <c r="H71" s="12" t="s">
        <v>428</v>
      </c>
      <c r="I71" s="12" t="s">
        <v>429</v>
      </c>
      <c r="J71" s="11">
        <v>2020050360017</v>
      </c>
      <c r="K71" s="12" t="s">
        <v>430</v>
      </c>
      <c r="L71" s="13">
        <v>42000000</v>
      </c>
      <c r="M71" s="10" t="s">
        <v>431</v>
      </c>
      <c r="N71" s="12" t="s">
        <v>376</v>
      </c>
      <c r="O71" s="12" t="s">
        <v>432</v>
      </c>
      <c r="P71" s="14" t="s">
        <v>82</v>
      </c>
      <c r="Q71" s="10" t="s">
        <v>433</v>
      </c>
      <c r="R71" s="12" t="s">
        <v>387</v>
      </c>
      <c r="S71" s="15" t="s">
        <v>57</v>
      </c>
      <c r="T71" s="16" t="s">
        <v>275</v>
      </c>
    </row>
    <row r="72" spans="1:20" ht="45" x14ac:dyDescent="0.25">
      <c r="A72" s="18">
        <v>17</v>
      </c>
      <c r="B72" s="19" t="s">
        <v>423</v>
      </c>
      <c r="C72" s="23" t="s">
        <v>424</v>
      </c>
      <c r="D72" s="19" t="s">
        <v>425</v>
      </c>
      <c r="E72" s="21" t="s">
        <v>426</v>
      </c>
      <c r="F72" s="21"/>
      <c r="G72" s="19" t="s">
        <v>427</v>
      </c>
      <c r="H72" s="21" t="s">
        <v>428</v>
      </c>
      <c r="I72" s="21" t="s">
        <v>429</v>
      </c>
      <c r="J72" s="20">
        <v>2020050360017</v>
      </c>
      <c r="K72" s="21" t="s">
        <v>430</v>
      </c>
      <c r="L72" s="22">
        <v>42000000</v>
      </c>
      <c r="M72" s="19" t="s">
        <v>434</v>
      </c>
      <c r="N72" s="21" t="s">
        <v>435</v>
      </c>
      <c r="O72" s="21"/>
      <c r="P72" s="23" t="s">
        <v>179</v>
      </c>
      <c r="Q72" s="19" t="s">
        <v>436</v>
      </c>
      <c r="R72" s="21" t="s">
        <v>437</v>
      </c>
      <c r="S72" s="24" t="s">
        <v>57</v>
      </c>
      <c r="T72" s="25" t="s">
        <v>275</v>
      </c>
    </row>
    <row r="73" spans="1:20" ht="45" x14ac:dyDescent="0.25">
      <c r="A73" s="18">
        <v>17</v>
      </c>
      <c r="B73" s="19" t="s">
        <v>423</v>
      </c>
      <c r="C73" s="23" t="s">
        <v>424</v>
      </c>
      <c r="D73" s="19" t="s">
        <v>425</v>
      </c>
      <c r="E73" s="21" t="s">
        <v>426</v>
      </c>
      <c r="F73" s="21"/>
      <c r="G73" s="19" t="s">
        <v>427</v>
      </c>
      <c r="H73" s="21" t="s">
        <v>428</v>
      </c>
      <c r="I73" s="21" t="s">
        <v>429</v>
      </c>
      <c r="J73" s="20">
        <v>2020050360017</v>
      </c>
      <c r="K73" s="21" t="s">
        <v>430</v>
      </c>
      <c r="L73" s="22">
        <v>42000000</v>
      </c>
      <c r="M73" s="19" t="s">
        <v>438</v>
      </c>
      <c r="N73" s="21" t="s">
        <v>439</v>
      </c>
      <c r="O73" s="21"/>
      <c r="P73" s="23" t="s">
        <v>440</v>
      </c>
      <c r="Q73" s="19" t="s">
        <v>441</v>
      </c>
      <c r="R73" s="21" t="s">
        <v>442</v>
      </c>
      <c r="S73" s="24" t="s">
        <v>57</v>
      </c>
      <c r="T73" s="25" t="s">
        <v>275</v>
      </c>
    </row>
    <row r="74" spans="1:20" ht="60" x14ac:dyDescent="0.25">
      <c r="A74" s="18">
        <v>17</v>
      </c>
      <c r="B74" s="19" t="s">
        <v>423</v>
      </c>
      <c r="C74" s="23" t="s">
        <v>424</v>
      </c>
      <c r="D74" s="19" t="s">
        <v>425</v>
      </c>
      <c r="E74" s="21" t="s">
        <v>426</v>
      </c>
      <c r="F74" s="21"/>
      <c r="G74" s="19" t="s">
        <v>427</v>
      </c>
      <c r="H74" s="21" t="s">
        <v>428</v>
      </c>
      <c r="I74" s="21" t="s">
        <v>429</v>
      </c>
      <c r="J74" s="20">
        <v>2020050360017</v>
      </c>
      <c r="K74" s="21" t="s">
        <v>430</v>
      </c>
      <c r="L74" s="22">
        <v>42000000</v>
      </c>
      <c r="M74" s="19" t="s">
        <v>443</v>
      </c>
      <c r="N74" s="21" t="s">
        <v>444</v>
      </c>
      <c r="O74" s="21" t="s">
        <v>429</v>
      </c>
      <c r="P74" s="23" t="s">
        <v>61</v>
      </c>
      <c r="Q74" s="19" t="s">
        <v>445</v>
      </c>
      <c r="R74" s="21" t="s">
        <v>446</v>
      </c>
      <c r="S74" s="24" t="s">
        <v>57</v>
      </c>
      <c r="T74" s="25" t="s">
        <v>275</v>
      </c>
    </row>
    <row r="75" spans="1:20" ht="45" x14ac:dyDescent="0.25">
      <c r="A75" s="18">
        <v>17</v>
      </c>
      <c r="B75" s="19" t="s">
        <v>423</v>
      </c>
      <c r="C75" s="23" t="s">
        <v>424</v>
      </c>
      <c r="D75" s="19" t="s">
        <v>425</v>
      </c>
      <c r="E75" s="21" t="s">
        <v>426</v>
      </c>
      <c r="F75" s="21"/>
      <c r="G75" s="19" t="s">
        <v>427</v>
      </c>
      <c r="H75" s="21" t="s">
        <v>428</v>
      </c>
      <c r="I75" s="21" t="s">
        <v>429</v>
      </c>
      <c r="J75" s="20">
        <v>2020050360017</v>
      </c>
      <c r="K75" s="21" t="s">
        <v>430</v>
      </c>
      <c r="L75" s="22">
        <v>42000000</v>
      </c>
      <c r="M75" s="19" t="s">
        <v>447</v>
      </c>
      <c r="N75" s="21" t="s">
        <v>448</v>
      </c>
      <c r="O75" s="21" t="s">
        <v>449</v>
      </c>
      <c r="P75" s="23" t="s">
        <v>450</v>
      </c>
      <c r="Q75" s="19" t="s">
        <v>451</v>
      </c>
      <c r="R75" s="21" t="s">
        <v>452</v>
      </c>
      <c r="S75" s="24" t="s">
        <v>57</v>
      </c>
      <c r="T75" s="25" t="s">
        <v>275</v>
      </c>
    </row>
    <row r="76" spans="1:20" ht="45" x14ac:dyDescent="0.25">
      <c r="A76" s="18">
        <v>17</v>
      </c>
      <c r="B76" s="19" t="s">
        <v>423</v>
      </c>
      <c r="C76" s="23" t="s">
        <v>424</v>
      </c>
      <c r="D76" s="19" t="s">
        <v>425</v>
      </c>
      <c r="E76" s="21" t="s">
        <v>426</v>
      </c>
      <c r="F76" s="21"/>
      <c r="G76" s="19" t="s">
        <v>427</v>
      </c>
      <c r="H76" s="21" t="s">
        <v>428</v>
      </c>
      <c r="I76" s="21" t="s">
        <v>429</v>
      </c>
      <c r="J76" s="20">
        <v>2020050360017</v>
      </c>
      <c r="K76" s="21" t="s">
        <v>430</v>
      </c>
      <c r="L76" s="22">
        <v>42000000</v>
      </c>
      <c r="M76" s="19" t="s">
        <v>453</v>
      </c>
      <c r="N76" s="21" t="s">
        <v>454</v>
      </c>
      <c r="O76" s="21" t="s">
        <v>415</v>
      </c>
      <c r="P76" s="23" t="s">
        <v>213</v>
      </c>
      <c r="Q76" s="19" t="s">
        <v>455</v>
      </c>
      <c r="R76" s="21" t="s">
        <v>417</v>
      </c>
      <c r="S76" s="24" t="s">
        <v>57</v>
      </c>
      <c r="T76" s="25" t="s">
        <v>275</v>
      </c>
    </row>
    <row r="77" spans="1:20" ht="75.75" thickBot="1" x14ac:dyDescent="0.3">
      <c r="A77" s="70">
        <v>17</v>
      </c>
      <c r="B77" s="71" t="s">
        <v>456</v>
      </c>
      <c r="C77" s="72" t="s">
        <v>457</v>
      </c>
      <c r="D77" s="71" t="s">
        <v>458</v>
      </c>
      <c r="E77" s="73" t="s">
        <v>459</v>
      </c>
      <c r="F77" s="73"/>
      <c r="G77" s="71" t="s">
        <v>460</v>
      </c>
      <c r="H77" s="73" t="s">
        <v>461</v>
      </c>
      <c r="I77" s="73" t="s">
        <v>429</v>
      </c>
      <c r="J77" s="75">
        <v>2020050360017</v>
      </c>
      <c r="K77" s="73" t="s">
        <v>430</v>
      </c>
      <c r="L77" s="76">
        <v>42000000</v>
      </c>
      <c r="M77" s="71" t="s">
        <v>462</v>
      </c>
      <c r="N77" s="73" t="s">
        <v>463</v>
      </c>
      <c r="O77" s="73" t="s">
        <v>464</v>
      </c>
      <c r="P77" s="72" t="s">
        <v>465</v>
      </c>
      <c r="Q77" s="71" t="s">
        <v>466</v>
      </c>
      <c r="R77" s="73" t="s">
        <v>467</v>
      </c>
      <c r="S77" s="77" t="s">
        <v>78</v>
      </c>
      <c r="T77" s="78" t="s">
        <v>275</v>
      </c>
    </row>
    <row r="78" spans="1:20" ht="45.75" thickBot="1" x14ac:dyDescent="0.3">
      <c r="A78" s="109">
        <v>18</v>
      </c>
      <c r="B78" s="116" t="s">
        <v>468</v>
      </c>
      <c r="C78" s="117" t="s">
        <v>469</v>
      </c>
      <c r="D78" s="116" t="s">
        <v>470</v>
      </c>
      <c r="E78" s="114" t="s">
        <v>471</v>
      </c>
      <c r="F78" s="114"/>
      <c r="G78" s="116" t="s">
        <v>472</v>
      </c>
      <c r="H78" s="114" t="s">
        <v>473</v>
      </c>
      <c r="I78" s="114" t="s">
        <v>474</v>
      </c>
      <c r="J78" s="113">
        <v>2020050360018</v>
      </c>
      <c r="K78" s="114" t="s">
        <v>475</v>
      </c>
      <c r="L78" s="115">
        <v>124217400</v>
      </c>
      <c r="M78" s="116" t="s">
        <v>476</v>
      </c>
      <c r="N78" s="114" t="s">
        <v>477</v>
      </c>
      <c r="O78" s="114"/>
      <c r="P78" s="117" t="s">
        <v>478</v>
      </c>
      <c r="Q78" s="116" t="s">
        <v>479</v>
      </c>
      <c r="R78" s="114" t="s">
        <v>480</v>
      </c>
      <c r="S78" s="119" t="s">
        <v>57</v>
      </c>
      <c r="T78" s="120" t="s">
        <v>481</v>
      </c>
    </row>
    <row r="79" spans="1:20" ht="90" x14ac:dyDescent="0.25">
      <c r="A79" s="9">
        <v>19</v>
      </c>
      <c r="B79" s="10" t="s">
        <v>326</v>
      </c>
      <c r="C79" s="14" t="s">
        <v>327</v>
      </c>
      <c r="D79" s="10" t="s">
        <v>328</v>
      </c>
      <c r="E79" s="12" t="s">
        <v>329</v>
      </c>
      <c r="F79" s="12"/>
      <c r="G79" s="10" t="s">
        <v>482</v>
      </c>
      <c r="H79" s="12" t="s">
        <v>483</v>
      </c>
      <c r="I79" s="12" t="s">
        <v>484</v>
      </c>
      <c r="J79" s="11">
        <v>2020050360019</v>
      </c>
      <c r="K79" s="12" t="s">
        <v>485</v>
      </c>
      <c r="L79" s="13">
        <v>44043096</v>
      </c>
      <c r="M79" s="10" t="s">
        <v>486</v>
      </c>
      <c r="N79" s="12" t="s">
        <v>487</v>
      </c>
      <c r="O79" s="12" t="s">
        <v>488</v>
      </c>
      <c r="P79" s="131" t="s">
        <v>489</v>
      </c>
      <c r="Q79" s="10" t="s">
        <v>490</v>
      </c>
      <c r="R79" s="12" t="s">
        <v>491</v>
      </c>
      <c r="S79" s="15" t="s">
        <v>57</v>
      </c>
      <c r="T79" s="16" t="s">
        <v>275</v>
      </c>
    </row>
    <row r="80" spans="1:20" ht="90" x14ac:dyDescent="0.25">
      <c r="A80" s="18">
        <v>19</v>
      </c>
      <c r="B80" s="19" t="s">
        <v>326</v>
      </c>
      <c r="C80" s="23" t="s">
        <v>327</v>
      </c>
      <c r="D80" s="19" t="s">
        <v>328</v>
      </c>
      <c r="E80" s="21" t="s">
        <v>329</v>
      </c>
      <c r="F80" s="21"/>
      <c r="G80" s="19" t="s">
        <v>482</v>
      </c>
      <c r="H80" s="21" t="s">
        <v>483</v>
      </c>
      <c r="I80" s="21" t="s">
        <v>484</v>
      </c>
      <c r="J80" s="20">
        <v>2020050360019</v>
      </c>
      <c r="K80" s="21" t="s">
        <v>485</v>
      </c>
      <c r="L80" s="22">
        <v>44043096</v>
      </c>
      <c r="M80" s="19" t="s">
        <v>486</v>
      </c>
      <c r="N80" s="21" t="s">
        <v>487</v>
      </c>
      <c r="O80" s="21" t="s">
        <v>488</v>
      </c>
      <c r="P80" s="132" t="s">
        <v>489</v>
      </c>
      <c r="Q80" s="19" t="s">
        <v>492</v>
      </c>
      <c r="R80" s="21" t="s">
        <v>493</v>
      </c>
      <c r="S80" s="24" t="s">
        <v>57</v>
      </c>
      <c r="T80" s="25" t="s">
        <v>275</v>
      </c>
    </row>
    <row r="81" spans="1:20" ht="90" x14ac:dyDescent="0.25">
      <c r="A81" s="18">
        <v>19</v>
      </c>
      <c r="B81" s="19" t="s">
        <v>326</v>
      </c>
      <c r="C81" s="23" t="s">
        <v>327</v>
      </c>
      <c r="D81" s="19" t="s">
        <v>328</v>
      </c>
      <c r="E81" s="21" t="s">
        <v>329</v>
      </c>
      <c r="F81" s="21"/>
      <c r="G81" s="19" t="s">
        <v>482</v>
      </c>
      <c r="H81" s="21" t="s">
        <v>483</v>
      </c>
      <c r="I81" s="21" t="s">
        <v>484</v>
      </c>
      <c r="J81" s="20">
        <v>2020050360019</v>
      </c>
      <c r="K81" s="21" t="s">
        <v>485</v>
      </c>
      <c r="L81" s="22">
        <v>44043096</v>
      </c>
      <c r="M81" s="19" t="s">
        <v>486</v>
      </c>
      <c r="N81" s="21" t="s">
        <v>487</v>
      </c>
      <c r="O81" s="21" t="s">
        <v>488</v>
      </c>
      <c r="P81" s="132" t="s">
        <v>489</v>
      </c>
      <c r="Q81" s="19" t="s">
        <v>494</v>
      </c>
      <c r="R81" s="21" t="s">
        <v>495</v>
      </c>
      <c r="S81" s="24" t="s">
        <v>57</v>
      </c>
      <c r="T81" s="25" t="s">
        <v>275</v>
      </c>
    </row>
    <row r="82" spans="1:20" ht="90" x14ac:dyDescent="0.25">
      <c r="A82" s="18">
        <v>19</v>
      </c>
      <c r="B82" s="19" t="s">
        <v>326</v>
      </c>
      <c r="C82" s="23" t="s">
        <v>327</v>
      </c>
      <c r="D82" s="19" t="s">
        <v>328</v>
      </c>
      <c r="E82" s="21" t="s">
        <v>329</v>
      </c>
      <c r="F82" s="21"/>
      <c r="G82" s="19" t="s">
        <v>482</v>
      </c>
      <c r="H82" s="21" t="s">
        <v>483</v>
      </c>
      <c r="I82" s="21" t="s">
        <v>484</v>
      </c>
      <c r="J82" s="20">
        <v>2020050360019</v>
      </c>
      <c r="K82" s="21" t="s">
        <v>485</v>
      </c>
      <c r="L82" s="22">
        <v>44043096</v>
      </c>
      <c r="M82" s="19" t="s">
        <v>496</v>
      </c>
      <c r="N82" s="21" t="s">
        <v>497</v>
      </c>
      <c r="O82" s="21" t="s">
        <v>498</v>
      </c>
      <c r="P82" s="132" t="s">
        <v>489</v>
      </c>
      <c r="Q82" s="19" t="s">
        <v>499</v>
      </c>
      <c r="R82" s="21" t="s">
        <v>500</v>
      </c>
      <c r="S82" s="24" t="s">
        <v>57</v>
      </c>
      <c r="T82" s="25" t="s">
        <v>275</v>
      </c>
    </row>
    <row r="83" spans="1:20" ht="90.75" thickBot="1" x14ac:dyDescent="0.3">
      <c r="A83" s="70">
        <v>19</v>
      </c>
      <c r="B83" s="71" t="s">
        <v>326</v>
      </c>
      <c r="C83" s="72" t="s">
        <v>327</v>
      </c>
      <c r="D83" s="71" t="s">
        <v>328</v>
      </c>
      <c r="E83" s="73" t="s">
        <v>329</v>
      </c>
      <c r="F83" s="73"/>
      <c r="G83" s="71" t="s">
        <v>482</v>
      </c>
      <c r="H83" s="73" t="s">
        <v>483</v>
      </c>
      <c r="I83" s="73" t="s">
        <v>484</v>
      </c>
      <c r="J83" s="75">
        <v>2020050360019</v>
      </c>
      <c r="K83" s="73" t="s">
        <v>485</v>
      </c>
      <c r="L83" s="76">
        <v>44043096</v>
      </c>
      <c r="M83" s="71" t="s">
        <v>496</v>
      </c>
      <c r="N83" s="73" t="s">
        <v>497</v>
      </c>
      <c r="O83" s="73" t="s">
        <v>498</v>
      </c>
      <c r="P83" s="133" t="s">
        <v>489</v>
      </c>
      <c r="Q83" s="71" t="s">
        <v>501</v>
      </c>
      <c r="R83" s="73" t="s">
        <v>502</v>
      </c>
      <c r="S83" s="77" t="s">
        <v>57</v>
      </c>
      <c r="T83" s="78" t="s">
        <v>275</v>
      </c>
    </row>
    <row r="84" spans="1:20" ht="45" customHeight="1" x14ac:dyDescent="0.25">
      <c r="A84" s="34">
        <v>20</v>
      </c>
      <c r="B84" s="35" t="s">
        <v>43</v>
      </c>
      <c r="C84" s="35" t="s">
        <v>44</v>
      </c>
      <c r="D84" s="35" t="s">
        <v>503</v>
      </c>
      <c r="E84" s="37" t="s">
        <v>504</v>
      </c>
      <c r="F84" s="37"/>
      <c r="G84" s="35" t="s">
        <v>505</v>
      </c>
      <c r="H84" s="37" t="s">
        <v>506</v>
      </c>
      <c r="I84" s="37" t="s">
        <v>507</v>
      </c>
      <c r="J84" s="50">
        <v>2020050360020</v>
      </c>
      <c r="K84" s="37" t="s">
        <v>508</v>
      </c>
      <c r="L84" s="51">
        <v>82500000</v>
      </c>
      <c r="M84" s="52" t="s">
        <v>509</v>
      </c>
      <c r="N84" s="37" t="s">
        <v>510</v>
      </c>
      <c r="O84" s="37"/>
      <c r="P84" s="36" t="s">
        <v>511</v>
      </c>
      <c r="Q84" s="35" t="s">
        <v>512</v>
      </c>
      <c r="R84" s="37" t="s">
        <v>510</v>
      </c>
      <c r="S84" s="40" t="s">
        <v>57</v>
      </c>
      <c r="T84" s="41" t="s">
        <v>275</v>
      </c>
    </row>
    <row r="85" spans="1:20" ht="75" x14ac:dyDescent="0.25">
      <c r="A85" s="58">
        <v>20</v>
      </c>
      <c r="B85" s="59" t="s">
        <v>43</v>
      </c>
      <c r="C85" s="59" t="s">
        <v>44</v>
      </c>
      <c r="D85" s="59" t="s">
        <v>503</v>
      </c>
      <c r="E85" s="61" t="s">
        <v>504</v>
      </c>
      <c r="F85" s="61"/>
      <c r="G85" s="59" t="s">
        <v>505</v>
      </c>
      <c r="H85" s="61" t="s">
        <v>506</v>
      </c>
      <c r="I85" s="61" t="s">
        <v>507</v>
      </c>
      <c r="J85" s="62">
        <v>2020050360020</v>
      </c>
      <c r="K85" s="61" t="s">
        <v>508</v>
      </c>
      <c r="L85" s="63">
        <v>82500000</v>
      </c>
      <c r="M85" s="134" t="s">
        <v>513</v>
      </c>
      <c r="N85" s="61" t="s">
        <v>514</v>
      </c>
      <c r="O85" s="61"/>
      <c r="P85" s="60" t="s">
        <v>511</v>
      </c>
      <c r="Q85" s="59" t="s">
        <v>515</v>
      </c>
      <c r="R85" s="61" t="s">
        <v>514</v>
      </c>
      <c r="S85" s="64" t="s">
        <v>57</v>
      </c>
      <c r="T85" s="65" t="s">
        <v>275</v>
      </c>
    </row>
    <row r="86" spans="1:20" ht="75" x14ac:dyDescent="0.25">
      <c r="A86" s="58">
        <v>20</v>
      </c>
      <c r="B86" s="59" t="s">
        <v>43</v>
      </c>
      <c r="C86" s="59" t="s">
        <v>44</v>
      </c>
      <c r="D86" s="59" t="s">
        <v>503</v>
      </c>
      <c r="E86" s="61" t="s">
        <v>504</v>
      </c>
      <c r="F86" s="61"/>
      <c r="G86" s="59" t="s">
        <v>505</v>
      </c>
      <c r="H86" s="61" t="s">
        <v>506</v>
      </c>
      <c r="I86" s="61" t="s">
        <v>507</v>
      </c>
      <c r="J86" s="62">
        <v>2020050360020</v>
      </c>
      <c r="K86" s="61" t="s">
        <v>508</v>
      </c>
      <c r="L86" s="63">
        <v>82500000</v>
      </c>
      <c r="M86" s="134" t="s">
        <v>516</v>
      </c>
      <c r="N86" s="61" t="s">
        <v>517</v>
      </c>
      <c r="O86" s="61"/>
      <c r="P86" s="60" t="s">
        <v>511</v>
      </c>
      <c r="Q86" s="59" t="s">
        <v>518</v>
      </c>
      <c r="R86" s="61" t="s">
        <v>517</v>
      </c>
      <c r="S86" s="64" t="s">
        <v>57</v>
      </c>
      <c r="T86" s="65" t="s">
        <v>275</v>
      </c>
    </row>
    <row r="87" spans="1:20" ht="75" x14ac:dyDescent="0.25">
      <c r="A87" s="58">
        <v>20</v>
      </c>
      <c r="B87" s="59" t="s">
        <v>43</v>
      </c>
      <c r="C87" s="59" t="s">
        <v>44</v>
      </c>
      <c r="D87" s="59" t="s">
        <v>503</v>
      </c>
      <c r="E87" s="61" t="s">
        <v>504</v>
      </c>
      <c r="F87" s="61"/>
      <c r="G87" s="59" t="s">
        <v>505</v>
      </c>
      <c r="H87" s="61" t="s">
        <v>506</v>
      </c>
      <c r="I87" s="61" t="s">
        <v>507</v>
      </c>
      <c r="J87" s="62">
        <v>2020050360020</v>
      </c>
      <c r="K87" s="61" t="s">
        <v>508</v>
      </c>
      <c r="L87" s="63">
        <v>82500000</v>
      </c>
      <c r="M87" s="134" t="s">
        <v>519</v>
      </c>
      <c r="N87" s="61" t="s">
        <v>520</v>
      </c>
      <c r="O87" s="61"/>
      <c r="P87" s="60" t="s">
        <v>521</v>
      </c>
      <c r="Q87" s="59" t="s">
        <v>522</v>
      </c>
      <c r="R87" s="61" t="s">
        <v>520</v>
      </c>
      <c r="S87" s="64" t="s">
        <v>57</v>
      </c>
      <c r="T87" s="65" t="s">
        <v>275</v>
      </c>
    </row>
    <row r="88" spans="1:20" ht="75" x14ac:dyDescent="0.25">
      <c r="A88" s="58">
        <v>20</v>
      </c>
      <c r="B88" s="59" t="s">
        <v>43</v>
      </c>
      <c r="C88" s="59" t="s">
        <v>44</v>
      </c>
      <c r="D88" s="59" t="s">
        <v>503</v>
      </c>
      <c r="E88" s="61" t="s">
        <v>504</v>
      </c>
      <c r="F88" s="61"/>
      <c r="G88" s="59" t="s">
        <v>505</v>
      </c>
      <c r="H88" s="61" t="s">
        <v>506</v>
      </c>
      <c r="I88" s="61" t="s">
        <v>507</v>
      </c>
      <c r="J88" s="62">
        <v>2020050360020</v>
      </c>
      <c r="K88" s="61" t="s">
        <v>508</v>
      </c>
      <c r="L88" s="63">
        <v>82500000</v>
      </c>
      <c r="M88" s="134" t="s">
        <v>523</v>
      </c>
      <c r="N88" s="61" t="s">
        <v>524</v>
      </c>
      <c r="O88" s="61"/>
      <c r="P88" s="60" t="s">
        <v>521</v>
      </c>
      <c r="Q88" s="59" t="s">
        <v>525</v>
      </c>
      <c r="R88" s="61" t="s">
        <v>524</v>
      </c>
      <c r="S88" s="64" t="s">
        <v>57</v>
      </c>
      <c r="T88" s="65" t="s">
        <v>275</v>
      </c>
    </row>
    <row r="89" spans="1:20" ht="75.75" thickBot="1" x14ac:dyDescent="0.3">
      <c r="A89" s="42">
        <v>20</v>
      </c>
      <c r="B89" s="43" t="s">
        <v>43</v>
      </c>
      <c r="C89" s="43" t="s">
        <v>44</v>
      </c>
      <c r="D89" s="43" t="s">
        <v>503</v>
      </c>
      <c r="E89" s="45" t="s">
        <v>504</v>
      </c>
      <c r="F89" s="45"/>
      <c r="G89" s="43" t="s">
        <v>505</v>
      </c>
      <c r="H89" s="45" t="s">
        <v>506</v>
      </c>
      <c r="I89" s="45" t="s">
        <v>507</v>
      </c>
      <c r="J89" s="53">
        <v>2020050360020</v>
      </c>
      <c r="K89" s="45" t="s">
        <v>508</v>
      </c>
      <c r="L89" s="54">
        <v>82500000</v>
      </c>
      <c r="M89" s="55" t="s">
        <v>526</v>
      </c>
      <c r="N89" s="45" t="s">
        <v>527</v>
      </c>
      <c r="O89" s="45"/>
      <c r="P89" s="44" t="s">
        <v>521</v>
      </c>
      <c r="Q89" s="43" t="s">
        <v>528</v>
      </c>
      <c r="R89" s="45" t="s">
        <v>527</v>
      </c>
      <c r="S89" s="48" t="s">
        <v>57</v>
      </c>
      <c r="T89" s="49" t="s">
        <v>275</v>
      </c>
    </row>
    <row r="90" spans="1:20" ht="150" x14ac:dyDescent="0.25">
      <c r="A90" s="9">
        <v>21</v>
      </c>
      <c r="B90" s="10" t="s">
        <v>260</v>
      </c>
      <c r="C90" s="10" t="s">
        <v>261</v>
      </c>
      <c r="D90" s="10" t="s">
        <v>262</v>
      </c>
      <c r="E90" s="12" t="s">
        <v>263</v>
      </c>
      <c r="F90" s="12"/>
      <c r="G90" s="10" t="s">
        <v>529</v>
      </c>
      <c r="H90" s="12" t="s">
        <v>530</v>
      </c>
      <c r="I90" s="12" t="s">
        <v>531</v>
      </c>
      <c r="J90" s="11">
        <v>2020050360021</v>
      </c>
      <c r="K90" s="12" t="s">
        <v>532</v>
      </c>
      <c r="L90" s="13"/>
      <c r="M90" s="10" t="s">
        <v>533</v>
      </c>
      <c r="N90" s="10" t="s">
        <v>534</v>
      </c>
      <c r="O90" s="12" t="s">
        <v>535</v>
      </c>
      <c r="P90" s="14" t="s">
        <v>345</v>
      </c>
      <c r="Q90" s="10" t="s">
        <v>536</v>
      </c>
      <c r="R90" s="12" t="s">
        <v>537</v>
      </c>
      <c r="S90" s="15" t="s">
        <v>57</v>
      </c>
      <c r="T90" s="16" t="s">
        <v>275</v>
      </c>
    </row>
    <row r="91" spans="1:20" ht="150" x14ac:dyDescent="0.25">
      <c r="A91" s="18">
        <v>21</v>
      </c>
      <c r="B91" s="19" t="s">
        <v>260</v>
      </c>
      <c r="C91" s="19" t="s">
        <v>261</v>
      </c>
      <c r="D91" s="19" t="s">
        <v>262</v>
      </c>
      <c r="E91" s="21" t="s">
        <v>263</v>
      </c>
      <c r="F91" s="21"/>
      <c r="G91" s="19" t="s">
        <v>529</v>
      </c>
      <c r="H91" s="21" t="s">
        <v>530</v>
      </c>
      <c r="I91" s="21" t="s">
        <v>531</v>
      </c>
      <c r="J91" s="20">
        <v>2020050360021</v>
      </c>
      <c r="K91" s="21" t="s">
        <v>532</v>
      </c>
      <c r="L91" s="22"/>
      <c r="M91" s="19" t="s">
        <v>533</v>
      </c>
      <c r="N91" s="19" t="s">
        <v>534</v>
      </c>
      <c r="O91" s="21" t="s">
        <v>535</v>
      </c>
      <c r="P91" s="23" t="s">
        <v>345</v>
      </c>
      <c r="Q91" s="19" t="s">
        <v>538</v>
      </c>
      <c r="R91" s="21" t="s">
        <v>539</v>
      </c>
      <c r="S91" s="24" t="s">
        <v>57</v>
      </c>
      <c r="T91" s="25" t="s">
        <v>275</v>
      </c>
    </row>
    <row r="92" spans="1:20" ht="150" x14ac:dyDescent="0.25">
      <c r="A92" s="18">
        <v>21</v>
      </c>
      <c r="B92" s="19" t="s">
        <v>260</v>
      </c>
      <c r="C92" s="19" t="s">
        <v>261</v>
      </c>
      <c r="D92" s="19" t="s">
        <v>262</v>
      </c>
      <c r="E92" s="21" t="s">
        <v>263</v>
      </c>
      <c r="F92" s="21"/>
      <c r="G92" s="19" t="s">
        <v>529</v>
      </c>
      <c r="H92" s="21" t="s">
        <v>530</v>
      </c>
      <c r="I92" s="21" t="s">
        <v>531</v>
      </c>
      <c r="J92" s="20">
        <v>2020050360021</v>
      </c>
      <c r="K92" s="21" t="s">
        <v>532</v>
      </c>
      <c r="L92" s="22"/>
      <c r="M92" s="19" t="s">
        <v>540</v>
      </c>
      <c r="N92" s="19" t="s">
        <v>541</v>
      </c>
      <c r="O92" s="21" t="s">
        <v>542</v>
      </c>
      <c r="P92" s="23" t="s">
        <v>345</v>
      </c>
      <c r="Q92" s="19" t="s">
        <v>543</v>
      </c>
      <c r="R92" s="21" t="s">
        <v>544</v>
      </c>
      <c r="S92" s="24" t="s">
        <v>57</v>
      </c>
      <c r="T92" s="25" t="s">
        <v>275</v>
      </c>
    </row>
    <row r="93" spans="1:20" ht="150" x14ac:dyDescent="0.25">
      <c r="A93" s="18">
        <v>21</v>
      </c>
      <c r="B93" s="19" t="s">
        <v>260</v>
      </c>
      <c r="C93" s="19" t="s">
        <v>261</v>
      </c>
      <c r="D93" s="19" t="s">
        <v>262</v>
      </c>
      <c r="E93" s="21" t="s">
        <v>263</v>
      </c>
      <c r="F93" s="21"/>
      <c r="G93" s="19" t="s">
        <v>529</v>
      </c>
      <c r="H93" s="21" t="s">
        <v>530</v>
      </c>
      <c r="I93" s="21" t="s">
        <v>531</v>
      </c>
      <c r="J93" s="20">
        <v>2020050360021</v>
      </c>
      <c r="K93" s="21" t="s">
        <v>532</v>
      </c>
      <c r="L93" s="22"/>
      <c r="M93" s="19" t="s">
        <v>540</v>
      </c>
      <c r="N93" s="19" t="s">
        <v>541</v>
      </c>
      <c r="O93" s="21" t="s">
        <v>542</v>
      </c>
      <c r="P93" s="23" t="s">
        <v>345</v>
      </c>
      <c r="Q93" s="19" t="s">
        <v>545</v>
      </c>
      <c r="R93" s="21" t="s">
        <v>546</v>
      </c>
      <c r="S93" s="24" t="s">
        <v>57</v>
      </c>
      <c r="T93" s="25" t="s">
        <v>275</v>
      </c>
    </row>
    <row r="94" spans="1:20" ht="150" x14ac:dyDescent="0.25">
      <c r="A94" s="18">
        <v>21</v>
      </c>
      <c r="B94" s="19" t="s">
        <v>260</v>
      </c>
      <c r="C94" s="19" t="s">
        <v>261</v>
      </c>
      <c r="D94" s="19" t="s">
        <v>262</v>
      </c>
      <c r="E94" s="21" t="s">
        <v>263</v>
      </c>
      <c r="F94" s="21"/>
      <c r="G94" s="19" t="s">
        <v>529</v>
      </c>
      <c r="H94" s="21" t="s">
        <v>530</v>
      </c>
      <c r="I94" s="21" t="s">
        <v>531</v>
      </c>
      <c r="J94" s="20">
        <v>2020050360021</v>
      </c>
      <c r="K94" s="21" t="s">
        <v>532</v>
      </c>
      <c r="L94" s="22"/>
      <c r="M94" s="19" t="s">
        <v>547</v>
      </c>
      <c r="N94" s="19" t="s">
        <v>548</v>
      </c>
      <c r="O94" s="21" t="s">
        <v>549</v>
      </c>
      <c r="P94" s="23" t="s">
        <v>345</v>
      </c>
      <c r="Q94" s="19" t="s">
        <v>550</v>
      </c>
      <c r="R94" s="21" t="s">
        <v>544</v>
      </c>
      <c r="S94" s="24" t="s">
        <v>57</v>
      </c>
      <c r="T94" s="25" t="s">
        <v>275</v>
      </c>
    </row>
    <row r="95" spans="1:20" ht="150" x14ac:dyDescent="0.25">
      <c r="A95" s="18">
        <v>21</v>
      </c>
      <c r="B95" s="19" t="s">
        <v>260</v>
      </c>
      <c r="C95" s="19" t="s">
        <v>261</v>
      </c>
      <c r="D95" s="19" t="s">
        <v>262</v>
      </c>
      <c r="E95" s="21" t="s">
        <v>263</v>
      </c>
      <c r="F95" s="21"/>
      <c r="G95" s="19" t="s">
        <v>529</v>
      </c>
      <c r="H95" s="21" t="s">
        <v>530</v>
      </c>
      <c r="I95" s="21" t="s">
        <v>531</v>
      </c>
      <c r="J95" s="20">
        <v>2020050360021</v>
      </c>
      <c r="K95" s="21" t="s">
        <v>532</v>
      </c>
      <c r="L95" s="22"/>
      <c r="M95" s="19" t="s">
        <v>547</v>
      </c>
      <c r="N95" s="19" t="s">
        <v>548</v>
      </c>
      <c r="O95" s="21" t="s">
        <v>549</v>
      </c>
      <c r="P95" s="23" t="s">
        <v>345</v>
      </c>
      <c r="Q95" s="19" t="s">
        <v>551</v>
      </c>
      <c r="R95" s="21" t="s">
        <v>552</v>
      </c>
      <c r="S95" s="24" t="s">
        <v>57</v>
      </c>
      <c r="T95" s="25" t="s">
        <v>275</v>
      </c>
    </row>
    <row r="96" spans="1:20" ht="150" x14ac:dyDescent="0.25">
      <c r="A96" s="18">
        <v>21</v>
      </c>
      <c r="B96" s="19" t="s">
        <v>260</v>
      </c>
      <c r="C96" s="19" t="s">
        <v>261</v>
      </c>
      <c r="D96" s="19" t="s">
        <v>262</v>
      </c>
      <c r="E96" s="21" t="s">
        <v>263</v>
      </c>
      <c r="F96" s="21"/>
      <c r="G96" s="19" t="s">
        <v>529</v>
      </c>
      <c r="H96" s="21" t="s">
        <v>530</v>
      </c>
      <c r="I96" s="21" t="s">
        <v>531</v>
      </c>
      <c r="J96" s="20">
        <v>2020050360021</v>
      </c>
      <c r="K96" s="21" t="s">
        <v>532</v>
      </c>
      <c r="L96" s="22"/>
      <c r="M96" s="19" t="s">
        <v>553</v>
      </c>
      <c r="N96" s="19" t="s">
        <v>554</v>
      </c>
      <c r="O96" s="21" t="s">
        <v>555</v>
      </c>
      <c r="P96" s="23" t="s">
        <v>556</v>
      </c>
      <c r="Q96" s="19" t="s">
        <v>557</v>
      </c>
      <c r="R96" s="21" t="s">
        <v>558</v>
      </c>
      <c r="S96" s="24" t="s">
        <v>57</v>
      </c>
      <c r="T96" s="25" t="s">
        <v>275</v>
      </c>
    </row>
    <row r="97" spans="1:20" ht="150" x14ac:dyDescent="0.25">
      <c r="A97" s="18">
        <v>21</v>
      </c>
      <c r="B97" s="19" t="s">
        <v>260</v>
      </c>
      <c r="C97" s="19" t="s">
        <v>261</v>
      </c>
      <c r="D97" s="19" t="s">
        <v>262</v>
      </c>
      <c r="E97" s="21" t="s">
        <v>263</v>
      </c>
      <c r="F97" s="21"/>
      <c r="G97" s="19" t="s">
        <v>529</v>
      </c>
      <c r="H97" s="21" t="s">
        <v>530</v>
      </c>
      <c r="I97" s="21" t="s">
        <v>531</v>
      </c>
      <c r="J97" s="20">
        <v>2020050360021</v>
      </c>
      <c r="K97" s="21" t="s">
        <v>532</v>
      </c>
      <c r="L97" s="22"/>
      <c r="M97" s="19" t="s">
        <v>553</v>
      </c>
      <c r="N97" s="19" t="s">
        <v>554</v>
      </c>
      <c r="O97" s="21" t="s">
        <v>555</v>
      </c>
      <c r="P97" s="23" t="s">
        <v>556</v>
      </c>
      <c r="Q97" s="19" t="s">
        <v>559</v>
      </c>
      <c r="R97" s="21" t="s">
        <v>560</v>
      </c>
      <c r="S97" s="24" t="s">
        <v>57</v>
      </c>
      <c r="T97" s="25" t="s">
        <v>275</v>
      </c>
    </row>
    <row r="98" spans="1:20" ht="150" x14ac:dyDescent="0.25">
      <c r="A98" s="18">
        <v>21</v>
      </c>
      <c r="B98" s="19" t="s">
        <v>260</v>
      </c>
      <c r="C98" s="19" t="s">
        <v>261</v>
      </c>
      <c r="D98" s="19" t="s">
        <v>262</v>
      </c>
      <c r="E98" s="21" t="s">
        <v>263</v>
      </c>
      <c r="F98" s="21"/>
      <c r="G98" s="19" t="s">
        <v>529</v>
      </c>
      <c r="H98" s="21" t="s">
        <v>530</v>
      </c>
      <c r="I98" s="21" t="s">
        <v>531</v>
      </c>
      <c r="J98" s="20">
        <v>2020050360021</v>
      </c>
      <c r="K98" s="21" t="s">
        <v>532</v>
      </c>
      <c r="L98" s="22"/>
      <c r="M98" s="19" t="s">
        <v>561</v>
      </c>
      <c r="N98" s="19" t="s">
        <v>562</v>
      </c>
      <c r="O98" s="21" t="s">
        <v>563</v>
      </c>
      <c r="P98" s="23" t="s">
        <v>179</v>
      </c>
      <c r="Q98" s="19" t="s">
        <v>564</v>
      </c>
      <c r="R98" s="21" t="s">
        <v>565</v>
      </c>
      <c r="S98" s="24" t="s">
        <v>57</v>
      </c>
      <c r="T98" s="25" t="s">
        <v>275</v>
      </c>
    </row>
    <row r="99" spans="1:20" ht="150" x14ac:dyDescent="0.25">
      <c r="A99" s="18">
        <v>21</v>
      </c>
      <c r="B99" s="19" t="s">
        <v>260</v>
      </c>
      <c r="C99" s="19" t="s">
        <v>261</v>
      </c>
      <c r="D99" s="19" t="s">
        <v>262</v>
      </c>
      <c r="E99" s="21" t="s">
        <v>263</v>
      </c>
      <c r="F99" s="21"/>
      <c r="G99" s="19" t="s">
        <v>529</v>
      </c>
      <c r="H99" s="21" t="s">
        <v>530</v>
      </c>
      <c r="I99" s="21" t="s">
        <v>531</v>
      </c>
      <c r="J99" s="20">
        <v>2020050360021</v>
      </c>
      <c r="K99" s="21" t="s">
        <v>532</v>
      </c>
      <c r="L99" s="22"/>
      <c r="M99" s="19" t="s">
        <v>561</v>
      </c>
      <c r="N99" s="19" t="s">
        <v>562</v>
      </c>
      <c r="O99" s="21" t="s">
        <v>563</v>
      </c>
      <c r="P99" s="23" t="s">
        <v>179</v>
      </c>
      <c r="Q99" s="19" t="s">
        <v>566</v>
      </c>
      <c r="R99" s="21" t="s">
        <v>544</v>
      </c>
      <c r="S99" s="24" t="s">
        <v>57</v>
      </c>
      <c r="T99" s="25" t="s">
        <v>275</v>
      </c>
    </row>
    <row r="100" spans="1:20" ht="150.75" thickBot="1" x14ac:dyDescent="0.3">
      <c r="A100" s="26">
        <v>21</v>
      </c>
      <c r="B100" s="27" t="s">
        <v>260</v>
      </c>
      <c r="C100" s="27" t="s">
        <v>261</v>
      </c>
      <c r="D100" s="27" t="s">
        <v>262</v>
      </c>
      <c r="E100" s="29" t="s">
        <v>263</v>
      </c>
      <c r="F100" s="29"/>
      <c r="G100" s="27" t="s">
        <v>529</v>
      </c>
      <c r="H100" s="29" t="s">
        <v>530</v>
      </c>
      <c r="I100" s="29" t="s">
        <v>531</v>
      </c>
      <c r="J100" s="28">
        <v>2020050360021</v>
      </c>
      <c r="K100" s="29" t="s">
        <v>532</v>
      </c>
      <c r="L100" s="30"/>
      <c r="M100" s="57" t="s">
        <v>567</v>
      </c>
      <c r="N100" s="29" t="s">
        <v>568</v>
      </c>
      <c r="O100" s="29" t="s">
        <v>569</v>
      </c>
      <c r="P100" s="31" t="s">
        <v>345</v>
      </c>
      <c r="Q100" s="27" t="s">
        <v>570</v>
      </c>
      <c r="R100" s="29" t="s">
        <v>422</v>
      </c>
      <c r="S100" s="32" t="s">
        <v>57</v>
      </c>
      <c r="T100" s="33" t="s">
        <v>275</v>
      </c>
    </row>
    <row r="101" spans="1:20" ht="105" x14ac:dyDescent="0.25">
      <c r="A101" s="34">
        <v>22</v>
      </c>
      <c r="B101" s="36">
        <v>33</v>
      </c>
      <c r="C101" s="36" t="s">
        <v>571</v>
      </c>
      <c r="D101" s="36">
        <v>3301</v>
      </c>
      <c r="E101" s="135" t="s">
        <v>572</v>
      </c>
      <c r="F101" s="37"/>
      <c r="G101" s="36" t="s">
        <v>573</v>
      </c>
      <c r="H101" s="37" t="s">
        <v>574</v>
      </c>
      <c r="I101" s="37" t="s">
        <v>575</v>
      </c>
      <c r="J101" s="50">
        <v>2020050360022</v>
      </c>
      <c r="K101" s="37" t="s">
        <v>576</v>
      </c>
      <c r="L101" s="136">
        <v>70000000</v>
      </c>
      <c r="M101" s="36" t="s">
        <v>577</v>
      </c>
      <c r="N101" s="37" t="s">
        <v>578</v>
      </c>
      <c r="O101" s="37" t="s">
        <v>579</v>
      </c>
      <c r="P101" s="36" t="s">
        <v>580</v>
      </c>
      <c r="Q101" s="36" t="s">
        <v>581</v>
      </c>
      <c r="R101" s="37" t="s">
        <v>582</v>
      </c>
      <c r="S101" s="40" t="s">
        <v>57</v>
      </c>
      <c r="T101" s="41" t="s">
        <v>275</v>
      </c>
    </row>
    <row r="102" spans="1:20" ht="105" x14ac:dyDescent="0.25">
      <c r="A102" s="58">
        <v>22</v>
      </c>
      <c r="B102" s="60">
        <v>33</v>
      </c>
      <c r="C102" s="60" t="s">
        <v>571</v>
      </c>
      <c r="D102" s="60">
        <v>3301</v>
      </c>
      <c r="E102" s="137" t="s">
        <v>572</v>
      </c>
      <c r="F102" s="61"/>
      <c r="G102" s="60" t="s">
        <v>573</v>
      </c>
      <c r="H102" s="61" t="s">
        <v>574</v>
      </c>
      <c r="I102" s="61" t="s">
        <v>575</v>
      </c>
      <c r="J102" s="62">
        <v>2020050360022</v>
      </c>
      <c r="K102" s="61" t="s">
        <v>576</v>
      </c>
      <c r="L102" s="138">
        <v>70000000</v>
      </c>
      <c r="M102" s="60" t="s">
        <v>583</v>
      </c>
      <c r="N102" s="61" t="s">
        <v>584</v>
      </c>
      <c r="O102" s="61" t="s">
        <v>585</v>
      </c>
      <c r="P102" s="60" t="s">
        <v>345</v>
      </c>
      <c r="Q102" s="60" t="s">
        <v>586</v>
      </c>
      <c r="R102" s="61" t="s">
        <v>544</v>
      </c>
      <c r="S102" s="64" t="s">
        <v>57</v>
      </c>
      <c r="T102" s="65" t="s">
        <v>275</v>
      </c>
    </row>
    <row r="103" spans="1:20" ht="105" x14ac:dyDescent="0.25">
      <c r="A103" s="58">
        <v>22</v>
      </c>
      <c r="B103" s="60">
        <v>33</v>
      </c>
      <c r="C103" s="60" t="s">
        <v>571</v>
      </c>
      <c r="D103" s="60">
        <v>3301</v>
      </c>
      <c r="E103" s="137" t="s">
        <v>572</v>
      </c>
      <c r="F103" s="61"/>
      <c r="G103" s="60" t="s">
        <v>573</v>
      </c>
      <c r="H103" s="61" t="s">
        <v>574</v>
      </c>
      <c r="I103" s="61" t="s">
        <v>575</v>
      </c>
      <c r="J103" s="62">
        <v>2020050360022</v>
      </c>
      <c r="K103" s="61" t="s">
        <v>576</v>
      </c>
      <c r="L103" s="138">
        <v>70000000</v>
      </c>
      <c r="M103" s="60" t="s">
        <v>587</v>
      </c>
      <c r="N103" s="61" t="s">
        <v>588</v>
      </c>
      <c r="O103" s="61" t="s">
        <v>589</v>
      </c>
      <c r="P103" s="60" t="s">
        <v>590</v>
      </c>
      <c r="Q103" s="60" t="s">
        <v>591</v>
      </c>
      <c r="R103" s="61" t="s">
        <v>592</v>
      </c>
      <c r="S103" s="64" t="s">
        <v>57</v>
      </c>
      <c r="T103" s="65" t="s">
        <v>275</v>
      </c>
    </row>
    <row r="104" spans="1:20" ht="105" x14ac:dyDescent="0.25">
      <c r="A104" s="58">
        <v>22</v>
      </c>
      <c r="B104" s="60">
        <v>33</v>
      </c>
      <c r="C104" s="60" t="s">
        <v>571</v>
      </c>
      <c r="D104" s="60">
        <v>3301</v>
      </c>
      <c r="E104" s="137" t="s">
        <v>572</v>
      </c>
      <c r="F104" s="61"/>
      <c r="G104" s="60" t="s">
        <v>573</v>
      </c>
      <c r="H104" s="61" t="s">
        <v>574</v>
      </c>
      <c r="I104" s="61" t="s">
        <v>575</v>
      </c>
      <c r="J104" s="62">
        <v>2020050360022</v>
      </c>
      <c r="K104" s="61" t="s">
        <v>576</v>
      </c>
      <c r="L104" s="138">
        <v>70000000</v>
      </c>
      <c r="M104" s="60" t="s">
        <v>593</v>
      </c>
      <c r="N104" s="61" t="s">
        <v>594</v>
      </c>
      <c r="O104" s="61" t="s">
        <v>579</v>
      </c>
      <c r="P104" s="60" t="s">
        <v>595</v>
      </c>
      <c r="Q104" s="60" t="s">
        <v>596</v>
      </c>
      <c r="R104" s="61" t="s">
        <v>597</v>
      </c>
      <c r="S104" s="64" t="s">
        <v>57</v>
      </c>
      <c r="T104" s="65" t="s">
        <v>275</v>
      </c>
    </row>
    <row r="105" spans="1:20" ht="105" x14ac:dyDescent="0.25">
      <c r="A105" s="58">
        <v>22</v>
      </c>
      <c r="B105" s="60">
        <v>33</v>
      </c>
      <c r="C105" s="60" t="s">
        <v>571</v>
      </c>
      <c r="D105" s="60">
        <v>3301</v>
      </c>
      <c r="E105" s="137" t="s">
        <v>572</v>
      </c>
      <c r="F105" s="61"/>
      <c r="G105" s="60" t="s">
        <v>573</v>
      </c>
      <c r="H105" s="61" t="s">
        <v>574</v>
      </c>
      <c r="I105" s="61" t="s">
        <v>575</v>
      </c>
      <c r="J105" s="62">
        <v>2020050360022</v>
      </c>
      <c r="K105" s="61" t="s">
        <v>576</v>
      </c>
      <c r="L105" s="138">
        <v>70000000</v>
      </c>
      <c r="M105" s="60" t="s">
        <v>598</v>
      </c>
      <c r="N105" s="61" t="s">
        <v>599</v>
      </c>
      <c r="O105" s="61" t="s">
        <v>600</v>
      </c>
      <c r="P105" s="60" t="s">
        <v>601</v>
      </c>
      <c r="Q105" s="60" t="s">
        <v>602</v>
      </c>
      <c r="R105" s="61" t="s">
        <v>603</v>
      </c>
      <c r="S105" s="64" t="s">
        <v>57</v>
      </c>
      <c r="T105" s="65" t="s">
        <v>275</v>
      </c>
    </row>
    <row r="106" spans="1:20" ht="105" x14ac:dyDescent="0.25">
      <c r="A106" s="58">
        <v>22</v>
      </c>
      <c r="B106" s="60">
        <v>33</v>
      </c>
      <c r="C106" s="60" t="s">
        <v>571</v>
      </c>
      <c r="D106" s="60">
        <v>3301</v>
      </c>
      <c r="E106" s="137" t="s">
        <v>572</v>
      </c>
      <c r="F106" s="61"/>
      <c r="G106" s="60" t="s">
        <v>573</v>
      </c>
      <c r="H106" s="61" t="s">
        <v>574</v>
      </c>
      <c r="I106" s="61" t="s">
        <v>575</v>
      </c>
      <c r="J106" s="62">
        <v>2020050360022</v>
      </c>
      <c r="K106" s="61" t="s">
        <v>576</v>
      </c>
      <c r="L106" s="138">
        <v>70000000</v>
      </c>
      <c r="M106" s="60"/>
      <c r="N106" s="61" t="s">
        <v>599</v>
      </c>
      <c r="O106" s="61" t="s">
        <v>600</v>
      </c>
      <c r="P106" s="60" t="s">
        <v>601</v>
      </c>
      <c r="Q106" s="60" t="s">
        <v>604</v>
      </c>
      <c r="R106" s="61" t="s">
        <v>605</v>
      </c>
      <c r="S106" s="64" t="s">
        <v>57</v>
      </c>
      <c r="T106" s="65" t="s">
        <v>275</v>
      </c>
    </row>
    <row r="107" spans="1:20" ht="105" x14ac:dyDescent="0.25">
      <c r="A107" s="58">
        <v>22</v>
      </c>
      <c r="B107" s="60">
        <v>33</v>
      </c>
      <c r="C107" s="60" t="s">
        <v>571</v>
      </c>
      <c r="D107" s="60">
        <v>3301</v>
      </c>
      <c r="E107" s="137" t="s">
        <v>572</v>
      </c>
      <c r="F107" s="61"/>
      <c r="G107" s="60" t="s">
        <v>573</v>
      </c>
      <c r="H107" s="61" t="s">
        <v>574</v>
      </c>
      <c r="I107" s="61" t="s">
        <v>575</v>
      </c>
      <c r="J107" s="62">
        <v>2020050360022</v>
      </c>
      <c r="K107" s="61" t="s">
        <v>576</v>
      </c>
      <c r="L107" s="138">
        <v>70000000</v>
      </c>
      <c r="M107" s="60" t="s">
        <v>606</v>
      </c>
      <c r="N107" s="61" t="s">
        <v>607</v>
      </c>
      <c r="O107" s="61" t="s">
        <v>608</v>
      </c>
      <c r="P107" s="60" t="s">
        <v>609</v>
      </c>
      <c r="Q107" s="60" t="s">
        <v>610</v>
      </c>
      <c r="R107" s="61" t="s">
        <v>611</v>
      </c>
      <c r="S107" s="64" t="s">
        <v>57</v>
      </c>
      <c r="T107" s="65" t="s">
        <v>275</v>
      </c>
    </row>
    <row r="108" spans="1:20" ht="105" x14ac:dyDescent="0.25">
      <c r="A108" s="58">
        <v>22</v>
      </c>
      <c r="B108" s="60">
        <v>33</v>
      </c>
      <c r="C108" s="60" t="s">
        <v>571</v>
      </c>
      <c r="D108" s="60">
        <v>3301</v>
      </c>
      <c r="E108" s="137" t="s">
        <v>572</v>
      </c>
      <c r="F108" s="61"/>
      <c r="G108" s="60" t="s">
        <v>573</v>
      </c>
      <c r="H108" s="61" t="s">
        <v>574</v>
      </c>
      <c r="I108" s="61" t="s">
        <v>575</v>
      </c>
      <c r="J108" s="62">
        <v>2020050360022</v>
      </c>
      <c r="K108" s="61" t="s">
        <v>576</v>
      </c>
      <c r="L108" s="138">
        <v>70000000</v>
      </c>
      <c r="M108" s="60" t="s">
        <v>606</v>
      </c>
      <c r="N108" s="61" t="s">
        <v>607</v>
      </c>
      <c r="O108" s="61" t="s">
        <v>608</v>
      </c>
      <c r="P108" s="60" t="s">
        <v>609</v>
      </c>
      <c r="Q108" s="60" t="s">
        <v>612</v>
      </c>
      <c r="R108" s="61" t="s">
        <v>613</v>
      </c>
      <c r="S108" s="64" t="s">
        <v>57</v>
      </c>
      <c r="T108" s="65" t="s">
        <v>275</v>
      </c>
    </row>
    <row r="109" spans="1:20" ht="105" x14ac:dyDescent="0.25">
      <c r="A109" s="58">
        <v>22</v>
      </c>
      <c r="B109" s="60">
        <v>33</v>
      </c>
      <c r="C109" s="60" t="s">
        <v>571</v>
      </c>
      <c r="D109" s="60">
        <v>3301</v>
      </c>
      <c r="E109" s="137" t="s">
        <v>572</v>
      </c>
      <c r="F109" s="61"/>
      <c r="G109" s="60" t="s">
        <v>573</v>
      </c>
      <c r="H109" s="61" t="s">
        <v>574</v>
      </c>
      <c r="I109" s="61" t="s">
        <v>575</v>
      </c>
      <c r="J109" s="62">
        <v>2020050360022</v>
      </c>
      <c r="K109" s="61" t="s">
        <v>576</v>
      </c>
      <c r="L109" s="138">
        <v>70000000</v>
      </c>
      <c r="M109" s="60" t="s">
        <v>614</v>
      </c>
      <c r="N109" s="61" t="s">
        <v>615</v>
      </c>
      <c r="O109" s="61" t="s">
        <v>616</v>
      </c>
      <c r="P109" s="60" t="s">
        <v>617</v>
      </c>
      <c r="Q109" s="60" t="s">
        <v>618</v>
      </c>
      <c r="R109" s="61" t="s">
        <v>619</v>
      </c>
      <c r="S109" s="64" t="s">
        <v>57</v>
      </c>
      <c r="T109" s="65" t="s">
        <v>275</v>
      </c>
    </row>
    <row r="110" spans="1:20" ht="105.75" thickBot="1" x14ac:dyDescent="0.3">
      <c r="A110" s="80">
        <v>22</v>
      </c>
      <c r="B110" s="82">
        <v>33</v>
      </c>
      <c r="C110" s="82" t="s">
        <v>571</v>
      </c>
      <c r="D110" s="82">
        <v>3301</v>
      </c>
      <c r="E110" s="139" t="s">
        <v>572</v>
      </c>
      <c r="F110" s="83"/>
      <c r="G110" s="82" t="s">
        <v>573</v>
      </c>
      <c r="H110" s="83" t="s">
        <v>574</v>
      </c>
      <c r="I110" s="83" t="s">
        <v>575</v>
      </c>
      <c r="J110" s="84">
        <v>2020050360022</v>
      </c>
      <c r="K110" s="83" t="s">
        <v>576</v>
      </c>
      <c r="L110" s="140">
        <v>70000000</v>
      </c>
      <c r="M110" s="82" t="s">
        <v>614</v>
      </c>
      <c r="N110" s="83" t="s">
        <v>615</v>
      </c>
      <c r="O110" s="83" t="s">
        <v>616</v>
      </c>
      <c r="P110" s="82" t="s">
        <v>617</v>
      </c>
      <c r="Q110" s="82" t="s">
        <v>620</v>
      </c>
      <c r="R110" s="83" t="s">
        <v>621</v>
      </c>
      <c r="S110" s="86" t="s">
        <v>57</v>
      </c>
      <c r="T110" s="87" t="s">
        <v>275</v>
      </c>
    </row>
    <row r="111" spans="1:20" ht="60" x14ac:dyDescent="0.25">
      <c r="A111" s="9">
        <v>23</v>
      </c>
      <c r="B111" s="14">
        <v>19</v>
      </c>
      <c r="C111" s="14" t="s">
        <v>622</v>
      </c>
      <c r="D111" s="14">
        <v>1901</v>
      </c>
      <c r="E111" s="141" t="s">
        <v>623</v>
      </c>
      <c r="F111" s="12" t="s">
        <v>624</v>
      </c>
      <c r="G111" s="14" t="s">
        <v>625</v>
      </c>
      <c r="H111" s="12" t="s">
        <v>626</v>
      </c>
      <c r="I111" s="12" t="s">
        <v>627</v>
      </c>
      <c r="J111" s="11">
        <v>2020050360023</v>
      </c>
      <c r="K111" s="12" t="s">
        <v>628</v>
      </c>
      <c r="L111" s="142">
        <v>105000000</v>
      </c>
      <c r="M111" s="14">
        <v>1901149</v>
      </c>
      <c r="N111" s="130" t="s">
        <v>629</v>
      </c>
      <c r="O111" s="130" t="s">
        <v>630</v>
      </c>
      <c r="P111" s="14" t="s">
        <v>631</v>
      </c>
      <c r="Q111" s="14" t="s">
        <v>632</v>
      </c>
      <c r="R111" s="12" t="s">
        <v>633</v>
      </c>
      <c r="S111" s="15" t="s">
        <v>57</v>
      </c>
      <c r="T111" s="16" t="s">
        <v>275</v>
      </c>
    </row>
    <row r="112" spans="1:20" ht="60" x14ac:dyDescent="0.25">
      <c r="A112" s="18">
        <v>23</v>
      </c>
      <c r="B112" s="23">
        <v>19</v>
      </c>
      <c r="C112" s="23" t="s">
        <v>622</v>
      </c>
      <c r="D112" s="23">
        <v>1901</v>
      </c>
      <c r="E112" s="143" t="s">
        <v>623</v>
      </c>
      <c r="F112" s="21" t="s">
        <v>624</v>
      </c>
      <c r="G112" s="23" t="s">
        <v>625</v>
      </c>
      <c r="H112" s="21" t="s">
        <v>626</v>
      </c>
      <c r="I112" s="21" t="s">
        <v>627</v>
      </c>
      <c r="J112" s="20">
        <v>2020050360023</v>
      </c>
      <c r="K112" s="21" t="s">
        <v>628</v>
      </c>
      <c r="L112" s="144">
        <v>105000000</v>
      </c>
      <c r="M112" s="23">
        <v>1901149</v>
      </c>
      <c r="N112" s="56" t="s">
        <v>629</v>
      </c>
      <c r="O112" s="56" t="s">
        <v>630</v>
      </c>
      <c r="P112" s="23" t="s">
        <v>631</v>
      </c>
      <c r="Q112" s="23" t="s">
        <v>634</v>
      </c>
      <c r="R112" s="21" t="s">
        <v>635</v>
      </c>
      <c r="S112" s="24" t="s">
        <v>57</v>
      </c>
      <c r="T112" s="25" t="s">
        <v>275</v>
      </c>
    </row>
    <row r="113" spans="1:20" ht="60" x14ac:dyDescent="0.25">
      <c r="A113" s="18">
        <v>23</v>
      </c>
      <c r="B113" s="23">
        <v>19</v>
      </c>
      <c r="C113" s="23" t="s">
        <v>622</v>
      </c>
      <c r="D113" s="23">
        <v>1901</v>
      </c>
      <c r="E113" s="143" t="s">
        <v>623</v>
      </c>
      <c r="F113" s="21" t="s">
        <v>624</v>
      </c>
      <c r="G113" s="23" t="s">
        <v>625</v>
      </c>
      <c r="H113" s="21" t="s">
        <v>626</v>
      </c>
      <c r="I113" s="21" t="s">
        <v>627</v>
      </c>
      <c r="J113" s="20">
        <v>2020050360023</v>
      </c>
      <c r="K113" s="21" t="s">
        <v>628</v>
      </c>
      <c r="L113" s="144">
        <v>105000000</v>
      </c>
      <c r="M113" s="23">
        <v>1901149</v>
      </c>
      <c r="N113" s="56" t="s">
        <v>629</v>
      </c>
      <c r="O113" s="56" t="s">
        <v>630</v>
      </c>
      <c r="P113" s="23" t="s">
        <v>631</v>
      </c>
      <c r="Q113" s="23" t="s">
        <v>636</v>
      </c>
      <c r="R113" s="21" t="s">
        <v>637</v>
      </c>
      <c r="S113" s="24" t="s">
        <v>57</v>
      </c>
      <c r="T113" s="25" t="s">
        <v>275</v>
      </c>
    </row>
    <row r="114" spans="1:20" ht="60" x14ac:dyDescent="0.25">
      <c r="A114" s="18">
        <v>23</v>
      </c>
      <c r="B114" s="23">
        <v>19</v>
      </c>
      <c r="C114" s="23" t="s">
        <v>622</v>
      </c>
      <c r="D114" s="23">
        <v>1901</v>
      </c>
      <c r="E114" s="143" t="s">
        <v>623</v>
      </c>
      <c r="F114" s="21" t="s">
        <v>624</v>
      </c>
      <c r="G114" s="23" t="s">
        <v>625</v>
      </c>
      <c r="H114" s="21" t="s">
        <v>626</v>
      </c>
      <c r="I114" s="21" t="s">
        <v>627</v>
      </c>
      <c r="J114" s="20">
        <v>2020050360023</v>
      </c>
      <c r="K114" s="21" t="s">
        <v>628</v>
      </c>
      <c r="L114" s="144">
        <v>105000000</v>
      </c>
      <c r="M114" s="23">
        <v>1901149</v>
      </c>
      <c r="N114" s="56" t="s">
        <v>629</v>
      </c>
      <c r="O114" s="56" t="s">
        <v>630</v>
      </c>
      <c r="P114" s="23" t="s">
        <v>631</v>
      </c>
      <c r="Q114" s="23" t="s">
        <v>638</v>
      </c>
      <c r="R114" s="21" t="s">
        <v>639</v>
      </c>
      <c r="S114" s="24" t="s">
        <v>57</v>
      </c>
      <c r="T114" s="25" t="s">
        <v>275</v>
      </c>
    </row>
    <row r="115" spans="1:20" ht="60" x14ac:dyDescent="0.25">
      <c r="A115" s="18">
        <v>23</v>
      </c>
      <c r="B115" s="23">
        <v>19</v>
      </c>
      <c r="C115" s="23" t="s">
        <v>622</v>
      </c>
      <c r="D115" s="23">
        <v>1901</v>
      </c>
      <c r="E115" s="143" t="s">
        <v>623</v>
      </c>
      <c r="F115" s="21" t="s">
        <v>624</v>
      </c>
      <c r="G115" s="23" t="s">
        <v>625</v>
      </c>
      <c r="H115" s="21" t="s">
        <v>626</v>
      </c>
      <c r="I115" s="21" t="s">
        <v>627</v>
      </c>
      <c r="J115" s="20">
        <v>2020050360023</v>
      </c>
      <c r="K115" s="21" t="s">
        <v>628</v>
      </c>
      <c r="L115" s="144">
        <v>105000000</v>
      </c>
      <c r="M115" s="23">
        <v>1901149</v>
      </c>
      <c r="N115" s="56" t="s">
        <v>629</v>
      </c>
      <c r="O115" s="56" t="s">
        <v>630</v>
      </c>
      <c r="P115" s="23" t="s">
        <v>631</v>
      </c>
      <c r="Q115" s="23" t="s">
        <v>640</v>
      </c>
      <c r="R115" s="21" t="s">
        <v>641</v>
      </c>
      <c r="S115" s="24" t="s">
        <v>57</v>
      </c>
      <c r="T115" s="25" t="s">
        <v>275</v>
      </c>
    </row>
    <row r="116" spans="1:20" ht="45" x14ac:dyDescent="0.25">
      <c r="A116" s="18">
        <v>23</v>
      </c>
      <c r="B116" s="23">
        <v>36</v>
      </c>
      <c r="C116" s="23" t="s">
        <v>642</v>
      </c>
      <c r="D116" s="23">
        <v>3601</v>
      </c>
      <c r="E116" s="143" t="s">
        <v>643</v>
      </c>
      <c r="F116" s="21"/>
      <c r="G116" s="145" t="s">
        <v>644</v>
      </c>
      <c r="H116" s="122"/>
      <c r="I116" s="122"/>
      <c r="J116" s="20">
        <v>2020050360023</v>
      </c>
      <c r="K116" s="21" t="s">
        <v>628</v>
      </c>
      <c r="L116" s="144">
        <v>105000000</v>
      </c>
      <c r="M116" s="23" t="s">
        <v>645</v>
      </c>
      <c r="N116" s="21" t="s">
        <v>646</v>
      </c>
      <c r="O116" s="21" t="s">
        <v>647</v>
      </c>
      <c r="P116" s="23" t="s">
        <v>648</v>
      </c>
      <c r="Q116" s="23" t="s">
        <v>649</v>
      </c>
      <c r="R116" s="21" t="s">
        <v>650</v>
      </c>
      <c r="S116" s="24" t="s">
        <v>57</v>
      </c>
      <c r="T116" s="25" t="s">
        <v>275</v>
      </c>
    </row>
    <row r="117" spans="1:20" ht="45.75" thickBot="1" x14ac:dyDescent="0.3">
      <c r="A117" s="26">
        <v>23</v>
      </c>
      <c r="B117" s="31">
        <v>36</v>
      </c>
      <c r="C117" s="31" t="s">
        <v>642</v>
      </c>
      <c r="D117" s="31">
        <v>3601</v>
      </c>
      <c r="E117" s="146" t="s">
        <v>643</v>
      </c>
      <c r="F117" s="29"/>
      <c r="G117" s="147" t="s">
        <v>644</v>
      </c>
      <c r="H117" s="148"/>
      <c r="I117" s="148"/>
      <c r="J117" s="28">
        <v>2020050360023</v>
      </c>
      <c r="K117" s="29" t="s">
        <v>628</v>
      </c>
      <c r="L117" s="149">
        <v>105000000</v>
      </c>
      <c r="M117" s="31" t="s">
        <v>645</v>
      </c>
      <c r="N117" s="29" t="s">
        <v>646</v>
      </c>
      <c r="O117" s="29" t="s">
        <v>647</v>
      </c>
      <c r="P117" s="31" t="s">
        <v>648</v>
      </c>
      <c r="Q117" s="31" t="s">
        <v>651</v>
      </c>
      <c r="R117" s="29" t="s">
        <v>544</v>
      </c>
      <c r="S117" s="32" t="s">
        <v>57</v>
      </c>
      <c r="T117" s="33" t="s">
        <v>275</v>
      </c>
    </row>
    <row r="118" spans="1:20" ht="120" x14ac:dyDescent="0.25">
      <c r="A118" s="34">
        <v>24</v>
      </c>
      <c r="B118" s="36">
        <v>19</v>
      </c>
      <c r="C118" s="36" t="s">
        <v>622</v>
      </c>
      <c r="D118" s="36">
        <v>1901</v>
      </c>
      <c r="E118" s="135" t="s">
        <v>623</v>
      </c>
      <c r="F118" s="37" t="s">
        <v>624</v>
      </c>
      <c r="G118" s="36" t="s">
        <v>652</v>
      </c>
      <c r="H118" s="37" t="s">
        <v>653</v>
      </c>
      <c r="I118" s="37" t="s">
        <v>654</v>
      </c>
      <c r="J118" s="50">
        <v>2020050360024</v>
      </c>
      <c r="K118" s="37" t="s">
        <v>655</v>
      </c>
      <c r="L118" s="136">
        <v>115486437</v>
      </c>
      <c r="M118" s="36" t="s">
        <v>656</v>
      </c>
      <c r="N118" s="37" t="s">
        <v>657</v>
      </c>
      <c r="O118" s="37" t="s">
        <v>658</v>
      </c>
      <c r="P118" s="36" t="s">
        <v>659</v>
      </c>
      <c r="Q118" s="36" t="s">
        <v>660</v>
      </c>
      <c r="R118" s="37" t="s">
        <v>661</v>
      </c>
      <c r="S118" s="40" t="s">
        <v>57</v>
      </c>
      <c r="T118" s="41" t="s">
        <v>275</v>
      </c>
    </row>
    <row r="119" spans="1:20" ht="105" x14ac:dyDescent="0.25">
      <c r="A119" s="58">
        <v>24</v>
      </c>
      <c r="B119" s="60">
        <v>19</v>
      </c>
      <c r="C119" s="60" t="s">
        <v>622</v>
      </c>
      <c r="D119" s="60">
        <v>1901</v>
      </c>
      <c r="E119" s="137" t="s">
        <v>623</v>
      </c>
      <c r="F119" s="61" t="s">
        <v>624</v>
      </c>
      <c r="G119" s="60" t="s">
        <v>652</v>
      </c>
      <c r="H119" s="61" t="s">
        <v>653</v>
      </c>
      <c r="I119" s="61" t="s">
        <v>654</v>
      </c>
      <c r="J119" s="62">
        <v>2020050360024</v>
      </c>
      <c r="K119" s="61" t="s">
        <v>655</v>
      </c>
      <c r="L119" s="138">
        <v>115486437</v>
      </c>
      <c r="M119" s="60" t="s">
        <v>662</v>
      </c>
      <c r="N119" s="61" t="s">
        <v>663</v>
      </c>
      <c r="O119" s="61" t="s">
        <v>664</v>
      </c>
      <c r="P119" s="60" t="s">
        <v>665</v>
      </c>
      <c r="Q119" s="60" t="s">
        <v>666</v>
      </c>
      <c r="R119" s="61" t="s">
        <v>667</v>
      </c>
      <c r="S119" s="64" t="s">
        <v>57</v>
      </c>
      <c r="T119" s="65" t="s">
        <v>275</v>
      </c>
    </row>
    <row r="120" spans="1:20" ht="105" x14ac:dyDescent="0.25">
      <c r="A120" s="58">
        <v>24</v>
      </c>
      <c r="B120" s="60">
        <v>19</v>
      </c>
      <c r="C120" s="60" t="s">
        <v>622</v>
      </c>
      <c r="D120" s="60">
        <v>1901</v>
      </c>
      <c r="E120" s="137" t="s">
        <v>623</v>
      </c>
      <c r="F120" s="61" t="s">
        <v>624</v>
      </c>
      <c r="G120" s="60" t="s">
        <v>652</v>
      </c>
      <c r="H120" s="61" t="s">
        <v>653</v>
      </c>
      <c r="I120" s="61" t="s">
        <v>654</v>
      </c>
      <c r="J120" s="62">
        <v>2020050360024</v>
      </c>
      <c r="K120" s="61" t="s">
        <v>655</v>
      </c>
      <c r="L120" s="138">
        <v>115486437</v>
      </c>
      <c r="M120" s="60" t="s">
        <v>668</v>
      </c>
      <c r="N120" s="61" t="s">
        <v>669</v>
      </c>
      <c r="O120" s="61" t="s">
        <v>670</v>
      </c>
      <c r="P120" s="60" t="s">
        <v>345</v>
      </c>
      <c r="Q120" s="60" t="s">
        <v>671</v>
      </c>
      <c r="R120" s="61" t="s">
        <v>672</v>
      </c>
      <c r="S120" s="64" t="s">
        <v>57</v>
      </c>
      <c r="T120" s="65" t="s">
        <v>275</v>
      </c>
    </row>
    <row r="121" spans="1:20" ht="105" x14ac:dyDescent="0.25">
      <c r="A121" s="58">
        <v>24</v>
      </c>
      <c r="B121" s="60">
        <v>19</v>
      </c>
      <c r="C121" s="60" t="s">
        <v>622</v>
      </c>
      <c r="D121" s="60">
        <v>1901</v>
      </c>
      <c r="E121" s="137" t="s">
        <v>623</v>
      </c>
      <c r="F121" s="61" t="s">
        <v>624</v>
      </c>
      <c r="G121" s="60" t="s">
        <v>652</v>
      </c>
      <c r="H121" s="61" t="s">
        <v>653</v>
      </c>
      <c r="I121" s="61" t="s">
        <v>654</v>
      </c>
      <c r="J121" s="62">
        <v>2020050360024</v>
      </c>
      <c r="K121" s="61" t="s">
        <v>655</v>
      </c>
      <c r="L121" s="138">
        <v>115486437</v>
      </c>
      <c r="M121" s="60" t="s">
        <v>673</v>
      </c>
      <c r="N121" s="61" t="s">
        <v>674</v>
      </c>
      <c r="O121" s="61" t="s">
        <v>675</v>
      </c>
      <c r="P121" s="60" t="s">
        <v>676</v>
      </c>
      <c r="Q121" s="60" t="s">
        <v>677</v>
      </c>
      <c r="R121" s="61" t="s">
        <v>678</v>
      </c>
      <c r="S121" s="64" t="s">
        <v>57</v>
      </c>
      <c r="T121" s="65" t="s">
        <v>275</v>
      </c>
    </row>
    <row r="122" spans="1:20" ht="105" x14ac:dyDescent="0.25">
      <c r="A122" s="58">
        <v>24</v>
      </c>
      <c r="B122" s="60">
        <v>19</v>
      </c>
      <c r="C122" s="60" t="s">
        <v>622</v>
      </c>
      <c r="D122" s="60">
        <v>1901</v>
      </c>
      <c r="E122" s="137" t="s">
        <v>623</v>
      </c>
      <c r="F122" s="61" t="s">
        <v>624</v>
      </c>
      <c r="G122" s="60" t="s">
        <v>652</v>
      </c>
      <c r="H122" s="61" t="s">
        <v>653</v>
      </c>
      <c r="I122" s="61" t="s">
        <v>654</v>
      </c>
      <c r="J122" s="62">
        <v>2020050360024</v>
      </c>
      <c r="K122" s="61" t="s">
        <v>655</v>
      </c>
      <c r="L122" s="138">
        <v>115486437</v>
      </c>
      <c r="M122" s="60" t="s">
        <v>679</v>
      </c>
      <c r="N122" s="61" t="s">
        <v>680</v>
      </c>
      <c r="O122" s="61" t="s">
        <v>681</v>
      </c>
      <c r="P122" s="60" t="s">
        <v>682</v>
      </c>
      <c r="Q122" s="60" t="s">
        <v>683</v>
      </c>
      <c r="R122" s="61" t="s">
        <v>684</v>
      </c>
      <c r="S122" s="64" t="s">
        <v>57</v>
      </c>
      <c r="T122" s="65" t="s">
        <v>275</v>
      </c>
    </row>
    <row r="123" spans="1:20" ht="105" x14ac:dyDescent="0.25">
      <c r="A123" s="58">
        <v>24</v>
      </c>
      <c r="B123" s="60">
        <v>19</v>
      </c>
      <c r="C123" s="60" t="s">
        <v>622</v>
      </c>
      <c r="D123" s="60">
        <v>1901</v>
      </c>
      <c r="E123" s="137" t="s">
        <v>623</v>
      </c>
      <c r="F123" s="61" t="s">
        <v>624</v>
      </c>
      <c r="G123" s="60" t="s">
        <v>652</v>
      </c>
      <c r="H123" s="61" t="s">
        <v>653</v>
      </c>
      <c r="I123" s="61" t="s">
        <v>654</v>
      </c>
      <c r="J123" s="62">
        <v>2020050360024</v>
      </c>
      <c r="K123" s="61" t="s">
        <v>655</v>
      </c>
      <c r="L123" s="138">
        <v>115486437</v>
      </c>
      <c r="M123" s="60" t="s">
        <v>685</v>
      </c>
      <c r="N123" s="61" t="s">
        <v>686</v>
      </c>
      <c r="O123" s="61" t="s">
        <v>687</v>
      </c>
      <c r="P123" s="60" t="s">
        <v>682</v>
      </c>
      <c r="Q123" s="60" t="s">
        <v>688</v>
      </c>
      <c r="R123" s="61" t="s">
        <v>689</v>
      </c>
      <c r="S123" s="64" t="s">
        <v>57</v>
      </c>
      <c r="T123" s="65" t="s">
        <v>275</v>
      </c>
    </row>
    <row r="124" spans="1:20" ht="105" x14ac:dyDescent="0.25">
      <c r="A124" s="58">
        <v>24</v>
      </c>
      <c r="B124" s="60">
        <v>19</v>
      </c>
      <c r="C124" s="60" t="s">
        <v>622</v>
      </c>
      <c r="D124" s="60">
        <v>1901</v>
      </c>
      <c r="E124" s="137" t="s">
        <v>623</v>
      </c>
      <c r="F124" s="61" t="s">
        <v>624</v>
      </c>
      <c r="G124" s="60" t="s">
        <v>652</v>
      </c>
      <c r="H124" s="61" t="s">
        <v>653</v>
      </c>
      <c r="I124" s="61" t="s">
        <v>654</v>
      </c>
      <c r="J124" s="62">
        <v>2020050360024</v>
      </c>
      <c r="K124" s="61" t="s">
        <v>655</v>
      </c>
      <c r="L124" s="138">
        <v>115486437</v>
      </c>
      <c r="M124" s="60" t="s">
        <v>690</v>
      </c>
      <c r="N124" s="61" t="s">
        <v>691</v>
      </c>
      <c r="O124" s="61" t="s">
        <v>692</v>
      </c>
      <c r="P124" s="60" t="s">
        <v>682</v>
      </c>
      <c r="Q124" s="60" t="s">
        <v>693</v>
      </c>
      <c r="R124" s="61" t="s">
        <v>694</v>
      </c>
      <c r="S124" s="64" t="s">
        <v>57</v>
      </c>
      <c r="T124" s="65" t="s">
        <v>275</v>
      </c>
    </row>
    <row r="125" spans="1:20" ht="105" x14ac:dyDescent="0.25">
      <c r="A125" s="58">
        <v>24</v>
      </c>
      <c r="B125" s="60">
        <v>19</v>
      </c>
      <c r="C125" s="60" t="s">
        <v>622</v>
      </c>
      <c r="D125" s="60">
        <v>1901</v>
      </c>
      <c r="E125" s="137" t="s">
        <v>623</v>
      </c>
      <c r="F125" s="61" t="s">
        <v>624</v>
      </c>
      <c r="G125" s="60" t="s">
        <v>652</v>
      </c>
      <c r="H125" s="61" t="s">
        <v>653</v>
      </c>
      <c r="I125" s="61" t="s">
        <v>654</v>
      </c>
      <c r="J125" s="62">
        <v>2020050360024</v>
      </c>
      <c r="K125" s="61" t="s">
        <v>655</v>
      </c>
      <c r="L125" s="138">
        <v>115486437</v>
      </c>
      <c r="M125" s="60" t="s">
        <v>695</v>
      </c>
      <c r="N125" s="61" t="s">
        <v>696</v>
      </c>
      <c r="O125" s="61" t="s">
        <v>697</v>
      </c>
      <c r="P125" s="60" t="s">
        <v>682</v>
      </c>
      <c r="Q125" s="60" t="s">
        <v>698</v>
      </c>
      <c r="R125" s="61" t="s">
        <v>699</v>
      </c>
      <c r="S125" s="64" t="s">
        <v>57</v>
      </c>
      <c r="T125" s="65" t="s">
        <v>275</v>
      </c>
    </row>
    <row r="126" spans="1:20" ht="105" x14ac:dyDescent="0.25">
      <c r="A126" s="58">
        <v>24</v>
      </c>
      <c r="B126" s="60">
        <v>19</v>
      </c>
      <c r="C126" s="60" t="s">
        <v>622</v>
      </c>
      <c r="D126" s="60">
        <v>1901</v>
      </c>
      <c r="E126" s="137" t="s">
        <v>623</v>
      </c>
      <c r="F126" s="61" t="s">
        <v>624</v>
      </c>
      <c r="G126" s="60" t="s">
        <v>652</v>
      </c>
      <c r="H126" s="61" t="s">
        <v>653</v>
      </c>
      <c r="I126" s="61" t="s">
        <v>654</v>
      </c>
      <c r="J126" s="62">
        <v>2020050360024</v>
      </c>
      <c r="K126" s="61" t="s">
        <v>655</v>
      </c>
      <c r="L126" s="138">
        <v>115486437</v>
      </c>
      <c r="M126" s="60" t="s">
        <v>700</v>
      </c>
      <c r="N126" s="61" t="s">
        <v>701</v>
      </c>
      <c r="O126" s="61" t="s">
        <v>702</v>
      </c>
      <c r="P126" s="60" t="s">
        <v>682</v>
      </c>
      <c r="Q126" s="60" t="s">
        <v>703</v>
      </c>
      <c r="R126" s="61" t="s">
        <v>704</v>
      </c>
      <c r="S126" s="64" t="s">
        <v>57</v>
      </c>
      <c r="T126" s="65" t="s">
        <v>275</v>
      </c>
    </row>
    <row r="127" spans="1:20" ht="105" x14ac:dyDescent="0.25">
      <c r="A127" s="58">
        <v>24</v>
      </c>
      <c r="B127" s="60">
        <v>19</v>
      </c>
      <c r="C127" s="60" t="s">
        <v>622</v>
      </c>
      <c r="D127" s="60">
        <v>1901</v>
      </c>
      <c r="E127" s="137" t="s">
        <v>623</v>
      </c>
      <c r="F127" s="61" t="s">
        <v>624</v>
      </c>
      <c r="G127" s="60" t="s">
        <v>652</v>
      </c>
      <c r="H127" s="61" t="s">
        <v>653</v>
      </c>
      <c r="I127" s="61" t="s">
        <v>654</v>
      </c>
      <c r="J127" s="62">
        <v>2020050360024</v>
      </c>
      <c r="K127" s="61" t="s">
        <v>655</v>
      </c>
      <c r="L127" s="138">
        <v>115486437</v>
      </c>
      <c r="M127" s="60" t="s">
        <v>705</v>
      </c>
      <c r="N127" s="61" t="s">
        <v>706</v>
      </c>
      <c r="O127" s="61" t="s">
        <v>707</v>
      </c>
      <c r="P127" s="60" t="s">
        <v>708</v>
      </c>
      <c r="Q127" s="60" t="s">
        <v>709</v>
      </c>
      <c r="R127" s="61" t="s">
        <v>710</v>
      </c>
      <c r="S127" s="64" t="s">
        <v>78</v>
      </c>
      <c r="T127" s="65" t="s">
        <v>275</v>
      </c>
    </row>
    <row r="128" spans="1:20" ht="90" x14ac:dyDescent="0.25">
      <c r="A128" s="58">
        <v>24</v>
      </c>
      <c r="B128" s="60">
        <v>19</v>
      </c>
      <c r="C128" s="60" t="s">
        <v>622</v>
      </c>
      <c r="D128" s="60">
        <v>1903</v>
      </c>
      <c r="E128" s="137" t="s">
        <v>711</v>
      </c>
      <c r="F128" s="61"/>
      <c r="G128" s="60" t="s">
        <v>712</v>
      </c>
      <c r="H128" s="61" t="s">
        <v>713</v>
      </c>
      <c r="I128" s="61" t="s">
        <v>714</v>
      </c>
      <c r="J128" s="62">
        <v>2020050360024</v>
      </c>
      <c r="K128" s="61" t="s">
        <v>655</v>
      </c>
      <c r="L128" s="138">
        <v>115486437</v>
      </c>
      <c r="M128" s="60" t="s">
        <v>715</v>
      </c>
      <c r="N128" s="61" t="s">
        <v>716</v>
      </c>
      <c r="O128" s="61" t="s">
        <v>717</v>
      </c>
      <c r="P128" s="60" t="s">
        <v>718</v>
      </c>
      <c r="Q128" s="60" t="s">
        <v>719</v>
      </c>
      <c r="R128" s="61" t="s">
        <v>720</v>
      </c>
      <c r="S128" s="64" t="s">
        <v>57</v>
      </c>
      <c r="T128" s="65" t="s">
        <v>275</v>
      </c>
    </row>
    <row r="129" spans="1:20" ht="60" x14ac:dyDescent="0.25">
      <c r="A129" s="58">
        <v>24</v>
      </c>
      <c r="B129" s="60">
        <v>19</v>
      </c>
      <c r="C129" s="60" t="s">
        <v>622</v>
      </c>
      <c r="D129" s="60">
        <v>1903</v>
      </c>
      <c r="E129" s="137" t="s">
        <v>711</v>
      </c>
      <c r="F129" s="61"/>
      <c r="G129" s="60" t="s">
        <v>712</v>
      </c>
      <c r="H129" s="61" t="s">
        <v>713</v>
      </c>
      <c r="I129" s="61" t="s">
        <v>714</v>
      </c>
      <c r="J129" s="62">
        <v>2020050360024</v>
      </c>
      <c r="K129" s="61" t="s">
        <v>655</v>
      </c>
      <c r="L129" s="138">
        <v>115486437</v>
      </c>
      <c r="M129" s="60" t="s">
        <v>721</v>
      </c>
      <c r="N129" s="61" t="s">
        <v>722</v>
      </c>
      <c r="O129" s="61" t="s">
        <v>723</v>
      </c>
      <c r="P129" s="60" t="s">
        <v>724</v>
      </c>
      <c r="Q129" s="60" t="s">
        <v>725</v>
      </c>
      <c r="R129" s="61" t="s">
        <v>726</v>
      </c>
      <c r="S129" s="64" t="s">
        <v>57</v>
      </c>
      <c r="T129" s="65" t="s">
        <v>275</v>
      </c>
    </row>
    <row r="130" spans="1:20" ht="60" x14ac:dyDescent="0.25">
      <c r="A130" s="58">
        <v>24</v>
      </c>
      <c r="B130" s="60">
        <v>19</v>
      </c>
      <c r="C130" s="60" t="s">
        <v>622</v>
      </c>
      <c r="D130" s="60">
        <v>1903</v>
      </c>
      <c r="E130" s="137" t="s">
        <v>711</v>
      </c>
      <c r="F130" s="61"/>
      <c r="G130" s="60" t="s">
        <v>712</v>
      </c>
      <c r="H130" s="61" t="s">
        <v>713</v>
      </c>
      <c r="I130" s="61" t="s">
        <v>714</v>
      </c>
      <c r="J130" s="62">
        <v>2020050360024</v>
      </c>
      <c r="K130" s="61" t="s">
        <v>655</v>
      </c>
      <c r="L130" s="138">
        <v>115486437</v>
      </c>
      <c r="M130" s="60" t="s">
        <v>727</v>
      </c>
      <c r="N130" s="61" t="s">
        <v>728</v>
      </c>
      <c r="O130" s="61" t="s">
        <v>729</v>
      </c>
      <c r="P130" s="60" t="s">
        <v>730</v>
      </c>
      <c r="Q130" s="60" t="s">
        <v>731</v>
      </c>
      <c r="R130" s="61" t="s">
        <v>732</v>
      </c>
      <c r="S130" s="64" t="s">
        <v>57</v>
      </c>
      <c r="T130" s="65" t="s">
        <v>275</v>
      </c>
    </row>
    <row r="131" spans="1:20" ht="60.75" thickBot="1" x14ac:dyDescent="0.3">
      <c r="A131" s="42">
        <v>24</v>
      </c>
      <c r="B131" s="44">
        <v>19</v>
      </c>
      <c r="C131" s="44" t="s">
        <v>622</v>
      </c>
      <c r="D131" s="44">
        <v>1999</v>
      </c>
      <c r="E131" s="150" t="s">
        <v>733</v>
      </c>
      <c r="F131" s="45"/>
      <c r="G131" s="44" t="s">
        <v>734</v>
      </c>
      <c r="H131" s="45" t="s">
        <v>735</v>
      </c>
      <c r="I131" s="45" t="s">
        <v>736</v>
      </c>
      <c r="J131" s="53">
        <v>2020050360024</v>
      </c>
      <c r="K131" s="45" t="s">
        <v>655</v>
      </c>
      <c r="L131" s="151">
        <v>115486437</v>
      </c>
      <c r="M131" s="44" t="s">
        <v>737</v>
      </c>
      <c r="N131" s="44" t="s">
        <v>738</v>
      </c>
      <c r="O131" s="61" t="s">
        <v>739</v>
      </c>
      <c r="P131" s="44" t="s">
        <v>740</v>
      </c>
      <c r="Q131" s="44" t="s">
        <v>741</v>
      </c>
      <c r="R131" s="45" t="s">
        <v>742</v>
      </c>
      <c r="S131" s="48" t="s">
        <v>78</v>
      </c>
      <c r="T131" s="49" t="s">
        <v>275</v>
      </c>
    </row>
    <row r="132" spans="1:20" ht="75" x14ac:dyDescent="0.25">
      <c r="A132" s="9">
        <v>25</v>
      </c>
      <c r="B132" s="14" t="s">
        <v>85</v>
      </c>
      <c r="C132" s="14" t="s">
        <v>86</v>
      </c>
      <c r="D132" s="14" t="s">
        <v>743</v>
      </c>
      <c r="E132" s="141" t="s">
        <v>744</v>
      </c>
      <c r="F132" s="152" t="s">
        <v>745</v>
      </c>
      <c r="G132" s="14" t="s">
        <v>746</v>
      </c>
      <c r="H132" s="12" t="s">
        <v>747</v>
      </c>
      <c r="I132" s="12" t="s">
        <v>748</v>
      </c>
      <c r="J132" s="11">
        <v>2020050360025</v>
      </c>
      <c r="K132" s="12" t="s">
        <v>749</v>
      </c>
      <c r="L132" s="142">
        <v>158818408</v>
      </c>
      <c r="M132" s="14" t="s">
        <v>750</v>
      </c>
      <c r="N132" s="12" t="s">
        <v>751</v>
      </c>
      <c r="O132" s="12" t="s">
        <v>752</v>
      </c>
      <c r="P132" s="14" t="s">
        <v>753</v>
      </c>
      <c r="Q132" s="14" t="s">
        <v>754</v>
      </c>
      <c r="R132" s="12" t="s">
        <v>755</v>
      </c>
      <c r="S132" s="15" t="s">
        <v>57</v>
      </c>
      <c r="T132" s="16" t="s">
        <v>756</v>
      </c>
    </row>
    <row r="133" spans="1:20" ht="75" x14ac:dyDescent="0.25">
      <c r="A133" s="18">
        <v>25</v>
      </c>
      <c r="B133" s="23" t="s">
        <v>85</v>
      </c>
      <c r="C133" s="23" t="s">
        <v>86</v>
      </c>
      <c r="D133" s="23" t="s">
        <v>743</v>
      </c>
      <c r="E133" s="143" t="s">
        <v>744</v>
      </c>
      <c r="F133" s="21" t="s">
        <v>745</v>
      </c>
      <c r="G133" s="23" t="s">
        <v>746</v>
      </c>
      <c r="H133" s="21" t="s">
        <v>747</v>
      </c>
      <c r="I133" s="21" t="s">
        <v>748</v>
      </c>
      <c r="J133" s="20">
        <v>2020050360025</v>
      </c>
      <c r="K133" s="21" t="s">
        <v>749</v>
      </c>
      <c r="L133" s="144">
        <v>158818408</v>
      </c>
      <c r="M133" s="23" t="s">
        <v>757</v>
      </c>
      <c r="N133" s="21" t="s">
        <v>758</v>
      </c>
      <c r="O133" s="21"/>
      <c r="P133" s="23" t="s">
        <v>753</v>
      </c>
      <c r="Q133" s="23" t="s">
        <v>759</v>
      </c>
      <c r="R133" s="21" t="s">
        <v>760</v>
      </c>
      <c r="S133" s="24" t="s">
        <v>57</v>
      </c>
      <c r="T133" s="25" t="s">
        <v>756</v>
      </c>
    </row>
    <row r="134" spans="1:20" ht="75" x14ac:dyDescent="0.25">
      <c r="A134" s="18">
        <v>25</v>
      </c>
      <c r="B134" s="23" t="s">
        <v>85</v>
      </c>
      <c r="C134" s="23" t="s">
        <v>86</v>
      </c>
      <c r="D134" s="23" t="s">
        <v>743</v>
      </c>
      <c r="E134" s="143" t="s">
        <v>744</v>
      </c>
      <c r="F134" s="21" t="s">
        <v>745</v>
      </c>
      <c r="G134" s="23" t="s">
        <v>746</v>
      </c>
      <c r="H134" s="21" t="s">
        <v>747</v>
      </c>
      <c r="I134" s="21" t="s">
        <v>748</v>
      </c>
      <c r="J134" s="20">
        <v>2020050360025</v>
      </c>
      <c r="K134" s="21" t="s">
        <v>749</v>
      </c>
      <c r="L134" s="144">
        <v>158818408</v>
      </c>
      <c r="M134" s="23" t="s">
        <v>761</v>
      </c>
      <c r="N134" s="21" t="s">
        <v>762</v>
      </c>
      <c r="O134" s="21" t="s">
        <v>763</v>
      </c>
      <c r="P134" s="23" t="s">
        <v>764</v>
      </c>
      <c r="Q134" s="23" t="s">
        <v>765</v>
      </c>
      <c r="R134" s="21" t="s">
        <v>766</v>
      </c>
      <c r="S134" s="24" t="s">
        <v>57</v>
      </c>
      <c r="T134" s="25" t="s">
        <v>756</v>
      </c>
    </row>
    <row r="135" spans="1:20" ht="90" x14ac:dyDescent="0.25">
      <c r="A135" s="18">
        <v>25</v>
      </c>
      <c r="B135" s="23" t="s">
        <v>85</v>
      </c>
      <c r="C135" s="23" t="s">
        <v>86</v>
      </c>
      <c r="D135" s="23" t="s">
        <v>767</v>
      </c>
      <c r="E135" s="143" t="s">
        <v>768</v>
      </c>
      <c r="F135" s="21" t="s">
        <v>769</v>
      </c>
      <c r="G135" s="23" t="s">
        <v>770</v>
      </c>
      <c r="H135" s="21" t="s">
        <v>771</v>
      </c>
      <c r="I135" s="21" t="s">
        <v>772</v>
      </c>
      <c r="J135" s="20">
        <v>2020050360025</v>
      </c>
      <c r="K135" s="21" t="s">
        <v>749</v>
      </c>
      <c r="L135" s="144">
        <v>158818408</v>
      </c>
      <c r="M135" s="23" t="s">
        <v>773</v>
      </c>
      <c r="N135" s="21" t="s">
        <v>774</v>
      </c>
      <c r="O135" s="21" t="s">
        <v>775</v>
      </c>
      <c r="P135" s="23" t="s">
        <v>450</v>
      </c>
      <c r="Q135" s="23" t="s">
        <v>776</v>
      </c>
      <c r="R135" s="21" t="s">
        <v>777</v>
      </c>
      <c r="S135" s="24" t="s">
        <v>57</v>
      </c>
      <c r="T135" s="25" t="s">
        <v>756</v>
      </c>
    </row>
    <row r="136" spans="1:20" ht="90" x14ac:dyDescent="0.25">
      <c r="A136" s="18">
        <v>25</v>
      </c>
      <c r="B136" s="23" t="s">
        <v>85</v>
      </c>
      <c r="C136" s="23" t="s">
        <v>86</v>
      </c>
      <c r="D136" s="23" t="s">
        <v>767</v>
      </c>
      <c r="E136" s="143" t="s">
        <v>768</v>
      </c>
      <c r="F136" s="21" t="s">
        <v>769</v>
      </c>
      <c r="G136" s="23" t="s">
        <v>770</v>
      </c>
      <c r="H136" s="21" t="s">
        <v>771</v>
      </c>
      <c r="I136" s="21" t="s">
        <v>772</v>
      </c>
      <c r="J136" s="20">
        <v>2020050360025</v>
      </c>
      <c r="K136" s="21" t="s">
        <v>749</v>
      </c>
      <c r="L136" s="144">
        <v>158818408</v>
      </c>
      <c r="M136" s="23" t="s">
        <v>778</v>
      </c>
      <c r="N136" s="21" t="s">
        <v>779</v>
      </c>
      <c r="O136" s="21" t="s">
        <v>780</v>
      </c>
      <c r="P136" s="23" t="s">
        <v>781</v>
      </c>
      <c r="Q136" s="23" t="s">
        <v>782</v>
      </c>
      <c r="R136" s="21" t="s">
        <v>783</v>
      </c>
      <c r="S136" s="24" t="s">
        <v>57</v>
      </c>
      <c r="T136" s="25" t="s">
        <v>756</v>
      </c>
    </row>
    <row r="137" spans="1:20" ht="90" x14ac:dyDescent="0.25">
      <c r="A137" s="18">
        <v>25</v>
      </c>
      <c r="B137" s="23" t="s">
        <v>85</v>
      </c>
      <c r="C137" s="23" t="s">
        <v>86</v>
      </c>
      <c r="D137" s="23" t="s">
        <v>767</v>
      </c>
      <c r="E137" s="143" t="s">
        <v>768</v>
      </c>
      <c r="F137" s="21" t="s">
        <v>769</v>
      </c>
      <c r="G137" s="23" t="s">
        <v>770</v>
      </c>
      <c r="H137" s="21" t="s">
        <v>771</v>
      </c>
      <c r="I137" s="21" t="s">
        <v>772</v>
      </c>
      <c r="J137" s="20">
        <v>2020050360025</v>
      </c>
      <c r="K137" s="21" t="s">
        <v>749</v>
      </c>
      <c r="L137" s="144">
        <v>158818408</v>
      </c>
      <c r="M137" s="23" t="s">
        <v>784</v>
      </c>
      <c r="N137" s="21" t="s">
        <v>785</v>
      </c>
      <c r="O137" s="21"/>
      <c r="P137" s="23" t="s">
        <v>786</v>
      </c>
      <c r="Q137" s="23" t="s">
        <v>787</v>
      </c>
      <c r="R137" s="21" t="s">
        <v>788</v>
      </c>
      <c r="S137" s="24" t="s">
        <v>57</v>
      </c>
      <c r="T137" s="25" t="s">
        <v>756</v>
      </c>
    </row>
    <row r="138" spans="1:20" ht="90" x14ac:dyDescent="0.25">
      <c r="A138" s="18">
        <v>25</v>
      </c>
      <c r="B138" s="23" t="s">
        <v>85</v>
      </c>
      <c r="C138" s="23" t="s">
        <v>86</v>
      </c>
      <c r="D138" s="23" t="s">
        <v>767</v>
      </c>
      <c r="E138" s="143" t="s">
        <v>768</v>
      </c>
      <c r="F138" s="21" t="s">
        <v>769</v>
      </c>
      <c r="G138" s="23" t="s">
        <v>770</v>
      </c>
      <c r="H138" s="21" t="s">
        <v>771</v>
      </c>
      <c r="I138" s="21" t="s">
        <v>772</v>
      </c>
      <c r="J138" s="20">
        <v>2020050360025</v>
      </c>
      <c r="K138" s="21" t="s">
        <v>749</v>
      </c>
      <c r="L138" s="144">
        <v>158818408</v>
      </c>
      <c r="M138" s="23" t="s">
        <v>789</v>
      </c>
      <c r="N138" s="21" t="s">
        <v>790</v>
      </c>
      <c r="O138" s="21" t="s">
        <v>791</v>
      </c>
      <c r="P138" s="23" t="s">
        <v>450</v>
      </c>
      <c r="Q138" s="23" t="s">
        <v>792</v>
      </c>
      <c r="R138" s="21" t="s">
        <v>793</v>
      </c>
      <c r="S138" s="24" t="s">
        <v>57</v>
      </c>
      <c r="T138" s="25" t="s">
        <v>756</v>
      </c>
    </row>
    <row r="139" spans="1:20" ht="90" x14ac:dyDescent="0.25">
      <c r="A139" s="18">
        <v>25</v>
      </c>
      <c r="B139" s="23" t="s">
        <v>85</v>
      </c>
      <c r="C139" s="23" t="s">
        <v>86</v>
      </c>
      <c r="D139" s="23" t="s">
        <v>767</v>
      </c>
      <c r="E139" s="143" t="s">
        <v>768</v>
      </c>
      <c r="F139" s="21" t="s">
        <v>769</v>
      </c>
      <c r="G139" s="23" t="s">
        <v>770</v>
      </c>
      <c r="H139" s="21" t="s">
        <v>771</v>
      </c>
      <c r="I139" s="21" t="s">
        <v>772</v>
      </c>
      <c r="J139" s="20">
        <v>2020050360025</v>
      </c>
      <c r="K139" s="21" t="s">
        <v>749</v>
      </c>
      <c r="L139" s="144">
        <v>158818408</v>
      </c>
      <c r="M139" s="23" t="s">
        <v>794</v>
      </c>
      <c r="N139" s="21" t="s">
        <v>795</v>
      </c>
      <c r="O139" s="21" t="s">
        <v>796</v>
      </c>
      <c r="P139" s="23" t="s">
        <v>257</v>
      </c>
      <c r="Q139" s="23" t="s">
        <v>797</v>
      </c>
      <c r="R139" s="21" t="s">
        <v>798</v>
      </c>
      <c r="S139" s="24" t="s">
        <v>57</v>
      </c>
      <c r="T139" s="25" t="s">
        <v>756</v>
      </c>
    </row>
    <row r="140" spans="1:20" ht="90.75" thickBot="1" x14ac:dyDescent="0.3">
      <c r="A140" s="70">
        <v>25</v>
      </c>
      <c r="B140" s="72" t="s">
        <v>85</v>
      </c>
      <c r="C140" s="72" t="s">
        <v>86</v>
      </c>
      <c r="D140" s="72" t="s">
        <v>767</v>
      </c>
      <c r="E140" s="153" t="s">
        <v>768</v>
      </c>
      <c r="F140" s="73" t="s">
        <v>769</v>
      </c>
      <c r="G140" s="72" t="s">
        <v>770</v>
      </c>
      <c r="H140" s="73" t="s">
        <v>771</v>
      </c>
      <c r="I140" s="73" t="s">
        <v>772</v>
      </c>
      <c r="J140" s="75">
        <v>2020050360025</v>
      </c>
      <c r="K140" s="73" t="s">
        <v>749</v>
      </c>
      <c r="L140" s="154">
        <v>158818408</v>
      </c>
      <c r="M140" s="72" t="s">
        <v>799</v>
      </c>
      <c r="N140" s="73" t="s">
        <v>800</v>
      </c>
      <c r="O140" s="73" t="s">
        <v>801</v>
      </c>
      <c r="P140" s="72" t="s">
        <v>802</v>
      </c>
      <c r="Q140" s="72" t="s">
        <v>803</v>
      </c>
      <c r="R140" s="73" t="s">
        <v>804</v>
      </c>
      <c r="S140" s="77" t="s">
        <v>57</v>
      </c>
      <c r="T140" s="78" t="s">
        <v>756</v>
      </c>
    </row>
    <row r="141" spans="1:20" ht="105" x14ac:dyDescent="0.25">
      <c r="A141" s="34">
        <v>26</v>
      </c>
      <c r="B141" s="36">
        <v>41</v>
      </c>
      <c r="C141" s="36" t="s">
        <v>163</v>
      </c>
      <c r="D141" s="36" t="s">
        <v>805</v>
      </c>
      <c r="E141" s="135" t="s">
        <v>806</v>
      </c>
      <c r="F141" s="37" t="s">
        <v>807</v>
      </c>
      <c r="G141" s="35" t="s">
        <v>808</v>
      </c>
      <c r="H141" s="37" t="s">
        <v>809</v>
      </c>
      <c r="I141" s="37" t="s">
        <v>810</v>
      </c>
      <c r="J141" s="50">
        <v>2020050360026</v>
      </c>
      <c r="K141" s="37" t="s">
        <v>811</v>
      </c>
      <c r="L141" s="51">
        <v>44750000</v>
      </c>
      <c r="M141" s="36" t="s">
        <v>812</v>
      </c>
      <c r="N141" s="37" t="s">
        <v>813</v>
      </c>
      <c r="O141" s="37" t="s">
        <v>814</v>
      </c>
      <c r="P141" s="36" t="s">
        <v>232</v>
      </c>
      <c r="Q141" s="36" t="s">
        <v>815</v>
      </c>
      <c r="R141" s="37" t="s">
        <v>816</v>
      </c>
      <c r="S141" s="40" t="s">
        <v>57</v>
      </c>
      <c r="T141" s="41" t="s">
        <v>275</v>
      </c>
    </row>
    <row r="142" spans="1:20" ht="105" x14ac:dyDescent="0.25">
      <c r="A142" s="58">
        <v>26</v>
      </c>
      <c r="B142" s="60">
        <v>41</v>
      </c>
      <c r="C142" s="60" t="s">
        <v>163</v>
      </c>
      <c r="D142" s="60" t="s">
        <v>805</v>
      </c>
      <c r="E142" s="137" t="s">
        <v>806</v>
      </c>
      <c r="F142" s="61" t="s">
        <v>807</v>
      </c>
      <c r="G142" s="59" t="s">
        <v>808</v>
      </c>
      <c r="H142" s="61" t="s">
        <v>809</v>
      </c>
      <c r="I142" s="61" t="s">
        <v>810</v>
      </c>
      <c r="J142" s="62">
        <v>2020050360026</v>
      </c>
      <c r="K142" s="61" t="s">
        <v>811</v>
      </c>
      <c r="L142" s="63">
        <v>44750000</v>
      </c>
      <c r="M142" s="60" t="s">
        <v>817</v>
      </c>
      <c r="N142" s="61" t="s">
        <v>818</v>
      </c>
      <c r="O142" s="61" t="s">
        <v>819</v>
      </c>
      <c r="P142" s="60" t="s">
        <v>820</v>
      </c>
      <c r="Q142" s="60" t="s">
        <v>821</v>
      </c>
      <c r="R142" s="61" t="s">
        <v>822</v>
      </c>
      <c r="S142" s="64" t="s">
        <v>57</v>
      </c>
      <c r="T142" s="65" t="s">
        <v>275</v>
      </c>
    </row>
    <row r="143" spans="1:20" ht="105" x14ac:dyDescent="0.25">
      <c r="A143" s="58">
        <v>26</v>
      </c>
      <c r="B143" s="60">
        <v>41</v>
      </c>
      <c r="C143" s="60" t="s">
        <v>163</v>
      </c>
      <c r="D143" s="60" t="s">
        <v>805</v>
      </c>
      <c r="E143" s="137" t="s">
        <v>806</v>
      </c>
      <c r="F143" s="61" t="s">
        <v>807</v>
      </c>
      <c r="G143" s="59" t="s">
        <v>808</v>
      </c>
      <c r="H143" s="61" t="s">
        <v>809</v>
      </c>
      <c r="I143" s="61" t="s">
        <v>810</v>
      </c>
      <c r="J143" s="62">
        <v>2020050360026</v>
      </c>
      <c r="K143" s="61" t="s">
        <v>811</v>
      </c>
      <c r="L143" s="63">
        <v>44750000</v>
      </c>
      <c r="M143" s="60" t="s">
        <v>823</v>
      </c>
      <c r="N143" s="61" t="s">
        <v>824</v>
      </c>
      <c r="O143" s="61" t="s">
        <v>825</v>
      </c>
      <c r="P143" s="60" t="s">
        <v>826</v>
      </c>
      <c r="Q143" s="60" t="s">
        <v>827</v>
      </c>
      <c r="R143" s="61" t="s">
        <v>828</v>
      </c>
      <c r="S143" s="64" t="s">
        <v>57</v>
      </c>
      <c r="T143" s="65" t="s">
        <v>275</v>
      </c>
    </row>
    <row r="144" spans="1:20" ht="105" x14ac:dyDescent="0.25">
      <c r="A144" s="58">
        <v>26</v>
      </c>
      <c r="B144" s="60">
        <v>41</v>
      </c>
      <c r="C144" s="60" t="s">
        <v>163</v>
      </c>
      <c r="D144" s="60" t="s">
        <v>805</v>
      </c>
      <c r="E144" s="137" t="s">
        <v>806</v>
      </c>
      <c r="F144" s="61" t="s">
        <v>807</v>
      </c>
      <c r="G144" s="59" t="s">
        <v>808</v>
      </c>
      <c r="H144" s="61" t="s">
        <v>809</v>
      </c>
      <c r="I144" s="61" t="s">
        <v>810</v>
      </c>
      <c r="J144" s="62">
        <v>2020050360026</v>
      </c>
      <c r="K144" s="61" t="s">
        <v>811</v>
      </c>
      <c r="L144" s="63">
        <v>44750000</v>
      </c>
      <c r="M144" s="60" t="s">
        <v>829</v>
      </c>
      <c r="N144" s="61" t="s">
        <v>830</v>
      </c>
      <c r="O144" s="61" t="s">
        <v>831</v>
      </c>
      <c r="P144" s="60" t="s">
        <v>179</v>
      </c>
      <c r="Q144" s="60" t="s">
        <v>832</v>
      </c>
      <c r="R144" s="61" t="s">
        <v>833</v>
      </c>
      <c r="S144" s="64" t="s">
        <v>57</v>
      </c>
      <c r="T144" s="65" t="s">
        <v>275</v>
      </c>
    </row>
    <row r="145" spans="1:20" ht="105" x14ac:dyDescent="0.25">
      <c r="A145" s="58">
        <v>26</v>
      </c>
      <c r="B145" s="60">
        <v>41</v>
      </c>
      <c r="C145" s="60" t="s">
        <v>163</v>
      </c>
      <c r="D145" s="60" t="s">
        <v>805</v>
      </c>
      <c r="E145" s="137" t="s">
        <v>806</v>
      </c>
      <c r="F145" s="61" t="s">
        <v>807</v>
      </c>
      <c r="G145" s="59" t="s">
        <v>808</v>
      </c>
      <c r="H145" s="61" t="s">
        <v>809</v>
      </c>
      <c r="I145" s="61" t="s">
        <v>810</v>
      </c>
      <c r="J145" s="62">
        <v>2020050360026</v>
      </c>
      <c r="K145" s="61" t="s">
        <v>811</v>
      </c>
      <c r="L145" s="63">
        <v>44750000</v>
      </c>
      <c r="M145" s="60" t="s">
        <v>834</v>
      </c>
      <c r="N145" s="61" t="s">
        <v>835</v>
      </c>
      <c r="O145" s="61" t="s">
        <v>836</v>
      </c>
      <c r="P145" s="60" t="s">
        <v>826</v>
      </c>
      <c r="Q145" s="60" t="s">
        <v>837</v>
      </c>
      <c r="R145" s="61" t="s">
        <v>838</v>
      </c>
      <c r="S145" s="64" t="s">
        <v>57</v>
      </c>
      <c r="T145" s="65" t="s">
        <v>275</v>
      </c>
    </row>
    <row r="146" spans="1:20" ht="105.75" thickBot="1" x14ac:dyDescent="0.3">
      <c r="A146" s="42">
        <v>26</v>
      </c>
      <c r="B146" s="44">
        <v>41</v>
      </c>
      <c r="C146" s="44" t="s">
        <v>163</v>
      </c>
      <c r="D146" s="44" t="s">
        <v>805</v>
      </c>
      <c r="E146" s="150" t="s">
        <v>806</v>
      </c>
      <c r="F146" s="45" t="s">
        <v>807</v>
      </c>
      <c r="G146" s="43" t="s">
        <v>808</v>
      </c>
      <c r="H146" s="45" t="s">
        <v>809</v>
      </c>
      <c r="I146" s="45" t="s">
        <v>810</v>
      </c>
      <c r="J146" s="53">
        <v>2020050360026</v>
      </c>
      <c r="K146" s="45" t="s">
        <v>811</v>
      </c>
      <c r="L146" s="54">
        <v>44750000</v>
      </c>
      <c r="M146" s="44" t="s">
        <v>839</v>
      </c>
      <c r="N146" s="45" t="s">
        <v>840</v>
      </c>
      <c r="O146" s="45" t="s">
        <v>841</v>
      </c>
      <c r="P146" s="44" t="s">
        <v>842</v>
      </c>
      <c r="Q146" s="44" t="s">
        <v>843</v>
      </c>
      <c r="R146" s="45" t="s">
        <v>844</v>
      </c>
      <c r="S146" s="48" t="s">
        <v>57</v>
      </c>
      <c r="T146" s="49" t="s">
        <v>275</v>
      </c>
    </row>
    <row r="147" spans="1:20" ht="45" x14ac:dyDescent="0.25">
      <c r="A147" s="34">
        <v>27</v>
      </c>
      <c r="B147" s="117">
        <v>13</v>
      </c>
      <c r="C147" s="117" t="s">
        <v>349</v>
      </c>
      <c r="D147" s="117">
        <v>1301</v>
      </c>
      <c r="E147" s="155" t="s">
        <v>845</v>
      </c>
      <c r="F147" s="114" t="s">
        <v>846</v>
      </c>
      <c r="G147" s="116" t="s">
        <v>847</v>
      </c>
      <c r="H147" s="114" t="s">
        <v>848</v>
      </c>
      <c r="I147" s="114" t="s">
        <v>849</v>
      </c>
      <c r="J147" s="113">
        <v>2020050360027</v>
      </c>
      <c r="K147" s="114" t="s">
        <v>850</v>
      </c>
      <c r="L147" s="115">
        <v>80000000</v>
      </c>
      <c r="M147" s="117" t="s">
        <v>851</v>
      </c>
      <c r="N147" s="114" t="s">
        <v>852</v>
      </c>
      <c r="O147" s="114" t="s">
        <v>853</v>
      </c>
      <c r="P147" s="117" t="s">
        <v>854</v>
      </c>
      <c r="Q147" s="117" t="s">
        <v>855</v>
      </c>
      <c r="R147" s="114" t="s">
        <v>856</v>
      </c>
      <c r="S147" s="119" t="s">
        <v>57</v>
      </c>
      <c r="T147" s="120" t="s">
        <v>216</v>
      </c>
    </row>
    <row r="148" spans="1:20" ht="45" x14ac:dyDescent="0.25">
      <c r="A148" s="58">
        <v>27</v>
      </c>
      <c r="B148" s="60">
        <v>13</v>
      </c>
      <c r="C148" s="60" t="s">
        <v>349</v>
      </c>
      <c r="D148" s="156">
        <v>1301</v>
      </c>
      <c r="E148" s="157" t="s">
        <v>845</v>
      </c>
      <c r="F148" s="158" t="s">
        <v>846</v>
      </c>
      <c r="G148" s="159" t="s">
        <v>847</v>
      </c>
      <c r="H148" s="158" t="s">
        <v>848</v>
      </c>
      <c r="I148" s="158" t="s">
        <v>849</v>
      </c>
      <c r="J148" s="160">
        <v>2020050360027</v>
      </c>
      <c r="K148" s="158" t="s">
        <v>850</v>
      </c>
      <c r="L148" s="161">
        <v>80000000</v>
      </c>
      <c r="M148" s="156" t="s">
        <v>857</v>
      </c>
      <c r="N148" s="158" t="s">
        <v>858</v>
      </c>
      <c r="O148" s="158" t="s">
        <v>859</v>
      </c>
      <c r="P148" s="156" t="s">
        <v>860</v>
      </c>
      <c r="Q148" s="156" t="s">
        <v>861</v>
      </c>
      <c r="R148" s="158" t="s">
        <v>862</v>
      </c>
      <c r="S148" s="162" t="s">
        <v>57</v>
      </c>
      <c r="T148" s="163" t="s">
        <v>216</v>
      </c>
    </row>
    <row r="149" spans="1:20" ht="45" x14ac:dyDescent="0.25">
      <c r="A149" s="58">
        <v>27</v>
      </c>
      <c r="B149" s="44">
        <v>13</v>
      </c>
      <c r="C149" s="44" t="s">
        <v>349</v>
      </c>
      <c r="D149" s="44">
        <v>1301</v>
      </c>
      <c r="E149" s="150" t="s">
        <v>845</v>
      </c>
      <c r="F149" s="45" t="s">
        <v>846</v>
      </c>
      <c r="G149" s="43" t="s">
        <v>847</v>
      </c>
      <c r="H149" s="45" t="s">
        <v>848</v>
      </c>
      <c r="I149" s="45" t="s">
        <v>849</v>
      </c>
      <c r="J149" s="53">
        <v>2020050360027</v>
      </c>
      <c r="K149" s="45" t="s">
        <v>850</v>
      </c>
      <c r="L149" s="54">
        <v>80000000</v>
      </c>
      <c r="M149" s="44" t="s">
        <v>863</v>
      </c>
      <c r="N149" s="45" t="s">
        <v>864</v>
      </c>
      <c r="O149" s="45" t="s">
        <v>865</v>
      </c>
      <c r="P149" s="44" t="s">
        <v>866</v>
      </c>
      <c r="Q149" s="44" t="s">
        <v>867</v>
      </c>
      <c r="R149" s="45" t="s">
        <v>868</v>
      </c>
      <c r="S149" s="48" t="s">
        <v>57</v>
      </c>
      <c r="T149" s="49" t="s">
        <v>216</v>
      </c>
    </row>
    <row r="150" spans="1:20" ht="45.75" thickBot="1" x14ac:dyDescent="0.3">
      <c r="A150" s="80">
        <v>27</v>
      </c>
      <c r="B150" s="82">
        <v>13</v>
      </c>
      <c r="C150" s="82" t="s">
        <v>349</v>
      </c>
      <c r="D150" s="82">
        <v>1301</v>
      </c>
      <c r="E150" s="139" t="s">
        <v>845</v>
      </c>
      <c r="F150" s="83" t="s">
        <v>846</v>
      </c>
      <c r="G150" s="81" t="s">
        <v>847</v>
      </c>
      <c r="H150" s="83" t="s">
        <v>848</v>
      </c>
      <c r="I150" s="83" t="s">
        <v>849</v>
      </c>
      <c r="J150" s="84">
        <v>2020050360027</v>
      </c>
      <c r="K150" s="83" t="s">
        <v>850</v>
      </c>
      <c r="L150" s="85">
        <v>80000000</v>
      </c>
      <c r="M150" s="82" t="s">
        <v>869</v>
      </c>
      <c r="N150" s="83" t="s">
        <v>738</v>
      </c>
      <c r="O150" s="83" t="s">
        <v>870</v>
      </c>
      <c r="P150" s="82" t="s">
        <v>740</v>
      </c>
      <c r="Q150" s="82" t="s">
        <v>871</v>
      </c>
      <c r="R150" s="83" t="s">
        <v>872</v>
      </c>
      <c r="S150" s="86" t="s">
        <v>78</v>
      </c>
      <c r="T150" s="87" t="s">
        <v>216</v>
      </c>
    </row>
    <row r="151" spans="1:20" ht="75" x14ac:dyDescent="0.25">
      <c r="A151" s="164">
        <v>28</v>
      </c>
      <c r="B151" s="165">
        <v>19</v>
      </c>
      <c r="C151" s="165" t="s">
        <v>873</v>
      </c>
      <c r="D151" s="165">
        <v>1901</v>
      </c>
      <c r="E151" s="166" t="s">
        <v>623</v>
      </c>
      <c r="F151" s="167" t="s">
        <v>624</v>
      </c>
      <c r="G151" s="165" t="s">
        <v>874</v>
      </c>
      <c r="H151" s="167" t="s">
        <v>875</v>
      </c>
      <c r="I151" s="167" t="s">
        <v>876</v>
      </c>
      <c r="J151" s="168">
        <v>2020050360028</v>
      </c>
      <c r="K151" s="167" t="s">
        <v>877</v>
      </c>
      <c r="L151" s="169">
        <v>17600000</v>
      </c>
      <c r="M151" s="165" t="s">
        <v>878</v>
      </c>
      <c r="N151" s="167" t="s">
        <v>879</v>
      </c>
      <c r="O151" s="167" t="s">
        <v>880</v>
      </c>
      <c r="P151" s="165" t="s">
        <v>682</v>
      </c>
      <c r="Q151" s="165" t="s">
        <v>881</v>
      </c>
      <c r="R151" s="167" t="s">
        <v>882</v>
      </c>
      <c r="S151" s="170" t="s">
        <v>57</v>
      </c>
      <c r="T151" s="171" t="s">
        <v>145</v>
      </c>
    </row>
    <row r="152" spans="1:20" ht="75" x14ac:dyDescent="0.25">
      <c r="A152" s="18">
        <v>28</v>
      </c>
      <c r="B152" s="165">
        <v>19</v>
      </c>
      <c r="C152" s="165" t="s">
        <v>873</v>
      </c>
      <c r="D152" s="165">
        <v>1901</v>
      </c>
      <c r="E152" s="166" t="s">
        <v>623</v>
      </c>
      <c r="F152" s="167" t="s">
        <v>624</v>
      </c>
      <c r="G152" s="165" t="s">
        <v>874</v>
      </c>
      <c r="H152" s="167" t="s">
        <v>883</v>
      </c>
      <c r="I152" s="167" t="s">
        <v>876</v>
      </c>
      <c r="J152" s="168">
        <v>2020050360028</v>
      </c>
      <c r="K152" s="167" t="s">
        <v>877</v>
      </c>
      <c r="L152" s="169">
        <v>17600000</v>
      </c>
      <c r="M152" s="165" t="s">
        <v>878</v>
      </c>
      <c r="N152" s="167" t="s">
        <v>879</v>
      </c>
      <c r="O152" s="167" t="s">
        <v>880</v>
      </c>
      <c r="P152" s="165" t="s">
        <v>682</v>
      </c>
      <c r="Q152" s="165" t="s">
        <v>884</v>
      </c>
      <c r="R152" s="167" t="s">
        <v>885</v>
      </c>
      <c r="S152" s="170" t="s">
        <v>57</v>
      </c>
      <c r="T152" s="171" t="s">
        <v>145</v>
      </c>
    </row>
    <row r="153" spans="1:20" ht="75" x14ac:dyDescent="0.25">
      <c r="A153" s="18">
        <v>28</v>
      </c>
      <c r="B153" s="165">
        <v>19</v>
      </c>
      <c r="C153" s="165" t="s">
        <v>873</v>
      </c>
      <c r="D153" s="165">
        <v>1901</v>
      </c>
      <c r="E153" s="166" t="s">
        <v>623</v>
      </c>
      <c r="F153" s="167" t="s">
        <v>624</v>
      </c>
      <c r="G153" s="165" t="s">
        <v>874</v>
      </c>
      <c r="H153" s="167" t="s">
        <v>883</v>
      </c>
      <c r="I153" s="167" t="s">
        <v>876</v>
      </c>
      <c r="J153" s="168">
        <v>2020050360028</v>
      </c>
      <c r="K153" s="167" t="s">
        <v>877</v>
      </c>
      <c r="L153" s="169">
        <v>17600000</v>
      </c>
      <c r="M153" s="165" t="s">
        <v>886</v>
      </c>
      <c r="N153" s="167" t="s">
        <v>887</v>
      </c>
      <c r="O153" s="167" t="s">
        <v>888</v>
      </c>
      <c r="P153" s="165" t="s">
        <v>682</v>
      </c>
      <c r="Q153" s="165" t="s">
        <v>889</v>
      </c>
      <c r="R153" s="167" t="s">
        <v>890</v>
      </c>
      <c r="S153" s="170" t="s">
        <v>57</v>
      </c>
      <c r="T153" s="171" t="s">
        <v>145</v>
      </c>
    </row>
    <row r="154" spans="1:20" ht="75" x14ac:dyDescent="0.25">
      <c r="A154" s="18">
        <v>28</v>
      </c>
      <c r="B154" s="23">
        <v>19</v>
      </c>
      <c r="C154" s="23" t="s">
        <v>873</v>
      </c>
      <c r="D154" s="23">
        <v>1901</v>
      </c>
      <c r="E154" s="143" t="s">
        <v>623</v>
      </c>
      <c r="F154" s="21" t="s">
        <v>624</v>
      </c>
      <c r="G154" s="23" t="s">
        <v>874</v>
      </c>
      <c r="H154" s="21" t="s">
        <v>883</v>
      </c>
      <c r="I154" s="21" t="s">
        <v>876</v>
      </c>
      <c r="J154" s="20">
        <v>2020050360028</v>
      </c>
      <c r="K154" s="21" t="s">
        <v>877</v>
      </c>
      <c r="L154" s="144">
        <v>17600000</v>
      </c>
      <c r="M154" s="23" t="s">
        <v>891</v>
      </c>
      <c r="N154" s="21" t="s">
        <v>892</v>
      </c>
      <c r="O154" s="21" t="s">
        <v>893</v>
      </c>
      <c r="P154" s="23" t="s">
        <v>682</v>
      </c>
      <c r="Q154" s="23" t="s">
        <v>894</v>
      </c>
      <c r="R154" s="21" t="s">
        <v>895</v>
      </c>
      <c r="S154" s="24" t="s">
        <v>57</v>
      </c>
      <c r="T154" s="25" t="s">
        <v>145</v>
      </c>
    </row>
    <row r="155" spans="1:20" ht="75.75" thickBot="1" x14ac:dyDescent="0.3">
      <c r="A155" s="70">
        <v>28</v>
      </c>
      <c r="B155" s="72">
        <v>19</v>
      </c>
      <c r="C155" s="72" t="s">
        <v>873</v>
      </c>
      <c r="D155" s="72">
        <v>1901</v>
      </c>
      <c r="E155" s="153" t="s">
        <v>623</v>
      </c>
      <c r="F155" s="73" t="s">
        <v>624</v>
      </c>
      <c r="G155" s="72" t="s">
        <v>874</v>
      </c>
      <c r="H155" s="73" t="s">
        <v>883</v>
      </c>
      <c r="I155" s="73" t="s">
        <v>876</v>
      </c>
      <c r="J155" s="75">
        <v>2020050360028</v>
      </c>
      <c r="K155" s="73" t="s">
        <v>877</v>
      </c>
      <c r="L155" s="154">
        <v>17600000</v>
      </c>
      <c r="M155" s="72" t="s">
        <v>891</v>
      </c>
      <c r="N155" s="73" t="s">
        <v>892</v>
      </c>
      <c r="O155" s="73" t="s">
        <v>893</v>
      </c>
      <c r="P155" s="72" t="s">
        <v>682</v>
      </c>
      <c r="Q155" s="72" t="s">
        <v>896</v>
      </c>
      <c r="R155" s="73" t="s">
        <v>897</v>
      </c>
      <c r="S155" s="77" t="s">
        <v>57</v>
      </c>
      <c r="T155" s="78" t="s">
        <v>145</v>
      </c>
    </row>
    <row r="156" spans="1:20" ht="120" x14ac:dyDescent="0.25">
      <c r="A156" s="9">
        <v>29</v>
      </c>
      <c r="B156" s="10" t="s">
        <v>361</v>
      </c>
      <c r="C156" s="14"/>
      <c r="D156" s="10" t="s">
        <v>363</v>
      </c>
      <c r="E156" s="12" t="s">
        <v>364</v>
      </c>
      <c r="F156" s="12" t="s">
        <v>898</v>
      </c>
      <c r="G156" s="14" t="s">
        <v>899</v>
      </c>
      <c r="H156" s="12" t="s">
        <v>900</v>
      </c>
      <c r="I156" s="12" t="s">
        <v>901</v>
      </c>
      <c r="J156" s="11">
        <v>2020050360029</v>
      </c>
      <c r="K156" s="12" t="s">
        <v>902</v>
      </c>
      <c r="L156" s="142">
        <f>2800000*11</f>
        <v>30800000</v>
      </c>
      <c r="M156" s="10" t="s">
        <v>903</v>
      </c>
      <c r="N156" s="12" t="s">
        <v>904</v>
      </c>
      <c r="O156" s="12" t="s">
        <v>905</v>
      </c>
      <c r="P156" s="14" t="s">
        <v>232</v>
      </c>
      <c r="Q156" s="10" t="s">
        <v>906</v>
      </c>
      <c r="R156" s="12" t="s">
        <v>907</v>
      </c>
      <c r="S156" s="15" t="s">
        <v>57</v>
      </c>
      <c r="T156" s="16" t="s">
        <v>145</v>
      </c>
    </row>
    <row r="157" spans="1:20" ht="120.75" thickBot="1" x14ac:dyDescent="0.3">
      <c r="A157" s="18">
        <v>29</v>
      </c>
      <c r="B157" s="19" t="s">
        <v>361</v>
      </c>
      <c r="C157" s="23"/>
      <c r="D157" s="19" t="s">
        <v>363</v>
      </c>
      <c r="E157" s="21" t="s">
        <v>364</v>
      </c>
      <c r="F157" s="21" t="s">
        <v>898</v>
      </c>
      <c r="G157" s="23" t="s">
        <v>899</v>
      </c>
      <c r="H157" s="21" t="s">
        <v>900</v>
      </c>
      <c r="I157" s="21" t="s">
        <v>901</v>
      </c>
      <c r="J157" s="20">
        <v>2020050360029</v>
      </c>
      <c r="K157" s="21" t="s">
        <v>902</v>
      </c>
      <c r="L157" s="144">
        <v>30800000</v>
      </c>
      <c r="M157" s="19" t="s">
        <v>903</v>
      </c>
      <c r="N157" s="21" t="s">
        <v>904</v>
      </c>
      <c r="O157" s="21" t="s">
        <v>905</v>
      </c>
      <c r="P157" s="23" t="s">
        <v>232</v>
      </c>
      <c r="Q157" s="19" t="s">
        <v>908</v>
      </c>
      <c r="R157" s="21" t="s">
        <v>909</v>
      </c>
      <c r="S157" s="24" t="s">
        <v>78</v>
      </c>
      <c r="T157" s="25" t="s">
        <v>145</v>
      </c>
    </row>
    <row r="158" spans="1:20" ht="45" x14ac:dyDescent="0.25">
      <c r="A158" s="34">
        <v>30</v>
      </c>
      <c r="B158" s="36">
        <v>12</v>
      </c>
      <c r="C158" s="36" t="s">
        <v>910</v>
      </c>
      <c r="D158" s="36">
        <v>1206</v>
      </c>
      <c r="E158" s="135" t="s">
        <v>911</v>
      </c>
      <c r="F158" s="37"/>
      <c r="G158" s="35" t="s">
        <v>912</v>
      </c>
      <c r="H158" s="37" t="s">
        <v>913</v>
      </c>
      <c r="I158" s="37" t="s">
        <v>914</v>
      </c>
      <c r="J158" s="50">
        <v>2020050360030</v>
      </c>
      <c r="K158" s="37" t="s">
        <v>915</v>
      </c>
      <c r="L158" s="136">
        <v>10000000</v>
      </c>
      <c r="M158" s="36" t="s">
        <v>916</v>
      </c>
      <c r="N158" s="37" t="s">
        <v>917</v>
      </c>
      <c r="O158" s="37" t="s">
        <v>918</v>
      </c>
      <c r="P158" s="36" t="s">
        <v>345</v>
      </c>
      <c r="Q158" s="36">
        <v>120600700</v>
      </c>
      <c r="R158" s="37" t="s">
        <v>919</v>
      </c>
      <c r="S158" s="40" t="s">
        <v>57</v>
      </c>
      <c r="T158" s="41" t="s">
        <v>145</v>
      </c>
    </row>
    <row r="159" spans="1:20" ht="45" x14ac:dyDescent="0.25">
      <c r="A159" s="58">
        <v>30</v>
      </c>
      <c r="B159" s="60">
        <v>12</v>
      </c>
      <c r="C159" s="60" t="s">
        <v>910</v>
      </c>
      <c r="D159" s="60">
        <v>1206</v>
      </c>
      <c r="E159" s="137" t="s">
        <v>911</v>
      </c>
      <c r="F159" s="61"/>
      <c r="G159" s="59" t="s">
        <v>912</v>
      </c>
      <c r="H159" s="61" t="s">
        <v>913</v>
      </c>
      <c r="I159" s="61" t="s">
        <v>914</v>
      </c>
      <c r="J159" s="62">
        <v>2020050360030</v>
      </c>
      <c r="K159" s="61" t="s">
        <v>915</v>
      </c>
      <c r="L159" s="138">
        <v>10000000</v>
      </c>
      <c r="M159" s="60" t="s">
        <v>916</v>
      </c>
      <c r="N159" s="61" t="s">
        <v>917</v>
      </c>
      <c r="O159" s="61" t="s">
        <v>918</v>
      </c>
      <c r="P159" s="60" t="s">
        <v>345</v>
      </c>
      <c r="Q159" s="60">
        <v>120600702</v>
      </c>
      <c r="R159" s="61" t="s">
        <v>920</v>
      </c>
      <c r="S159" s="64" t="s">
        <v>57</v>
      </c>
      <c r="T159" s="65" t="s">
        <v>145</v>
      </c>
    </row>
    <row r="160" spans="1:20" ht="75" x14ac:dyDescent="0.25">
      <c r="A160" s="172">
        <v>31</v>
      </c>
      <c r="B160" s="173">
        <v>21</v>
      </c>
      <c r="C160" s="174" t="s">
        <v>921</v>
      </c>
      <c r="D160" s="173">
        <v>2104</v>
      </c>
      <c r="E160" s="175" t="s">
        <v>922</v>
      </c>
      <c r="F160" s="176" t="s">
        <v>923</v>
      </c>
      <c r="G160" s="177" t="s">
        <v>924</v>
      </c>
      <c r="H160" s="176" t="s">
        <v>925</v>
      </c>
      <c r="I160" s="176" t="s">
        <v>926</v>
      </c>
      <c r="J160" s="178">
        <v>2020050360031</v>
      </c>
      <c r="K160" s="176" t="s">
        <v>927</v>
      </c>
      <c r="L160" s="179">
        <v>15000000</v>
      </c>
      <c r="M160" s="173" t="s">
        <v>928</v>
      </c>
      <c r="N160" s="176" t="s">
        <v>929</v>
      </c>
      <c r="O160" s="176" t="s">
        <v>930</v>
      </c>
      <c r="P160" s="173" t="s">
        <v>345</v>
      </c>
      <c r="Q160" s="173" t="s">
        <v>931</v>
      </c>
      <c r="R160" s="176" t="s">
        <v>932</v>
      </c>
      <c r="S160" s="180" t="s">
        <v>57</v>
      </c>
      <c r="T160" s="181" t="s">
        <v>145</v>
      </c>
    </row>
    <row r="161" spans="1:20" ht="60" x14ac:dyDescent="0.25">
      <c r="A161" s="172">
        <v>31</v>
      </c>
      <c r="B161" s="173">
        <v>21</v>
      </c>
      <c r="C161" s="174" t="s">
        <v>921</v>
      </c>
      <c r="D161" s="173">
        <v>2104</v>
      </c>
      <c r="E161" s="175" t="s">
        <v>922</v>
      </c>
      <c r="F161" s="176" t="s">
        <v>923</v>
      </c>
      <c r="G161" s="177" t="s">
        <v>924</v>
      </c>
      <c r="H161" s="176" t="s">
        <v>925</v>
      </c>
      <c r="I161" s="176" t="s">
        <v>926</v>
      </c>
      <c r="J161" s="178">
        <v>2020050360031</v>
      </c>
      <c r="K161" s="176" t="s">
        <v>927</v>
      </c>
      <c r="L161" s="179">
        <v>15000000</v>
      </c>
      <c r="M161" s="173" t="s">
        <v>933</v>
      </c>
      <c r="N161" s="176" t="s">
        <v>934</v>
      </c>
      <c r="O161" s="176" t="s">
        <v>935</v>
      </c>
      <c r="P161" s="173" t="s">
        <v>936</v>
      </c>
      <c r="Q161" s="173" t="s">
        <v>937</v>
      </c>
      <c r="R161" s="176" t="s">
        <v>938</v>
      </c>
      <c r="S161" s="180" t="s">
        <v>57</v>
      </c>
      <c r="T161" s="181" t="s">
        <v>145</v>
      </c>
    </row>
    <row r="162" spans="1:20" ht="60" x14ac:dyDescent="0.25">
      <c r="A162" s="172">
        <v>31</v>
      </c>
      <c r="B162" s="173">
        <v>21</v>
      </c>
      <c r="C162" s="174" t="s">
        <v>921</v>
      </c>
      <c r="D162" s="173">
        <v>2104</v>
      </c>
      <c r="E162" s="175" t="s">
        <v>922</v>
      </c>
      <c r="F162" s="176" t="s">
        <v>923</v>
      </c>
      <c r="G162" s="177" t="s">
        <v>924</v>
      </c>
      <c r="H162" s="176" t="s">
        <v>925</v>
      </c>
      <c r="I162" s="176" t="s">
        <v>926</v>
      </c>
      <c r="J162" s="178">
        <v>2020050360031</v>
      </c>
      <c r="K162" s="176" t="s">
        <v>927</v>
      </c>
      <c r="L162" s="179">
        <v>15000000</v>
      </c>
      <c r="M162" s="173" t="s">
        <v>939</v>
      </c>
      <c r="N162" s="176" t="s">
        <v>940</v>
      </c>
      <c r="O162" s="176" t="s">
        <v>941</v>
      </c>
      <c r="P162" s="173" t="s">
        <v>345</v>
      </c>
      <c r="Q162" s="173" t="s">
        <v>942</v>
      </c>
      <c r="R162" s="176" t="s">
        <v>943</v>
      </c>
      <c r="S162" s="180" t="s">
        <v>57</v>
      </c>
      <c r="T162" s="181" t="s">
        <v>145</v>
      </c>
    </row>
    <row r="163" spans="1:20" ht="60" x14ac:dyDescent="0.25">
      <c r="A163" s="172">
        <v>31</v>
      </c>
      <c r="B163" s="173">
        <v>21</v>
      </c>
      <c r="C163" s="174" t="s">
        <v>921</v>
      </c>
      <c r="D163" s="173">
        <v>2104</v>
      </c>
      <c r="E163" s="175" t="s">
        <v>922</v>
      </c>
      <c r="F163" s="176" t="s">
        <v>923</v>
      </c>
      <c r="G163" s="177" t="s">
        <v>924</v>
      </c>
      <c r="H163" s="176" t="s">
        <v>925</v>
      </c>
      <c r="I163" s="176" t="s">
        <v>926</v>
      </c>
      <c r="J163" s="178">
        <v>2020050360031</v>
      </c>
      <c r="K163" s="176" t="s">
        <v>927</v>
      </c>
      <c r="L163" s="179">
        <v>15000000</v>
      </c>
      <c r="M163" s="173" t="s">
        <v>944</v>
      </c>
      <c r="N163" s="176" t="s">
        <v>945</v>
      </c>
      <c r="O163" s="176" t="s">
        <v>946</v>
      </c>
      <c r="P163" s="173" t="s">
        <v>947</v>
      </c>
      <c r="Q163" s="173" t="s">
        <v>948</v>
      </c>
      <c r="R163" s="176" t="s">
        <v>949</v>
      </c>
      <c r="S163" s="180" t="s">
        <v>57</v>
      </c>
      <c r="T163" s="181" t="s">
        <v>145</v>
      </c>
    </row>
    <row r="164" spans="1:20" ht="60" x14ac:dyDescent="0.25">
      <c r="A164" s="172">
        <v>31</v>
      </c>
      <c r="B164" s="173">
        <v>21</v>
      </c>
      <c r="C164" s="174" t="s">
        <v>921</v>
      </c>
      <c r="D164" s="173">
        <v>2105</v>
      </c>
      <c r="E164" s="175" t="s">
        <v>922</v>
      </c>
      <c r="F164" s="176" t="s">
        <v>923</v>
      </c>
      <c r="G164" s="177" t="s">
        <v>924</v>
      </c>
      <c r="H164" s="176" t="s">
        <v>925</v>
      </c>
      <c r="I164" s="176" t="s">
        <v>926</v>
      </c>
      <c r="J164" s="178">
        <v>2020050360031</v>
      </c>
      <c r="K164" s="176" t="s">
        <v>927</v>
      </c>
      <c r="L164" s="179">
        <v>15000000</v>
      </c>
      <c r="M164" s="173" t="s">
        <v>950</v>
      </c>
      <c r="N164" s="176" t="s">
        <v>951</v>
      </c>
      <c r="O164" s="176" t="s">
        <v>952</v>
      </c>
      <c r="P164" s="173" t="s">
        <v>953</v>
      </c>
      <c r="Q164" s="173" t="s">
        <v>954</v>
      </c>
      <c r="R164" s="176" t="s">
        <v>955</v>
      </c>
      <c r="S164" s="180" t="s">
        <v>57</v>
      </c>
      <c r="T164" s="181" t="s">
        <v>145</v>
      </c>
    </row>
    <row r="165" spans="1:20" ht="60.75" thickBot="1" x14ac:dyDescent="0.3">
      <c r="A165" s="172">
        <v>31</v>
      </c>
      <c r="B165" s="173">
        <v>21</v>
      </c>
      <c r="C165" s="174" t="s">
        <v>921</v>
      </c>
      <c r="D165" s="173">
        <v>2105</v>
      </c>
      <c r="E165" s="175" t="s">
        <v>956</v>
      </c>
      <c r="F165" s="176" t="s">
        <v>957</v>
      </c>
      <c r="G165" s="177" t="s">
        <v>958</v>
      </c>
      <c r="H165" s="176" t="s">
        <v>925</v>
      </c>
      <c r="I165" s="176" t="s">
        <v>926</v>
      </c>
      <c r="J165" s="178">
        <v>2020050360031</v>
      </c>
      <c r="K165" s="176" t="s">
        <v>927</v>
      </c>
      <c r="L165" s="179">
        <v>15000000</v>
      </c>
      <c r="M165" s="173" t="s">
        <v>959</v>
      </c>
      <c r="N165" s="176" t="s">
        <v>960</v>
      </c>
      <c r="O165" s="176" t="s">
        <v>961</v>
      </c>
      <c r="P165" s="173" t="s">
        <v>345</v>
      </c>
      <c r="Q165" s="173" t="s">
        <v>962</v>
      </c>
      <c r="R165" s="176" t="s">
        <v>943</v>
      </c>
      <c r="S165" s="180" t="s">
        <v>57</v>
      </c>
      <c r="T165" s="181" t="s">
        <v>145</v>
      </c>
    </row>
    <row r="166" spans="1:20" ht="60" x14ac:dyDescent="0.25">
      <c r="A166" s="9">
        <v>32</v>
      </c>
      <c r="B166" s="14">
        <v>15</v>
      </c>
      <c r="C166" s="14" t="s">
        <v>963</v>
      </c>
      <c r="D166" s="14">
        <v>1501</v>
      </c>
      <c r="E166" s="12" t="s">
        <v>964</v>
      </c>
      <c r="F166" s="12" t="s">
        <v>965</v>
      </c>
      <c r="G166" s="14" t="s">
        <v>966</v>
      </c>
      <c r="H166" s="12" t="s">
        <v>967</v>
      </c>
      <c r="I166" s="12" t="s">
        <v>968</v>
      </c>
      <c r="J166" s="11">
        <v>2020050360032</v>
      </c>
      <c r="K166" s="12" t="s">
        <v>969</v>
      </c>
      <c r="L166" s="142">
        <v>15000000</v>
      </c>
      <c r="M166" s="14" t="s">
        <v>970</v>
      </c>
      <c r="N166" s="12" t="s">
        <v>971</v>
      </c>
      <c r="O166" s="12"/>
      <c r="P166" s="14" t="s">
        <v>972</v>
      </c>
      <c r="Q166" s="14" t="s">
        <v>973</v>
      </c>
      <c r="R166" s="12" t="s">
        <v>974</v>
      </c>
      <c r="S166" s="15" t="s">
        <v>57</v>
      </c>
      <c r="T166" s="16"/>
    </row>
    <row r="167" spans="1:20" ht="60.75" thickBot="1" x14ac:dyDescent="0.3">
      <c r="A167" s="18">
        <v>32</v>
      </c>
      <c r="B167" s="23">
        <v>15</v>
      </c>
      <c r="C167" s="23" t="s">
        <v>963</v>
      </c>
      <c r="D167" s="23">
        <v>1501</v>
      </c>
      <c r="E167" s="21" t="s">
        <v>964</v>
      </c>
      <c r="F167" s="21" t="s">
        <v>965</v>
      </c>
      <c r="G167" s="23" t="s">
        <v>966</v>
      </c>
      <c r="H167" s="21" t="s">
        <v>967</v>
      </c>
      <c r="I167" s="21" t="s">
        <v>968</v>
      </c>
      <c r="J167" s="20">
        <v>2020050360032</v>
      </c>
      <c r="K167" s="21" t="s">
        <v>969</v>
      </c>
      <c r="L167" s="144">
        <v>15000000</v>
      </c>
      <c r="M167" s="23" t="s">
        <v>970</v>
      </c>
      <c r="N167" s="21" t="s">
        <v>971</v>
      </c>
      <c r="O167" s="21"/>
      <c r="P167" s="23" t="s">
        <v>972</v>
      </c>
      <c r="Q167" s="23" t="s">
        <v>975</v>
      </c>
      <c r="R167" s="21" t="s">
        <v>976</v>
      </c>
      <c r="S167" s="24" t="s">
        <v>57</v>
      </c>
      <c r="T167" s="25"/>
    </row>
    <row r="168" spans="1:20" ht="45.75" thickBot="1" x14ac:dyDescent="0.3">
      <c r="A168" s="109">
        <v>33</v>
      </c>
      <c r="B168" s="117">
        <v>19</v>
      </c>
      <c r="C168" s="117" t="s">
        <v>873</v>
      </c>
      <c r="D168" s="117">
        <v>1904</v>
      </c>
      <c r="E168" s="117" t="s">
        <v>977</v>
      </c>
      <c r="F168" s="114"/>
      <c r="G168" s="116" t="s">
        <v>978</v>
      </c>
      <c r="H168" s="114" t="s">
        <v>979</v>
      </c>
      <c r="I168" s="114" t="s">
        <v>980</v>
      </c>
      <c r="J168" s="113">
        <v>2020050360033</v>
      </c>
      <c r="K168" s="114" t="s">
        <v>981</v>
      </c>
      <c r="L168" s="182"/>
      <c r="M168" s="117" t="s">
        <v>982</v>
      </c>
      <c r="N168" s="114" t="s">
        <v>983</v>
      </c>
      <c r="O168" s="114" t="s">
        <v>984</v>
      </c>
      <c r="P168" s="117" t="s">
        <v>345</v>
      </c>
      <c r="Q168" s="117" t="s">
        <v>985</v>
      </c>
      <c r="R168" s="114" t="s">
        <v>986</v>
      </c>
      <c r="S168" s="119" t="s">
        <v>57</v>
      </c>
      <c r="T168" s="120"/>
    </row>
    <row r="169" spans="1:20" ht="105" x14ac:dyDescent="0.25">
      <c r="A169" s="9">
        <v>34</v>
      </c>
      <c r="B169" s="14">
        <v>19</v>
      </c>
      <c r="C169" s="14" t="s">
        <v>622</v>
      </c>
      <c r="D169" s="14">
        <v>1901</v>
      </c>
      <c r="E169" s="14" t="s">
        <v>623</v>
      </c>
      <c r="F169" s="12" t="s">
        <v>624</v>
      </c>
      <c r="G169" s="14" t="s">
        <v>652</v>
      </c>
      <c r="H169" s="12" t="s">
        <v>653</v>
      </c>
      <c r="I169" s="12" t="s">
        <v>654</v>
      </c>
      <c r="J169" s="11">
        <v>2020050360034</v>
      </c>
      <c r="K169" s="12" t="s">
        <v>987</v>
      </c>
      <c r="L169" s="142">
        <v>40000000</v>
      </c>
      <c r="M169" s="14" t="s">
        <v>668</v>
      </c>
      <c r="N169" s="12" t="s">
        <v>669</v>
      </c>
      <c r="O169" s="12" t="s">
        <v>670</v>
      </c>
      <c r="P169" s="14" t="s">
        <v>345</v>
      </c>
      <c r="Q169" s="14" t="s">
        <v>671</v>
      </c>
      <c r="R169" s="12" t="s">
        <v>672</v>
      </c>
      <c r="S169" s="14" t="s">
        <v>57</v>
      </c>
      <c r="T169" s="16" t="s">
        <v>275</v>
      </c>
    </row>
    <row r="170" spans="1:20" ht="105.75" thickBot="1" x14ac:dyDescent="0.3">
      <c r="A170" s="70">
        <v>34</v>
      </c>
      <c r="B170" s="72">
        <v>19</v>
      </c>
      <c r="C170" s="72" t="s">
        <v>622</v>
      </c>
      <c r="D170" s="72">
        <v>1901</v>
      </c>
      <c r="E170" s="72" t="s">
        <v>623</v>
      </c>
      <c r="F170" s="73" t="s">
        <v>624</v>
      </c>
      <c r="G170" s="72" t="s">
        <v>652</v>
      </c>
      <c r="H170" s="73" t="s">
        <v>653</v>
      </c>
      <c r="I170" s="73" t="s">
        <v>654</v>
      </c>
      <c r="J170" s="75">
        <v>2020050360034</v>
      </c>
      <c r="K170" s="73" t="s">
        <v>987</v>
      </c>
      <c r="L170" s="154">
        <v>40000000</v>
      </c>
      <c r="M170" s="72" t="s">
        <v>679</v>
      </c>
      <c r="N170" s="73" t="s">
        <v>680</v>
      </c>
      <c r="O170" s="73" t="s">
        <v>681</v>
      </c>
      <c r="P170" s="72" t="s">
        <v>682</v>
      </c>
      <c r="Q170" s="72" t="s">
        <v>683</v>
      </c>
      <c r="R170" s="73" t="s">
        <v>684</v>
      </c>
      <c r="S170" s="72" t="s">
        <v>57</v>
      </c>
      <c r="T170" s="78" t="s">
        <v>275</v>
      </c>
    </row>
    <row r="171" spans="1:20" ht="75" x14ac:dyDescent="0.25">
      <c r="A171" s="88">
        <v>35</v>
      </c>
      <c r="B171" s="90">
        <v>24</v>
      </c>
      <c r="C171" s="90" t="s">
        <v>21</v>
      </c>
      <c r="D171" s="90">
        <v>2402</v>
      </c>
      <c r="E171" s="90" t="s">
        <v>23</v>
      </c>
      <c r="F171" s="91"/>
      <c r="G171" s="89" t="s">
        <v>24</v>
      </c>
      <c r="H171" s="91" t="s">
        <v>25</v>
      </c>
      <c r="I171" s="91" t="s">
        <v>26</v>
      </c>
      <c r="J171" s="92">
        <v>2020050360035</v>
      </c>
      <c r="K171" s="91" t="s">
        <v>988</v>
      </c>
      <c r="L171" s="183">
        <v>0</v>
      </c>
      <c r="M171" s="90">
        <v>2402116</v>
      </c>
      <c r="N171" s="91" t="s">
        <v>989</v>
      </c>
      <c r="O171" s="91" t="s">
        <v>990</v>
      </c>
      <c r="P171" s="90" t="s">
        <v>991</v>
      </c>
      <c r="Q171" s="90" t="s">
        <v>992</v>
      </c>
      <c r="R171" s="91" t="s">
        <v>993</v>
      </c>
      <c r="S171" s="94" t="s">
        <v>32</v>
      </c>
      <c r="T171" s="95"/>
    </row>
    <row r="172" spans="1:20" ht="75" x14ac:dyDescent="0.25">
      <c r="A172" s="184">
        <v>35</v>
      </c>
      <c r="B172" s="156">
        <v>24</v>
      </c>
      <c r="C172" s="156" t="s">
        <v>21</v>
      </c>
      <c r="D172" s="156">
        <v>2408</v>
      </c>
      <c r="E172" s="156" t="s">
        <v>994</v>
      </c>
      <c r="F172" s="158"/>
      <c r="G172" s="159" t="s">
        <v>24</v>
      </c>
      <c r="H172" s="158" t="s">
        <v>25</v>
      </c>
      <c r="I172" s="158" t="s">
        <v>26</v>
      </c>
      <c r="J172" s="160">
        <v>2020050360035</v>
      </c>
      <c r="K172" s="158" t="s">
        <v>988</v>
      </c>
      <c r="L172" s="185">
        <v>0</v>
      </c>
      <c r="M172" s="156">
        <v>2408029</v>
      </c>
      <c r="N172" s="158" t="s">
        <v>995</v>
      </c>
      <c r="O172" s="158"/>
      <c r="P172" s="156" t="s">
        <v>996</v>
      </c>
      <c r="Q172" s="156" t="s">
        <v>997</v>
      </c>
      <c r="R172" s="158" t="s">
        <v>998</v>
      </c>
      <c r="S172" s="162" t="s">
        <v>57</v>
      </c>
      <c r="T172" s="163"/>
    </row>
    <row r="173" spans="1:20" ht="75.75" thickBot="1" x14ac:dyDescent="0.3">
      <c r="A173" s="42">
        <v>35</v>
      </c>
      <c r="B173" s="44"/>
      <c r="C173" s="44"/>
      <c r="D173" s="44"/>
      <c r="E173" s="44"/>
      <c r="F173" s="45"/>
      <c r="G173" s="43" t="s">
        <v>24</v>
      </c>
      <c r="H173" s="45" t="s">
        <v>25</v>
      </c>
      <c r="I173" s="45" t="s">
        <v>26</v>
      </c>
      <c r="J173" s="53">
        <v>2020050360035</v>
      </c>
      <c r="K173" s="45" t="s">
        <v>988</v>
      </c>
      <c r="L173" s="151">
        <v>0</v>
      </c>
      <c r="M173" s="44">
        <v>2408030</v>
      </c>
      <c r="N173" s="45" t="s">
        <v>999</v>
      </c>
      <c r="O173" s="45"/>
      <c r="P173" s="44" t="s">
        <v>996</v>
      </c>
      <c r="Q173" s="44" t="s">
        <v>1000</v>
      </c>
      <c r="R173" s="45" t="s">
        <v>1001</v>
      </c>
      <c r="S173" s="48" t="s">
        <v>57</v>
      </c>
      <c r="T173" s="49"/>
    </row>
    <row r="174" spans="1:20" ht="30" x14ac:dyDescent="0.25">
      <c r="A174" s="9">
        <v>36</v>
      </c>
      <c r="B174" s="14"/>
      <c r="C174" s="14"/>
      <c r="D174" s="14"/>
      <c r="E174" s="14"/>
      <c r="F174" s="12"/>
      <c r="G174" s="14"/>
      <c r="H174" s="12"/>
      <c r="I174" s="12"/>
      <c r="J174" s="11">
        <v>2020050360036</v>
      </c>
      <c r="K174" s="12" t="s">
        <v>1002</v>
      </c>
      <c r="L174" s="142">
        <v>0</v>
      </c>
      <c r="M174" s="14"/>
      <c r="N174" s="12"/>
      <c r="O174" s="12"/>
      <c r="P174" s="14"/>
      <c r="Q174" s="14"/>
      <c r="R174" s="12"/>
      <c r="S174" s="14"/>
      <c r="T174" s="16"/>
    </row>
    <row r="175" spans="1:20" x14ac:dyDescent="0.25">
      <c r="A175" s="18">
        <v>36</v>
      </c>
      <c r="B175" s="23"/>
      <c r="C175" s="23"/>
      <c r="D175" s="23"/>
      <c r="E175" s="23"/>
      <c r="F175" s="21"/>
      <c r="G175" s="23"/>
      <c r="H175" s="21"/>
      <c r="I175" s="21"/>
      <c r="J175" s="20"/>
      <c r="K175" s="21"/>
      <c r="L175" s="144">
        <v>0</v>
      </c>
      <c r="M175" s="23"/>
      <c r="N175" s="21"/>
      <c r="O175" s="21"/>
      <c r="P175" s="23"/>
      <c r="Q175" s="23"/>
      <c r="R175" s="21"/>
      <c r="S175" s="23"/>
      <c r="T175" s="25"/>
    </row>
    <row r="176" spans="1:20" ht="15.75" thickBot="1" x14ac:dyDescent="0.3">
      <c r="A176" s="70">
        <v>36</v>
      </c>
      <c r="B176" s="72"/>
      <c r="C176" s="72"/>
      <c r="D176" s="72"/>
      <c r="E176" s="72"/>
      <c r="F176" s="73"/>
      <c r="G176" s="72"/>
      <c r="H176" s="73"/>
      <c r="I176" s="73"/>
      <c r="J176" s="75"/>
      <c r="K176" s="73"/>
      <c r="L176" s="154">
        <v>0</v>
      </c>
      <c r="M176" s="72"/>
      <c r="N176" s="73"/>
      <c r="O176" s="73"/>
      <c r="P176" s="72"/>
      <c r="Q176" s="72"/>
      <c r="R176" s="73"/>
      <c r="S176" s="72"/>
      <c r="T176" s="78"/>
    </row>
    <row r="177" spans="1:20" ht="30" x14ac:dyDescent="0.25">
      <c r="A177" s="88">
        <v>37</v>
      </c>
      <c r="B177" s="90"/>
      <c r="C177" s="90"/>
      <c r="D177" s="90"/>
      <c r="E177" s="90"/>
      <c r="F177" s="91"/>
      <c r="G177" s="89"/>
      <c r="H177" s="91"/>
      <c r="I177" s="91"/>
      <c r="J177" s="92">
        <v>2020050360037</v>
      </c>
      <c r="K177" s="91" t="s">
        <v>1003</v>
      </c>
      <c r="L177" s="183">
        <v>0</v>
      </c>
      <c r="M177" s="90"/>
      <c r="N177" s="91"/>
      <c r="O177" s="91"/>
      <c r="P177" s="90"/>
      <c r="Q177" s="90"/>
      <c r="R177" s="91"/>
      <c r="S177" s="94"/>
      <c r="T177" s="95"/>
    </row>
    <row r="178" spans="1:20" x14ac:dyDescent="0.25">
      <c r="A178" s="184">
        <v>37</v>
      </c>
      <c r="B178" s="156"/>
      <c r="C178" s="156"/>
      <c r="D178" s="156"/>
      <c r="E178" s="156"/>
      <c r="F178" s="158"/>
      <c r="G178" s="159"/>
      <c r="H178" s="158"/>
      <c r="I178" s="158"/>
      <c r="J178" s="160"/>
      <c r="K178" s="158"/>
      <c r="L178" s="185">
        <v>0</v>
      </c>
      <c r="M178" s="156"/>
      <c r="N178" s="158"/>
      <c r="O178" s="158"/>
      <c r="P178" s="156"/>
      <c r="Q178" s="156"/>
      <c r="R178" s="158"/>
      <c r="S178" s="162"/>
      <c r="T178" s="163"/>
    </row>
    <row r="179" spans="1:20" ht="15.75" thickBot="1" x14ac:dyDescent="0.3">
      <c r="A179" s="80">
        <v>37</v>
      </c>
      <c r="B179" s="82"/>
      <c r="C179" s="82"/>
      <c r="D179" s="82"/>
      <c r="E179" s="82"/>
      <c r="F179" s="83"/>
      <c r="G179" s="81"/>
      <c r="H179" s="83"/>
      <c r="I179" s="83"/>
      <c r="J179" s="84"/>
      <c r="K179" s="83"/>
      <c r="L179" s="140">
        <v>0</v>
      </c>
      <c r="M179" s="82"/>
      <c r="N179" s="83"/>
      <c r="O179" s="83"/>
      <c r="P179" s="82"/>
      <c r="Q179" s="82"/>
      <c r="R179" s="83"/>
      <c r="S179" s="86"/>
      <c r="T179" s="87"/>
    </row>
    <row r="180" spans="1:20" ht="30" x14ac:dyDescent="0.25">
      <c r="A180" s="9">
        <v>38</v>
      </c>
      <c r="B180" s="14"/>
      <c r="C180" s="14"/>
      <c r="D180" s="14"/>
      <c r="E180" s="14"/>
      <c r="F180" s="12"/>
      <c r="G180" s="14"/>
      <c r="H180" s="12"/>
      <c r="I180" s="12"/>
      <c r="J180" s="11">
        <v>2020050360038</v>
      </c>
      <c r="K180" s="12" t="s">
        <v>1004</v>
      </c>
      <c r="L180" s="142">
        <v>0</v>
      </c>
      <c r="M180" s="14"/>
      <c r="N180" s="12"/>
      <c r="O180" s="12"/>
      <c r="P180" s="14"/>
      <c r="Q180" s="14"/>
      <c r="R180" s="12"/>
      <c r="S180" s="14"/>
      <c r="T180" s="16"/>
    </row>
    <row r="181" spans="1:20" x14ac:dyDescent="0.25">
      <c r="A181" s="18">
        <v>38</v>
      </c>
      <c r="B181" s="23"/>
      <c r="C181" s="23"/>
      <c r="D181" s="23"/>
      <c r="E181" s="23"/>
      <c r="F181" s="21"/>
      <c r="G181" s="23"/>
      <c r="H181" s="21"/>
      <c r="I181" s="21"/>
      <c r="J181" s="20"/>
      <c r="K181" s="21"/>
      <c r="L181" s="144">
        <v>0</v>
      </c>
      <c r="M181" s="23"/>
      <c r="N181" s="21"/>
      <c r="O181" s="21"/>
      <c r="P181" s="23"/>
      <c r="Q181" s="23"/>
      <c r="R181" s="21"/>
      <c r="S181" s="23"/>
      <c r="T181" s="25"/>
    </row>
    <row r="182" spans="1:20" ht="15.75" thickBot="1" x14ac:dyDescent="0.3">
      <c r="A182" s="70">
        <v>38</v>
      </c>
      <c r="B182" s="72"/>
      <c r="C182" s="72"/>
      <c r="D182" s="72"/>
      <c r="E182" s="72"/>
      <c r="F182" s="73"/>
      <c r="G182" s="72"/>
      <c r="H182" s="73"/>
      <c r="I182" s="73"/>
      <c r="J182" s="75"/>
      <c r="K182" s="73"/>
      <c r="L182" s="154">
        <v>0</v>
      </c>
      <c r="M182" s="72"/>
      <c r="N182" s="73"/>
      <c r="O182" s="73"/>
      <c r="P182" s="72"/>
      <c r="Q182" s="72"/>
      <c r="R182" s="73"/>
      <c r="S182" s="72"/>
      <c r="T182" s="78"/>
    </row>
    <row r="183" spans="1:20" ht="30" x14ac:dyDescent="0.25">
      <c r="A183" s="88">
        <v>39</v>
      </c>
      <c r="B183" s="90"/>
      <c r="C183" s="90"/>
      <c r="D183" s="90"/>
      <c r="E183" s="90"/>
      <c r="F183" s="91"/>
      <c r="G183" s="89"/>
      <c r="H183" s="91"/>
      <c r="I183" s="91"/>
      <c r="J183" s="92">
        <v>2020050360039</v>
      </c>
      <c r="K183" s="91" t="s">
        <v>1005</v>
      </c>
      <c r="L183" s="183">
        <v>0</v>
      </c>
      <c r="M183" s="90"/>
      <c r="N183" s="91"/>
      <c r="O183" s="91"/>
      <c r="P183" s="90"/>
      <c r="Q183" s="90"/>
      <c r="R183" s="91"/>
      <c r="S183" s="94"/>
      <c r="T183" s="95"/>
    </row>
    <row r="184" spans="1:20" x14ac:dyDescent="0.25">
      <c r="A184" s="184">
        <v>39</v>
      </c>
      <c r="B184" s="156"/>
      <c r="C184" s="156"/>
      <c r="D184" s="156"/>
      <c r="E184" s="156"/>
      <c r="F184" s="158"/>
      <c r="G184" s="159"/>
      <c r="H184" s="158"/>
      <c r="I184" s="158"/>
      <c r="J184" s="160"/>
      <c r="K184" s="158"/>
      <c r="L184" s="185">
        <v>0</v>
      </c>
      <c r="M184" s="156"/>
      <c r="N184" s="158"/>
      <c r="O184" s="158"/>
      <c r="P184" s="156"/>
      <c r="Q184" s="156"/>
      <c r="R184" s="158"/>
      <c r="S184" s="162"/>
      <c r="T184" s="163"/>
    </row>
    <row r="185" spans="1:20" ht="15.75" thickBot="1" x14ac:dyDescent="0.3">
      <c r="A185" s="80">
        <v>39</v>
      </c>
      <c r="B185" s="82"/>
      <c r="C185" s="82"/>
      <c r="D185" s="82"/>
      <c r="E185" s="82"/>
      <c r="F185" s="83"/>
      <c r="G185" s="81"/>
      <c r="H185" s="83"/>
      <c r="I185" s="83"/>
      <c r="J185" s="84"/>
      <c r="K185" s="83"/>
      <c r="L185" s="140">
        <v>0</v>
      </c>
      <c r="M185" s="82"/>
      <c r="N185" s="83"/>
      <c r="O185" s="83"/>
      <c r="P185" s="82"/>
      <c r="Q185" s="82"/>
      <c r="R185" s="83"/>
      <c r="S185" s="86"/>
      <c r="T185" s="87"/>
    </row>
    <row r="186" spans="1:20" ht="45" x14ac:dyDescent="0.25">
      <c r="A186" s="9">
        <v>40</v>
      </c>
      <c r="B186" s="14">
        <v>25</v>
      </c>
      <c r="C186" s="14" t="s">
        <v>469</v>
      </c>
      <c r="D186" s="14">
        <v>2599</v>
      </c>
      <c r="E186" s="141" t="s">
        <v>471</v>
      </c>
      <c r="F186" s="12"/>
      <c r="G186" s="14" t="s">
        <v>1006</v>
      </c>
      <c r="H186" s="12" t="s">
        <v>1007</v>
      </c>
      <c r="I186" s="12" t="s">
        <v>1008</v>
      </c>
      <c r="J186" s="11">
        <v>2020050360040</v>
      </c>
      <c r="K186" s="12" t="s">
        <v>1009</v>
      </c>
      <c r="L186" s="142">
        <v>10000000</v>
      </c>
      <c r="M186" s="14">
        <v>259901</v>
      </c>
      <c r="N186" s="12" t="s">
        <v>477</v>
      </c>
      <c r="O186" s="12"/>
      <c r="P186" s="14" t="s">
        <v>478</v>
      </c>
      <c r="Q186" s="14">
        <v>25990101</v>
      </c>
      <c r="R186" s="12" t="s">
        <v>480</v>
      </c>
      <c r="S186" s="14" t="s">
        <v>57</v>
      </c>
      <c r="T186" s="16" t="s">
        <v>1010</v>
      </c>
    </row>
    <row r="187" spans="1:20" x14ac:dyDescent="0.25">
      <c r="A187" s="18">
        <v>40</v>
      </c>
      <c r="B187" s="23"/>
      <c r="C187" s="23"/>
      <c r="D187" s="23"/>
      <c r="E187" s="23"/>
      <c r="F187" s="21"/>
      <c r="G187" s="23"/>
      <c r="H187" s="21"/>
      <c r="I187" s="21"/>
      <c r="J187" s="20"/>
      <c r="K187" s="21"/>
      <c r="L187" s="144">
        <v>0</v>
      </c>
      <c r="M187" s="23"/>
      <c r="N187" s="21"/>
      <c r="O187" s="21"/>
      <c r="P187" s="23"/>
      <c r="Q187" s="23"/>
      <c r="R187" s="21"/>
      <c r="S187" s="23"/>
      <c r="T187" s="25"/>
    </row>
    <row r="188" spans="1:20" ht="15.75" thickBot="1" x14ac:dyDescent="0.3">
      <c r="A188" s="70">
        <v>40</v>
      </c>
      <c r="B188" s="72"/>
      <c r="C188" s="72"/>
      <c r="D188" s="72"/>
      <c r="E188" s="72"/>
      <c r="F188" s="73"/>
      <c r="G188" s="72"/>
      <c r="H188" s="73"/>
      <c r="I188" s="73"/>
      <c r="J188" s="75"/>
      <c r="K188" s="73"/>
      <c r="L188" s="154">
        <v>0</v>
      </c>
      <c r="M188" s="72"/>
      <c r="N188" s="73"/>
      <c r="O188" s="73"/>
      <c r="P188" s="72"/>
      <c r="Q188" s="72"/>
      <c r="R188" s="73"/>
      <c r="S188" s="72"/>
      <c r="T188" s="78"/>
    </row>
    <row r="189" spans="1:20" ht="75" x14ac:dyDescent="0.25">
      <c r="A189" s="34">
        <v>41</v>
      </c>
      <c r="B189" s="36">
        <v>32</v>
      </c>
      <c r="C189" s="36" t="s">
        <v>1011</v>
      </c>
      <c r="D189" s="36">
        <v>3202</v>
      </c>
      <c r="E189" s="135" t="s">
        <v>1012</v>
      </c>
      <c r="F189" s="37" t="s">
        <v>1013</v>
      </c>
      <c r="G189" s="35" t="s">
        <v>1014</v>
      </c>
      <c r="H189" s="37" t="s">
        <v>1015</v>
      </c>
      <c r="I189" s="37" t="s">
        <v>1016</v>
      </c>
      <c r="J189" s="50">
        <v>2020050360041</v>
      </c>
      <c r="K189" s="37" t="s">
        <v>1017</v>
      </c>
      <c r="L189" s="136">
        <v>10000000</v>
      </c>
      <c r="M189" s="36">
        <v>3203006</v>
      </c>
      <c r="N189" s="37" t="s">
        <v>1018</v>
      </c>
      <c r="O189" s="37" t="s">
        <v>1019</v>
      </c>
      <c r="P189" s="36" t="s">
        <v>1020</v>
      </c>
      <c r="Q189" s="36" t="s">
        <v>1021</v>
      </c>
      <c r="R189" s="37" t="s">
        <v>1022</v>
      </c>
      <c r="S189" s="40" t="s">
        <v>57</v>
      </c>
      <c r="T189" s="41" t="s">
        <v>1023</v>
      </c>
    </row>
    <row r="190" spans="1:20" ht="75" x14ac:dyDescent="0.25">
      <c r="A190" s="58">
        <v>41</v>
      </c>
      <c r="B190" s="60">
        <v>32</v>
      </c>
      <c r="C190" s="60" t="s">
        <v>1011</v>
      </c>
      <c r="D190" s="60">
        <v>3202</v>
      </c>
      <c r="E190" s="137" t="s">
        <v>1012</v>
      </c>
      <c r="F190" s="61" t="s">
        <v>1013</v>
      </c>
      <c r="G190" s="59" t="s">
        <v>1014</v>
      </c>
      <c r="H190" s="61" t="s">
        <v>1015</v>
      </c>
      <c r="I190" s="61" t="s">
        <v>1016</v>
      </c>
      <c r="J190" s="62">
        <v>2020050360041</v>
      </c>
      <c r="K190" s="61" t="s">
        <v>1017</v>
      </c>
      <c r="L190" s="138">
        <v>10000000</v>
      </c>
      <c r="M190" s="60">
        <v>3203009</v>
      </c>
      <c r="N190" s="61" t="s">
        <v>1024</v>
      </c>
      <c r="O190" s="61" t="s">
        <v>1025</v>
      </c>
      <c r="P190" s="60" t="s">
        <v>82</v>
      </c>
      <c r="Q190" s="60" t="s">
        <v>1026</v>
      </c>
      <c r="R190" s="61" t="s">
        <v>1027</v>
      </c>
      <c r="S190" s="60" t="s">
        <v>57</v>
      </c>
      <c r="T190" s="65" t="s">
        <v>1023</v>
      </c>
    </row>
    <row r="191" spans="1:20" ht="75.75" thickBot="1" x14ac:dyDescent="0.3">
      <c r="A191" s="58">
        <v>41</v>
      </c>
      <c r="B191" s="60">
        <v>32</v>
      </c>
      <c r="C191" s="60" t="s">
        <v>1011</v>
      </c>
      <c r="D191" s="60">
        <v>3202</v>
      </c>
      <c r="E191" s="60" t="s">
        <v>1012</v>
      </c>
      <c r="F191" s="61" t="s">
        <v>1013</v>
      </c>
      <c r="G191" s="59" t="s">
        <v>1014</v>
      </c>
      <c r="H191" s="61" t="s">
        <v>1015</v>
      </c>
      <c r="I191" s="61" t="s">
        <v>1016</v>
      </c>
      <c r="J191" s="62">
        <v>2020050360041</v>
      </c>
      <c r="K191" s="61" t="s">
        <v>1017</v>
      </c>
      <c r="L191" s="138">
        <v>10000000</v>
      </c>
      <c r="M191" s="60">
        <v>3203030</v>
      </c>
      <c r="N191" s="61" t="s">
        <v>1028</v>
      </c>
      <c r="O191" s="61" t="s">
        <v>1029</v>
      </c>
      <c r="P191" s="60" t="s">
        <v>1030</v>
      </c>
      <c r="Q191" s="60" t="s">
        <v>1031</v>
      </c>
      <c r="R191" s="61" t="s">
        <v>1032</v>
      </c>
      <c r="S191" s="60" t="s">
        <v>57</v>
      </c>
      <c r="T191" s="65" t="s">
        <v>1023</v>
      </c>
    </row>
    <row r="192" spans="1:20" ht="90" x14ac:dyDescent="0.25">
      <c r="A192" s="9">
        <v>42</v>
      </c>
      <c r="B192" s="10" t="s">
        <v>423</v>
      </c>
      <c r="C192" s="14" t="s">
        <v>424</v>
      </c>
      <c r="D192" s="10" t="s">
        <v>1033</v>
      </c>
      <c r="E192" s="12" t="s">
        <v>1034</v>
      </c>
      <c r="F192" s="12" t="s">
        <v>1035</v>
      </c>
      <c r="G192" s="14" t="s">
        <v>1036</v>
      </c>
      <c r="H192" s="12" t="s">
        <v>1037</v>
      </c>
      <c r="I192" s="12" t="s">
        <v>1038</v>
      </c>
      <c r="J192" s="11">
        <v>2020050360042</v>
      </c>
      <c r="K192" s="12" t="s">
        <v>1039</v>
      </c>
      <c r="L192" s="142">
        <v>0</v>
      </c>
      <c r="M192" s="10" t="s">
        <v>1040</v>
      </c>
      <c r="N192" s="12" t="s">
        <v>1041</v>
      </c>
      <c r="O192" s="12" t="s">
        <v>1042</v>
      </c>
      <c r="P192" s="14" t="s">
        <v>257</v>
      </c>
      <c r="Q192" s="10" t="s">
        <v>1043</v>
      </c>
      <c r="R192" s="12" t="s">
        <v>1044</v>
      </c>
      <c r="S192" s="14" t="s">
        <v>57</v>
      </c>
      <c r="T192" s="16" t="s">
        <v>275</v>
      </c>
    </row>
    <row r="193" spans="1:20" ht="90" x14ac:dyDescent="0.25">
      <c r="A193" s="18">
        <v>42</v>
      </c>
      <c r="B193" s="19" t="s">
        <v>423</v>
      </c>
      <c r="C193" s="23" t="s">
        <v>424</v>
      </c>
      <c r="D193" s="19" t="s">
        <v>1033</v>
      </c>
      <c r="E193" s="21" t="s">
        <v>1034</v>
      </c>
      <c r="F193" s="21" t="s">
        <v>1035</v>
      </c>
      <c r="G193" s="23" t="s">
        <v>1036</v>
      </c>
      <c r="H193" s="21" t="s">
        <v>1037</v>
      </c>
      <c r="I193" s="21" t="s">
        <v>1038</v>
      </c>
      <c r="J193" s="20">
        <v>2020050360042</v>
      </c>
      <c r="K193" s="21" t="s">
        <v>1039</v>
      </c>
      <c r="L193" s="144">
        <v>0</v>
      </c>
      <c r="M193" s="19" t="s">
        <v>1040</v>
      </c>
      <c r="N193" s="21" t="s">
        <v>1041</v>
      </c>
      <c r="O193" s="21" t="s">
        <v>1042</v>
      </c>
      <c r="P193" s="23" t="s">
        <v>257</v>
      </c>
      <c r="Q193" s="19" t="s">
        <v>1043</v>
      </c>
      <c r="R193" s="21" t="s">
        <v>1044</v>
      </c>
      <c r="S193" s="23" t="s">
        <v>57</v>
      </c>
      <c r="T193" s="25" t="s">
        <v>275</v>
      </c>
    </row>
    <row r="194" spans="1:20" ht="90.75" thickBot="1" x14ac:dyDescent="0.3">
      <c r="A194" s="70">
        <v>42</v>
      </c>
      <c r="B194" s="71" t="s">
        <v>423</v>
      </c>
      <c r="C194" s="72" t="s">
        <v>424</v>
      </c>
      <c r="D194" s="71" t="s">
        <v>1033</v>
      </c>
      <c r="E194" s="73" t="s">
        <v>1034</v>
      </c>
      <c r="F194" s="73" t="s">
        <v>1035</v>
      </c>
      <c r="G194" s="72" t="s">
        <v>1036</v>
      </c>
      <c r="H194" s="73" t="s">
        <v>1037</v>
      </c>
      <c r="I194" s="73" t="s">
        <v>1038</v>
      </c>
      <c r="J194" s="75">
        <v>2020050360042</v>
      </c>
      <c r="K194" s="73" t="s">
        <v>1039</v>
      </c>
      <c r="L194" s="154">
        <v>0</v>
      </c>
      <c r="M194" s="71" t="s">
        <v>1040</v>
      </c>
      <c r="N194" s="73" t="s">
        <v>1041</v>
      </c>
      <c r="O194" s="73" t="s">
        <v>1042</v>
      </c>
      <c r="P194" s="72" t="s">
        <v>257</v>
      </c>
      <c r="Q194" s="71" t="s">
        <v>1043</v>
      </c>
      <c r="R194" s="73" t="s">
        <v>1044</v>
      </c>
      <c r="S194" s="72" t="s">
        <v>57</v>
      </c>
      <c r="T194" s="78" t="s">
        <v>275</v>
      </c>
    </row>
    <row r="195" spans="1:20" x14ac:dyDescent="0.25">
      <c r="A195" s="88">
        <v>43</v>
      </c>
      <c r="B195" s="90"/>
      <c r="C195" s="90"/>
      <c r="D195" s="90"/>
      <c r="E195" s="90"/>
      <c r="F195" s="91"/>
      <c r="G195" s="89"/>
      <c r="H195" s="91"/>
      <c r="I195" s="91"/>
      <c r="J195" s="92">
        <v>2020050360043</v>
      </c>
      <c r="K195" s="91"/>
      <c r="L195" s="183">
        <v>0</v>
      </c>
      <c r="M195" s="90"/>
      <c r="N195" s="91"/>
      <c r="O195" s="91"/>
      <c r="P195" s="90"/>
      <c r="Q195" s="90"/>
      <c r="R195" s="91"/>
      <c r="S195" s="94"/>
      <c r="T195" s="95"/>
    </row>
    <row r="196" spans="1:20" x14ac:dyDescent="0.25">
      <c r="A196" s="184">
        <v>43</v>
      </c>
      <c r="B196" s="156"/>
      <c r="C196" s="156"/>
      <c r="D196" s="156"/>
      <c r="E196" s="156"/>
      <c r="F196" s="158"/>
      <c r="G196" s="159"/>
      <c r="H196" s="158"/>
      <c r="I196" s="158"/>
      <c r="J196" s="160"/>
      <c r="K196" s="158"/>
      <c r="L196" s="185">
        <v>0</v>
      </c>
      <c r="M196" s="156"/>
      <c r="N196" s="158"/>
      <c r="O196" s="158"/>
      <c r="P196" s="156"/>
      <c r="Q196" s="156"/>
      <c r="R196" s="158"/>
      <c r="S196" s="162"/>
      <c r="T196" s="163"/>
    </row>
    <row r="197" spans="1:20" ht="15.75" thickBot="1" x14ac:dyDescent="0.3">
      <c r="A197" s="80">
        <v>43</v>
      </c>
      <c r="B197" s="82"/>
      <c r="C197" s="82"/>
      <c r="D197" s="82"/>
      <c r="E197" s="82"/>
      <c r="F197" s="83"/>
      <c r="G197" s="81"/>
      <c r="H197" s="83"/>
      <c r="I197" s="83"/>
      <c r="J197" s="84"/>
      <c r="K197" s="83"/>
      <c r="L197" s="140">
        <v>0</v>
      </c>
      <c r="M197" s="82"/>
      <c r="N197" s="83"/>
      <c r="O197" s="83"/>
      <c r="P197" s="82"/>
      <c r="Q197" s="82"/>
      <c r="R197" s="83"/>
      <c r="S197" s="86"/>
      <c r="T197" s="87"/>
    </row>
  </sheetData>
  <autoFilter ref="A1:T197" xr:uid="{A8799A95-B144-4370-9B33-1EBE460512F0}"/>
  <mergeCells count="3">
    <mergeCell ref="M60:M61"/>
    <mergeCell ref="N60:N61"/>
    <mergeCell ref="O60:O61"/>
  </mergeCell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Codificación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Robinson Andrés Román Santamaría</dc:creator>
  <cp:lastModifiedBy>Robinson Andrés Román Santamaría</cp:lastModifiedBy>
  <dcterms:created xsi:type="dcterms:W3CDTF">2020-09-07T22:16:00Z</dcterms:created>
  <dcterms:modified xsi:type="dcterms:W3CDTF">2020-09-07T22:16:19Z</dcterms:modified>
</cp:coreProperties>
</file>