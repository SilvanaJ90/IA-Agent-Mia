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asus\Desktop\2024\ANGELOPOLIS\PRESUPUESTO  2025\proyecto de acuerdo\CON DISEÑO\"/>
    </mc:Choice>
  </mc:AlternateContent>
  <xr:revisionPtr revIDLastSave="0" documentId="13_ncr:1_{B142D767-DF9D-4E37-8328-EE5A3349F61F}" xr6:coauthVersionLast="47" xr6:coauthVersionMax="47" xr10:uidLastSave="{00000000-0000-0000-0000-000000000000}"/>
  <bookViews>
    <workbookView xWindow="-15480" yWindow="-120" windowWidth="15600" windowHeight="11040" tabRatio="594" xr2:uid="{00000000-000D-0000-FFFF-FFFF00000000}"/>
  </bookViews>
  <sheets>
    <sheet name="POAI 2025" sheetId="1" r:id="rId1"/>
  </sheets>
  <externalReferences>
    <externalReference r:id="rId2"/>
  </externalReferences>
  <definedNames>
    <definedName name="_xlnm._FilterDatabase" localSheetId="0" hidden="1">'POAI 2025'!$A$1:$BM$76</definedName>
    <definedName name="PROGRAMAS">'[1]Sectores, programas, subprogram'!$C$8:$D$181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I78" i="1" l="1"/>
  <c r="AJ78" i="1"/>
  <c r="AL78" i="1"/>
  <c r="BD78" i="1"/>
  <c r="AO78" i="1" l="1"/>
  <c r="AE78" i="1"/>
  <c r="AF78" i="1"/>
  <c r="AG78" i="1"/>
  <c r="AH78" i="1"/>
  <c r="AK78" i="1"/>
  <c r="AM78" i="1"/>
  <c r="AN78" i="1"/>
  <c r="AP78" i="1"/>
  <c r="AQ78" i="1"/>
  <c r="AR78" i="1"/>
  <c r="AS78" i="1"/>
  <c r="AT78" i="1"/>
  <c r="AU78" i="1"/>
  <c r="AV78" i="1"/>
  <c r="AW78" i="1"/>
  <c r="AX78" i="1"/>
  <c r="AY78" i="1"/>
  <c r="AZ78" i="1"/>
  <c r="BA78" i="1"/>
  <c r="BB78" i="1"/>
  <c r="BC78" i="1"/>
  <c r="BE78" i="1"/>
  <c r="BF78" i="1"/>
  <c r="BG78" i="1"/>
  <c r="BH78" i="1"/>
  <c r="BI78" i="1"/>
  <c r="BJ78" i="1"/>
  <c r="BK78" i="1"/>
  <c r="AD78" i="1"/>
  <c r="BM78" i="1" l="1"/>
</calcChain>
</file>

<file path=xl/sharedStrings.xml><?xml version="1.0" encoding="utf-8"?>
<sst xmlns="http://schemas.openxmlformats.org/spreadsheetml/2006/main" count="1083" uniqueCount="479">
  <si>
    <t>Código Sector</t>
  </si>
  <si>
    <t xml:space="preserve">Nombre del sector </t>
  </si>
  <si>
    <t>Código programa</t>
  </si>
  <si>
    <t>Nombre del programa</t>
  </si>
  <si>
    <t>Código Producto</t>
  </si>
  <si>
    <t>Producto</t>
  </si>
  <si>
    <t>Descripción</t>
  </si>
  <si>
    <t>Medido a través de</t>
  </si>
  <si>
    <t xml:space="preserve">Código indicador </t>
  </si>
  <si>
    <t>Nombre del indicador</t>
  </si>
  <si>
    <t>Unidad de medida</t>
  </si>
  <si>
    <t>Responsable</t>
  </si>
  <si>
    <t>INCLUSIÓN SOCIAL Y RECONCILIACIÓN</t>
  </si>
  <si>
    <t>Desarrollo integral de la primera infancia a la juventud, y fortalecimiento de las capacidades de las familias de niñas, niños y adolescentes</t>
  </si>
  <si>
    <t>Número</t>
  </si>
  <si>
    <t>Secretaría General y de Gobierno</t>
  </si>
  <si>
    <t xml:space="preserve">Secretaría de planeación y desarrollo territorial </t>
  </si>
  <si>
    <t>Atención, asistencia  y reparación integral a las víctimas</t>
  </si>
  <si>
    <t>Servicio de asistencia técnica para la realización de iniciativas de memoria histórica</t>
  </si>
  <si>
    <t>Acompañamiento que se brinda a las iniciativas no oficiales de construcción de la verdad y la memoria histórica.</t>
  </si>
  <si>
    <t>Número de iniciativas</t>
  </si>
  <si>
    <t>Iniciativas de memoria histórica asistidas técnicamente</t>
  </si>
  <si>
    <t>Servicio de orientación y comunicación a las víctimas</t>
  </si>
  <si>
    <t>Servicio desarrollados para brindar atención, comunicación y orientación a las víctimas a través de los diferentes canales que dispone la Unidad para la Atención a las victimas.</t>
  </si>
  <si>
    <t>Número de solicitudes</t>
  </si>
  <si>
    <t>Solicitudes tramitadas</t>
  </si>
  <si>
    <t>Servicio de ayuda y atención humanitaria</t>
  </si>
  <si>
    <t>Mediante los cuales se entrega ayuda y atención humanitaria a las víctimas del conflicto armado. La ayuda humanitaria se entrega a las víctimas de otros hechos diferentes al desplazamiento forzado y la atención humanitaria a víctimas de desplazamiento forzado.</t>
  </si>
  <si>
    <t>Número de personas</t>
  </si>
  <si>
    <t>Personas con asistencia humanitaria</t>
  </si>
  <si>
    <t>Servicio de asistencia técnica para la participación de las víctimas</t>
  </si>
  <si>
    <t>Orientados a generar mecanismos mediante los cuales las víctimas tengan participación conjunta y activa en la determinación de las medidas y programas que se desarrollan en su proceso de atención y reparación.</t>
  </si>
  <si>
    <t>Número de eventos</t>
  </si>
  <si>
    <t>Eventos de participación realizados</t>
  </si>
  <si>
    <t>SALUD Y PROTECCIÓN SOCIAL</t>
  </si>
  <si>
    <t>Inspección, vigilancia y control</t>
  </si>
  <si>
    <t>Servicio de asistencia técnica en inspección, vigilancia y control</t>
  </si>
  <si>
    <t>Este servicio permite ofrecer la asistencias técnica en Inspección, Vigilancia y Control</t>
  </si>
  <si>
    <t>Número de asistencias técnicas</t>
  </si>
  <si>
    <t>asistencias técnica en Inspección, Vigilancia y Control realizadas</t>
  </si>
  <si>
    <t>MINAS Y ENERGÍA</t>
  </si>
  <si>
    <t>Consolidación productiva del sector de energía eléctrica</t>
  </si>
  <si>
    <t>Metros de redes de alumbrado público</t>
  </si>
  <si>
    <t xml:space="preserve">Metros </t>
  </si>
  <si>
    <t>Redes de alumbrado público con mantenimiento</t>
  </si>
  <si>
    <t>Mantenimiento de redes para brindar el servicio público no domiciliario de energía eléctrica para la iluminación de los bienes de uso público y demás espacios de libre circulación con tránsito vehicular o peatonal, dentro del perímetro urbano y rural un municipio o Distrito. Incluye luminarias, transformadores y equipos necesarios para el funcionamiento de la red.</t>
  </si>
  <si>
    <t>Consolidación productiva del sector minero</t>
  </si>
  <si>
    <t>Servicio de inspección y control de la actividad minera</t>
  </si>
  <si>
    <t xml:space="preserve">Se realiza mediante visitas a las unidades de producción minera en las cuales se verifican las condiciones técnicas mínimas establecidas por Ley, en términos de operación, manejo ambiental, seguridad e higiene minera. </t>
  </si>
  <si>
    <t>Número de unidades de producción minera</t>
  </si>
  <si>
    <t>Unidades de producción minera caracterizadas</t>
  </si>
  <si>
    <t>Servicio de educación para el trabajo en actividades mineras</t>
  </si>
  <si>
    <t>Formación a mineros y autoridades en contenidos ambientales, sociales, normativos y empresariales. Incluye temas como seguridad en el trabajo, buenas prácticas,  normatividad y regulación minera, así como técnicas adecuadas para desempeñar las actividades de minería. Puede incluir temas de tecnologías limpias cuando corresponda a un componente de capacitación integral en temas de minería.</t>
  </si>
  <si>
    <t>Capacitaciones realizadas</t>
  </si>
  <si>
    <t>Servicio de asistencia técnica en actividades de explotación minera de pequeña y mediana escala</t>
  </si>
  <si>
    <t xml:space="preserve">Destinada a las unidades de producción minera  amparadas con títulos que requieren apoyo especializado en temas empresariales y técnicos mineros ambientales. </t>
  </si>
  <si>
    <t>Unidades de producción minera asistidas técnicamente</t>
  </si>
  <si>
    <t>CULTURA</t>
  </si>
  <si>
    <t>Promoción y acceso efectivo a procesos culturales y artísticos</t>
  </si>
  <si>
    <t>JUSTICIA Y DEL DERECHO</t>
  </si>
  <si>
    <t>Sistema penitenciario y carcelario en el marco de los derechos humanos</t>
  </si>
  <si>
    <t>Servicio de bienestar a la población privada de libertad</t>
  </si>
  <si>
    <t>Hace referencia a los diferentes Servicio de bienestar que reciben las personas privadas de la libertad</t>
  </si>
  <si>
    <t>EDUCACIÓN</t>
  </si>
  <si>
    <t>Calidad, cobertura y fortalecimiento de la educación inicial, prescolar, básica y media</t>
  </si>
  <si>
    <t>Servicio de educación informal en política educativa</t>
  </si>
  <si>
    <t>Incluye todo tipo de programas de educación informal para la apropiación social de la política educativa.</t>
  </si>
  <si>
    <t>Personas capacitadas</t>
  </si>
  <si>
    <t>Servicio de asistencia técnica en educación inicial, preescolar, básica y media</t>
  </si>
  <si>
    <t>Incluyen los servicio de asesoría y orientación técnica prestados a las Secretarías de Educación o por estas en los temas relacionados con la política educativa y aquellos definidos para la prestación del servicio educativo. Así mismo, incorpora acciones de  acompañamiento para la implementación de planes de mejoramiento en los establecimientos educativos  oficiales de preescolar, básica y medial.</t>
  </si>
  <si>
    <t>Número de entidades y organizaciones</t>
  </si>
  <si>
    <t>Establecimientos Educativos oficiales con acompañamiento en el marco de las estrategias de calidad educativa</t>
  </si>
  <si>
    <t>Servicio de apoyo a la permanencia con alimentación escolar</t>
  </si>
  <si>
    <t>Incluye la implementación de estrategias de alimentación escolar para fortalecer las acciones de retención estudiantil.</t>
  </si>
  <si>
    <t>Número de raciones</t>
  </si>
  <si>
    <t>Raciones contratadas</t>
  </si>
  <si>
    <t>Servicio de apoyo a la permanencia con transporte escolar</t>
  </si>
  <si>
    <t>Incluye la implementación de estrategias de transporte escolar para fortalecer las acciones de retención estudiantil</t>
  </si>
  <si>
    <t>Número de beneficiarios</t>
  </si>
  <si>
    <t>Beneficiarios de transporte escolar</t>
  </si>
  <si>
    <t>TRANSPORTE</t>
  </si>
  <si>
    <t>Infraestructura red vial regional</t>
  </si>
  <si>
    <t>Incluye la construcción de vías nuevas en zonas sin comunicación vial</t>
  </si>
  <si>
    <t>Kilómetros de vías terciaria</t>
  </si>
  <si>
    <t>Kilómetros</t>
  </si>
  <si>
    <t>Vía terciaria mejorada</t>
  </si>
  <si>
    <t>Incluye la construcción de obras de infraestructura vial en vías de la red vial terciaria que mejoren la prestación del servicio, así como los cambios en una infraestructura de transporte con el propósito de mejorar sus especificaciones técnicas iniciales</t>
  </si>
  <si>
    <t>Placa huella construida</t>
  </si>
  <si>
    <t>Incluye construcción de vías terciarias con sistema de  Placa Huella</t>
  </si>
  <si>
    <t>Metros lineales de vías terciaria</t>
  </si>
  <si>
    <t>Metros lineales</t>
  </si>
  <si>
    <t>Caminos ancestrales mejorados</t>
  </si>
  <si>
    <t>Kilómetros de caminos ancestrales</t>
  </si>
  <si>
    <t xml:space="preserve">Caminos ancestrales mejorados </t>
  </si>
  <si>
    <t>DEPORTE Y RECREACIÓN</t>
  </si>
  <si>
    <t>Fomento a la recreación, la actividad física y el deporte</t>
  </si>
  <si>
    <t>Servicio de apoyo a la actividad física, la recreación y el deporte</t>
  </si>
  <si>
    <t>Dentro del marco de los planes, programas y proyectos de la entidad se entregan diferentes incentivos a los integrantes del sistema nacional deportes y a los participantes o deportistas éstos pueden ser artículos deportivos, artículos tecnológicos, ademas de apoyar financieramente la realización e implementación de los mismos.</t>
  </si>
  <si>
    <t>Personas beneficiadas</t>
  </si>
  <si>
    <t>Servicio de mantenimiento a la infraestructura deportiva</t>
  </si>
  <si>
    <t>Mantenimiento de la infraestructura deportiva competencia de las Entidades Territoriales.  Garantizar las condiciones de funcionalidad del escenario deportivo, mejoramiento en pintura recuperación de implementación deportiva, mejoramiento de condiciones de cerramiento, funcionalidad de los servicios públicos, recuperación de mobiliario, mantenimiento de las zonas de juego).</t>
  </si>
  <si>
    <t>Número de infraestructuras deportivas</t>
  </si>
  <si>
    <t>Infraestructura deportiva mantenida</t>
  </si>
  <si>
    <t>Servicio de Escuelas Deportivas</t>
  </si>
  <si>
    <t>Corresponde a los procesos de iniciación, fundamentación y perfeccionamiento deportivos a partir de  las clases donde se practica la actividad física, la recreación y/o el deporte.</t>
  </si>
  <si>
    <t>Número de niños, niñas, adolescentes y jóvenes</t>
  </si>
  <si>
    <t>Niños, niñas, adolescentes y jóvenes inscritos en Escuelas Deportivas</t>
  </si>
  <si>
    <t>Servicio de educación informal</t>
  </si>
  <si>
    <t>Servicio de apoyo financiero al sector artístico y cultural</t>
  </si>
  <si>
    <t>Corresponde a los estímulos económicos entregados a los actores del sector artístico y cultural, entre ellos el sector del teatro, del cine, de las artes, de la literatura y el libro, de la música y al programa de salas concertadas con el fin de dar un impulso a la práctica y circulación del trabajo del sector cultural, permitiendo fortalecer el desarrollo y acceso a la cultura al público en general.</t>
  </si>
  <si>
    <t>Número de estímulos</t>
  </si>
  <si>
    <t>Estímulos otorgados</t>
  </si>
  <si>
    <t>VIVIENDA, CIUDAD Y TERRITORIO</t>
  </si>
  <si>
    <t>Acceso a soluciones de vivienda</t>
  </si>
  <si>
    <t>Ordenamiento territorial y desarrollo urbano</t>
  </si>
  <si>
    <t>Acceso de la población a los servicios de agua potable y saneamiento básico</t>
  </si>
  <si>
    <t>Servicio de Aseo</t>
  </si>
  <si>
    <t>Es el servicio de recolección municipal de residuos, principalmente sólidos. También se aplicará este servicio a las actividades complementarias de transporte, tratamiento, aprovechamiento y disposición final de tales residuos.</t>
  </si>
  <si>
    <t>Número de usuarios</t>
  </si>
  <si>
    <t>Usuarios con acceso al servicio de aseo</t>
  </si>
  <si>
    <t>Unidad de servicios publicos</t>
  </si>
  <si>
    <t>AGRICULTURA Y DESARROLLO RURAL</t>
  </si>
  <si>
    <t>Inclusión productiva de pequeños productores rurales</t>
  </si>
  <si>
    <t>Umata</t>
  </si>
  <si>
    <t>Sanidad agropecuaria e inocuidad agroalimentaria</t>
  </si>
  <si>
    <t>Servicio de control a la movilización de animales</t>
  </si>
  <si>
    <t>El control sanitario de la movilización de animales de las diferentes especies y sus productos, incluyendo aquellas susceptibles a la Fiebre Aftosa, se encuentra regulada a través de disposiciones del ICA asociadas a aspectos como la Guía Sanitaria de Movilización, la inspección y vigilancia en puestos de control, el control de las concentraciones de animales, etc.</t>
  </si>
  <si>
    <t>Número de guías de movilización</t>
  </si>
  <si>
    <t>Guías de movilización expedidas</t>
  </si>
  <si>
    <t>AMBIENTE Y DESARROLLO SOSTENIBLE</t>
  </si>
  <si>
    <t>Conservación de la biodiversidad y sus servicios ecosistémicos</t>
  </si>
  <si>
    <t>Servicio de educación informal en el marco de la conservación de la biodiversidad y los Servicio ecostémicos</t>
  </si>
  <si>
    <t xml:space="preserve">Corresponde a las capacitaciones destinadas a los agentes ambientales en el marco de la conservación de la biodiversidad y los Servicio ecosistemicos.  </t>
  </si>
  <si>
    <t xml:space="preserve">Talleres realizados </t>
  </si>
  <si>
    <t>Número de campañas</t>
  </si>
  <si>
    <t>Ciencia, tecnología e innovación agropecuaria</t>
  </si>
  <si>
    <t>Servicio de extensión agropecuaria</t>
  </si>
  <si>
    <t>Comprende acciones de acompañamiento integral orientadas a diagnosticar, recomendar, actualizar, formar, transferir, asistir, empoderar y generar capacidad en los productores agropecuarios para que estos incorporen en su actividad productiva prácticas, productos tecnológicos, tecnologías, conocimientos y comportamientos que beneficien su desempeño y mejoren su competitividad y sostenibilidad.</t>
  </si>
  <si>
    <t>Número de productores</t>
  </si>
  <si>
    <t>Productores atendidos con servicio de extensión agropecuaria</t>
  </si>
  <si>
    <t>TECNOLOGÍAS DE LA INFORMACIÓN Y LAS COMUNICACIONES</t>
  </si>
  <si>
    <t>Facilitar el acceso y uso de las Tecnologías de la Información y las Comunicaciones en todo el territorio nacional</t>
  </si>
  <si>
    <t>Servicio de educación informal en tecnologías de la información y las comunicaciones.</t>
  </si>
  <si>
    <t>Capacitaciones en temas relacionados con las Tecnologías de la Información y las Comunicaciones, tales como uso de aplicaciones y herramientas web específicas, con el fin de profundizar conocimientos y finalmente potenciar su aprovechamiento.</t>
  </si>
  <si>
    <t>Personas capacitadas en tecnologías de la información y las comunicaciones</t>
  </si>
  <si>
    <t>COMERCIO, INDUSTRIA Y TURISMO</t>
  </si>
  <si>
    <t>Productividad y competitividad de las empresas colombianas</t>
  </si>
  <si>
    <t>Acueductos construidos</t>
  </si>
  <si>
    <t>Conjunto de acciones y obras para la implementación de sistemas de acueducto nuevos.</t>
  </si>
  <si>
    <t>Número de acueductos</t>
  </si>
  <si>
    <t>Acueductos optimizados</t>
  </si>
  <si>
    <t>Alcantarillados construidos</t>
  </si>
  <si>
    <t>Conjunto de acciones y obras para la implementación de sistemas de alcantarillado nuevos.</t>
  </si>
  <si>
    <t>Número de alcantarillados</t>
  </si>
  <si>
    <t>Metros cuadrados</t>
  </si>
  <si>
    <t>Servicio de educación informal en asuntos turísticos</t>
  </si>
  <si>
    <t>Consiste en la capacitación y entrenamiento a personas interesadas en trabajar en el sector turismo. Incluye fortalecimiento de atención al cliente, de conocimientos históricos, entre otros.</t>
  </si>
  <si>
    <t>Servicio de promoción turística</t>
  </si>
  <si>
    <t>Corresponde a campañas de divulgación y promoción de los atractivos turísticos de la zonas, así como las actividades para el posicionamiento de las regiones, departamentos y municipios como destinos turísticos.</t>
  </si>
  <si>
    <t>Campañas realizadas</t>
  </si>
  <si>
    <t>Espacio publico construido</t>
  </si>
  <si>
    <t>Construcción de obras de infraestructura que intervienen los elementos constitutivos y complementarios del espacio público contenidos en el Decreto 1504 de 1998</t>
  </si>
  <si>
    <t>Metros cuadrados de espacio publico</t>
  </si>
  <si>
    <t>Número de animales</t>
  </si>
  <si>
    <t>Servicio de apoyo para el acceso a maquinaria y equipos</t>
  </si>
  <si>
    <t>Contempla el acceso de los pequeños productores a los bancos de maquinaria a partir de figuras como el arriendo, la adquisición, entre otros, entre otros</t>
  </si>
  <si>
    <t>Número de unidades</t>
  </si>
  <si>
    <t>Infraestructura ecoturística construida</t>
  </si>
  <si>
    <t>Incluye el diseño y construcción de la infraestructura para el ecoturismo</t>
  </si>
  <si>
    <t>Número de infraestructura</t>
  </si>
  <si>
    <t xml:space="preserve">Infraestructura ecoturística construida </t>
  </si>
  <si>
    <t>Servicio de recuperación de cuerpos de agua lénticos y lóticos</t>
  </si>
  <si>
    <t xml:space="preserve">Incluye las actividades para recuperar la capacidad hidráulica de cuerpos de agua con miras a recuperar sus servicios ecosistémicos, entre ellos, prevención de inudaciones, oferta de agua,  la capacidad de almacenamiento de agua, conectividad hidráulica, hábitat para especies acuáticas </t>
  </si>
  <si>
    <t>Hectáreas de cuerpos de agua</t>
  </si>
  <si>
    <t xml:space="preserve">Extensión de cuerpos de agua recuperados </t>
  </si>
  <si>
    <t>Hectáreas</t>
  </si>
  <si>
    <t>Número de planes</t>
  </si>
  <si>
    <t>Número de sedes</t>
  </si>
  <si>
    <t>Servicio de asistencia técnica para la regularización de las actividades mineras</t>
  </si>
  <si>
    <t>Corresponde a las acciones mediante las cuales se busca fortalecer la pequeña minería, eliminar el trabajo infantil de la actividad minera e incluir a los productores mineros en los programas de minería bien hecha (condiciones técnicas mínimas establecidas por Ley, en términos de operación, seguridad e higiene minera, seguridad industrial, entre otras).</t>
  </si>
  <si>
    <t>Número de unidades productivas mineras</t>
  </si>
  <si>
    <t>Trabajadores infantiles erradicados de la actividad minera</t>
  </si>
  <si>
    <t>Servicio de educación para el trabajo en oficios diferentes a la minería</t>
  </si>
  <si>
    <t>Se realiza para el desarrollo de habilidades en oficios diferentes a la minería en las zonas donde dicha actividad deje de ser una opción laboral, a través de la articulación con entidades educativas.</t>
  </si>
  <si>
    <t>Servicio de promoción de la actividad física, la recreación y el deporte</t>
  </si>
  <si>
    <t>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t>
  </si>
  <si>
    <t>Personas que acceden a servicios deportivos, recreativos y de actividad física</t>
  </si>
  <si>
    <t>Servicio de apoyo financiero para subsidios al consumo en los servicios públicos domiciliarios</t>
  </si>
  <si>
    <t>Los subsidios al consumo están destinados a satisfacer necesidades básicas de los usuarios de los estratos 1, 2 y 3 en el servicio público domiciliario de acueducto, alcantarillado y aseo.</t>
  </si>
  <si>
    <t>Usuarios beneficiados con subsidios al consumo</t>
  </si>
  <si>
    <t>Corresponde a la oferta educativa informal como talleres, foros, capacitaciones presenciales o virtuales dirigida a los miembros de la comunidad educativa que tienen como objetivo brindar oportunidades para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</si>
  <si>
    <t>Foros educativos territoriales realizados</t>
  </si>
  <si>
    <t>Servicios bibliotecarios</t>
  </si>
  <si>
    <t>Conjunto de actividades desarrolladas en una biblioteca, con el fin de facilitar y promover la disponibilidad y el acceso a la información y a la cultura con estándares de calidad, pertinencia y oportunidad.   </t>
  </si>
  <si>
    <t>Número usuarios</t>
  </si>
  <si>
    <t>Usuarios atendidos</t>
  </si>
  <si>
    <t>Servicio de promoción de actividades culturales</t>
  </si>
  <si>
    <t>Corresponde a la organización y desarrollo de  actividades culturales de carácter patrimonial, literario, artístico, musical, entre otros. También la realización de eventos y actividades con libreros y organizaciones responsables de ferias. Así como actividades culturales para el goce de los ciudadanos.</t>
  </si>
  <si>
    <t>Número de eventos de promoción</t>
  </si>
  <si>
    <t>Eventos de promoción de actividades culturales realizados</t>
  </si>
  <si>
    <t>Servicio de circulación artística y cultural</t>
  </si>
  <si>
    <t>Corresponde a la generación de condiciones para la creación, gestión, producción, difusión, circulación y apropiación de las prácticas artísticas y contenidos culturales mediáticos. Incluye la creación de obras, coproducciones y la producción y circulación de exhibiciones, de los agentes del sector artístico y cultural, así como la circulación de contenidos culturales mediáticos apoyados por el Ministerio de Cultura.</t>
  </si>
  <si>
    <t>Número de contenidos culturales</t>
  </si>
  <si>
    <t>Contenidos culturales  en circulación</t>
  </si>
  <si>
    <t>Servicio de apoyo al proceso de formación artística y cultural</t>
  </si>
  <si>
    <t xml:space="preserve">Este servicio está orientado apoyar el proceso de formación artística y cultural a través del equipamiento de instrumentos y elementos propios de cada área (música, teatro, danzas y/o artes plásticas y visuales). </t>
  </si>
  <si>
    <t>Número de procesos de formación</t>
  </si>
  <si>
    <t>Procesos de formación atendidos</t>
  </si>
  <si>
    <t>Número de viviendas</t>
  </si>
  <si>
    <t>Vivienda de Interés Social mejoradas</t>
  </si>
  <si>
    <t>Soluciones de vivienda para deficiencias en las condiciones sanitarias satisfactorias de espacio, servicios públicos y calidad de estructura de las viviendas de los hogares beneficiarios del subsidio. Intervenciones locativas asociadas, prioritariamente, a la habilitación o instalación de baños; lavaderos; cocinas; redes hidráulicas, sanitarias y eléctricas; cubiertas; pisos; reforzamiento estructural y otras condiciones relacionadas con el saneamiento y mejoramiento de la solución habitacional.</t>
  </si>
  <si>
    <t>GOBIERNO TERRITORIAL</t>
  </si>
  <si>
    <t>Fortalecimiento de la convivencia y la seguridad ciudadana</t>
  </si>
  <si>
    <t>Fortalecimiento del buen gobierno para el respeto y garantía de los derechos humanos</t>
  </si>
  <si>
    <t>Servicio de promoción a la participación ciudadana</t>
  </si>
  <si>
    <t>Corresponde al diseño e implementación de acciones y estrategias que promuevan el ejercicio de la participación ciudadana.</t>
  </si>
  <si>
    <t>Rendicion de cuentas realizadas</t>
  </si>
  <si>
    <t>Número de salones comunales</t>
  </si>
  <si>
    <t>Salón comunal dotado</t>
  </si>
  <si>
    <t xml:space="preserve">Incluye la dotación a la infraestructura construida. </t>
  </si>
  <si>
    <t>Salones comunales dotados</t>
  </si>
  <si>
    <t>Gestión del riesgo de desastres y emergencias</t>
  </si>
  <si>
    <t>Servicio de atención a emergencias y desastres</t>
  </si>
  <si>
    <t>Acciones orientadas para dar respuesta a emergencias o desastres de origen natural o antrópico mediante la adquisición de equipos de atención de desastres, búsqueda y rescate, equipos de protección personal nucleares, biológicos, químicos, y radiológicos -NBQR-, equipos para el Manejo de inundaciones, control de incendios, sanidad veterinaria y equipos de alojamiento temporal.</t>
  </si>
  <si>
    <t>Número de emergencias</t>
  </si>
  <si>
    <t>Emergencias y desastres atendidas</t>
  </si>
  <si>
    <t>Servicio de monitoreo y seguimiento para la gestión del riesgo</t>
  </si>
  <si>
    <t>Acciones para generar datos e información sobre el comportamiento de los fenómenos amenazantes, la vulnerabilidad y la dinámica de las condiciones de riesgo en el territorio que orienten la toma de decisiones.</t>
  </si>
  <si>
    <t>Número de sistemas</t>
  </si>
  <si>
    <t>Sistemas de Alerta Temprana implementados</t>
  </si>
  <si>
    <t>Fortalecimiento a la gestión y dirección de la administración pública territorial</t>
  </si>
  <si>
    <t>Porcentaje</t>
  </si>
  <si>
    <t>Sedes adecuadas</t>
  </si>
  <si>
    <t>Corresponde a un inmueble sobre el cual se adelantan obras de edificación que cambian, de manera completa o parcial, el uso del inmueble, garantizando la permanencia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</si>
  <si>
    <t>Servicio de Implementación Sistemas de Gestión</t>
  </si>
  <si>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</si>
  <si>
    <t>Sistema de Gestión implementado</t>
  </si>
  <si>
    <t>Servicio de apoyo para el acceso a la justicia policiva</t>
  </si>
  <si>
    <t>Comprende la estructuración , definición , implementacion y evaluación de estrategias que permitan garantizar el  efectivo cumplimiento de las normas para la prestación de los servicios de justicia policiva.</t>
  </si>
  <si>
    <t>Número de estrategias</t>
  </si>
  <si>
    <t>Estrategias implementadas</t>
  </si>
  <si>
    <t>Servicio de apoyo a la comercialización</t>
  </si>
  <si>
    <t>Consiste en el acompañamiento para la  identificación de apoyos específicos, la adquisición de competencias comerciales y  en casos requeridos, la inserción o consolidación en  encadenamientos comerciales.</t>
  </si>
  <si>
    <t>Número de organizaciones</t>
  </si>
  <si>
    <t>Mercados campesinos realizados</t>
  </si>
  <si>
    <t>Servicio apoyo financiero para la implementación de esquemas de pago por Servicio ambientales</t>
  </si>
  <si>
    <t>Incluye el diseño y entrega de instrumentos económicos para dar incentivos a los usuarios del suelo, de manera que continúen ofreciendo un servicio ambiental (ecológico) que beneficia a la sociedad como un todo.</t>
  </si>
  <si>
    <t>Hectáreas de áreas</t>
  </si>
  <si>
    <t>Áreas con esquemas de Pago por Servicios Ambientales implementados</t>
  </si>
  <si>
    <t>Aseguramiento y prestación integral de servicios de salud</t>
  </si>
  <si>
    <t>Atención integral de población en situación permanente de desprotección social y/o familiar</t>
  </si>
  <si>
    <t>Servicio de atención y protección integral al adulto mayor</t>
  </si>
  <si>
    <t>Servicios integrales que incluyen aspectos relacionados con protección a la salud y bienestar social, educación, cultura, recreación, entorno físico y social favorable, productividad para los adultos mayores.</t>
  </si>
  <si>
    <t>Número de adultos mayores</t>
  </si>
  <si>
    <t>Adultos mayores atendidos con servicios integrales</t>
  </si>
  <si>
    <t>Servicio de atención integral a población en condición de discapacidad</t>
  </si>
  <si>
    <t>Servicios integrales que incluyen aspectos relacionados con atención en salud, cuidado, alimentación, hospedaje, formación para el trabajo, inclusión productiva, recreación, entre otros, para población en condición de discapacidad.</t>
  </si>
  <si>
    <t>Personas con discapacidad atendidas con servicios integrales</t>
  </si>
  <si>
    <t>Salud Pública</t>
  </si>
  <si>
    <t>Minutos</t>
  </si>
  <si>
    <t>Servicio de gestión del riesgo en temas de salud sexual y reproductiva</t>
  </si>
  <si>
    <t>Corresponde a las acciones relacionadas con la prevención y mitigación de riesgos que afectan la salud sexual y reproductiva de las personas en el curso de su vida desde un enfoque de derechos.</t>
  </si>
  <si>
    <t>Campañas de gestión del riesgo en temas de salud sexual y reproductiva implementadas</t>
  </si>
  <si>
    <t>Servicio de gestión del riesgo en temas de trastornos mentales</t>
  </si>
  <si>
    <t>Incluye acciones de prevención de los trastornos mentales asociados a factores sociales, psicológicos y biológicos, en los diferentes entornos en los que se desarrollan los individuos.</t>
  </si>
  <si>
    <t>Campañas de gestión del riesgo en temas de trastornos mentales implementadas</t>
  </si>
  <si>
    <t>Servicio de gestión del riesgo para abordar condiciones crónicas prevalentes</t>
  </si>
  <si>
    <t>Acciones para garantizar la prevención y el abordaje de enfermedades no transmisibles y de alteraciones de la salud bucal, visual y auditiva, gestión del riesgo disminución de la enfermedad y la discapacidad evitable.</t>
  </si>
  <si>
    <t>Campañas de gestión del riesgo para abordar condiciones crónicas prevalentes implementadas</t>
  </si>
  <si>
    <t>Servicio de gestión del riesgo para abordar situaciones de salud relacionadas con condiciones ambientales</t>
  </si>
  <si>
    <t>Incluye la gestión integral relacionada con la prevención de enfermedades generadas por sustancias químicas, por animales (zoonosis), vectores de contaminación en el aire y el agua, entre otros factores.</t>
  </si>
  <si>
    <t>Servicio de gestión del riesgo para abordar situaciones prevalentes de origen laboral</t>
  </si>
  <si>
    <t>Corresponde a las acciones que previenen la carga de la enfermedad relacionada con la salud y bienestar de todos los trabajadores derivados de la ocupación. Permite anticipar, conocer, evaluar y controlar los riesgos que pueden afectar la seguridad y salud en el trabajo.</t>
  </si>
  <si>
    <t>Campañas de gestión del riesgo para abordar situaciones prevalentes de origen laboral implementadas</t>
  </si>
  <si>
    <t>Servicio de gestión del riesgo para enfermedades inmunoprevenibles</t>
  </si>
  <si>
    <t>Corresponde a las acciones relacionadas con intervenciones sectoriales y comunitarias para la prevención, control, mitigación y minimización de los riesgos que propician la aparición de las enfermedades prevenibles por vacunas y sus consecuentes efectos negativos en la población. Incluye el plan ampliado de inmunizaciones.</t>
  </si>
  <si>
    <t>Campañas de gestión del riesgo para enfermedades inmunoprevenibles  implementadas</t>
  </si>
  <si>
    <t>Servicio de reforestación de ecosistemas</t>
  </si>
  <si>
    <t>Acciones orientadas a la siembra, mantenimiento y monitoreo de especies vegetales que cumplen una función especifica en el área, sin buscar el restablecimiento del ecosistema inicial. </t>
  </si>
  <si>
    <t>Hectáreas de plantaciones</t>
  </si>
  <si>
    <t>Árboles plantados</t>
  </si>
  <si>
    <t>Servicio de atención integral a la fauna</t>
  </si>
  <si>
    <t>Corresponde a la atención médica y de urgencias médico veterinarias para el bienestar animal para prevenir, diagnosticar y curar las enfermedades de los animales domésticos,  silvestres y  de producción recuperados por el ente territorial, que se encuentren en condición de abandono, pérdida, desatención estatal o de  tenencia irresponsable o en situación de vulnerabilidad y aprehendidos por la policía o en riesgo que ello suceda. Para tal efecto, incluye también los programas de adopción, custodia, atención del maltrato animal, comportamiento animal, registro e identificacion y las demas que garanticen la atención integral a la Fauna en el cumplimiento de la normatividad vigente</t>
  </si>
  <si>
    <t>Animales atendidos</t>
  </si>
  <si>
    <t>Servicio de promoción de la participación social en salud</t>
  </si>
  <si>
    <t xml:space="preserve">Corresponde a las estrategias y acciones para la articulación de actores sociales, gubernamentales a nivel sectorial e intersectorial, entre otros, para generar mecanismos y espacios de participación, socialización y abogacía, para la participación en la planeación social, comunitaria y ciudadana en salud y la participación en la atención integral en salud, la salud pública, la gobernanza en salud y las intervenciones colectivas. </t>
  </si>
  <si>
    <t>Número de estatregias</t>
  </si>
  <si>
    <t>Estrategias de promoción de la participación social en salud implementadas</t>
  </si>
  <si>
    <t>Servicio de apoyo financiero para la atención en salud a la población</t>
  </si>
  <si>
    <t>Corresponde a la entrega de recursos monetarios a las empresas sociales del estado o a terceros que administran infraestructura pública para la atención en salud a la población.  Incluye a las empresas sociales del estado o a terceros que administran infraestructura pública ubicada en zonas alejadas o de difícil acceso que sean monopolio en servicios trazadores y no sostenibles por venta de servicios para la operación de la prestación de los servicios y tecnologías en salud.</t>
  </si>
  <si>
    <t>Número de instituciones</t>
  </si>
  <si>
    <t>Instituciones financiadas para la atención en salud a la población</t>
  </si>
  <si>
    <t>Servicio de afiliaciones al régimen subsidiado del Sistema General de Seguridad Social</t>
  </si>
  <si>
    <t xml:space="preserve">Este servicio permite a las entidades territoriales realizar la afiliación de la población al régimen subsidiado conforme a las condiciones del Sistema General de Seguridad Social; incluye el registro, reporte, sistematización y seguimiento de afiliados en los sistemas de información correspondientes. </t>
  </si>
  <si>
    <t>Personas afiliadas al régimen subsidiado</t>
  </si>
  <si>
    <t>Servicio de protección integral a niños, niñas, adolescentes y jóvenes</t>
  </si>
  <si>
    <t>Servicios enfocados a garantizar los derechos fundamentales , la prevención de amenazas o vulneración y restablecimiento de derechos.</t>
  </si>
  <si>
    <t>Niños, niñas, adolescentes y jóvenes beneficiados</t>
  </si>
  <si>
    <t>Número de soluciones</t>
  </si>
  <si>
    <t>Asistencias técnicas realizadas</t>
  </si>
  <si>
    <t>11.b</t>
  </si>
  <si>
    <t>4.b</t>
  </si>
  <si>
    <t>2.a</t>
  </si>
  <si>
    <t>9.c</t>
  </si>
  <si>
    <t>4.a</t>
  </si>
  <si>
    <t>Unidades dotadas</t>
  </si>
  <si>
    <t>3.d</t>
  </si>
  <si>
    <t>2.c</t>
  </si>
  <si>
    <t>Productores agropecuarios apoyados</t>
  </si>
  <si>
    <t>7.b</t>
  </si>
  <si>
    <t>15.b</t>
  </si>
  <si>
    <t>Alcantarillados optimizados</t>
  </si>
  <si>
    <t>Puntaje</t>
  </si>
  <si>
    <t>Soluciones de disposición final de residuos solidos construidas</t>
  </si>
  <si>
    <t>Plan de Gestión Integral de Residuos Solidos implementado</t>
  </si>
  <si>
    <t>Linea estrategica</t>
  </si>
  <si>
    <t>Indicadores de resultado</t>
  </si>
  <si>
    <t>Código Indicador de resultado</t>
  </si>
  <si>
    <t>Meta 2024</t>
  </si>
  <si>
    <t>Meta 2025</t>
  </si>
  <si>
    <t>Meta 2026</t>
  </si>
  <si>
    <t>Meta 2027</t>
  </si>
  <si>
    <t>Meta del cuatrenio 2024 -2027</t>
  </si>
  <si>
    <t>Linea base Indicador de producto</t>
  </si>
  <si>
    <t>s/d</t>
  </si>
  <si>
    <t>Maquinaria y equipos entregados</t>
  </si>
  <si>
    <t>Personas privadas de la libertad (PPL) con servicio de alimentación</t>
  </si>
  <si>
    <t>Servicio de asistencia técnica para la implementación de los métodos de solución de conflictos</t>
  </si>
  <si>
    <t>Corresponde al acompañamiento técnico y  profesional que se brinda para atender la operación de los procesos de implementación y fortalecimiento de la conciliación en equidad, el apoyo en la creación de los centros gratuitos de conciliación, arbitraje y amigable composición, incluyendo el procedimiento de insolvencia de persona natural no comerciante y los procesos de inspección control y vigilancia de los centros de conciliación, arbitraje y amigable composición.</t>
  </si>
  <si>
    <t>Servicio de dotación para la movilidad operacional y el apoyo logístico</t>
  </si>
  <si>
    <t>Corresponde a los medios de transporte terrestre, fluvial y marítimo  que apoyan el desarrollo de las operaciones militares.</t>
  </si>
  <si>
    <t>Conjunto de acciones encaminadas a mejorar la capacidad, eficiencia y eficacia de la infraestructura componente del sistema de alcantarillado mediante su intervención parcial o total.</t>
  </si>
  <si>
    <t>Plantas de tratamiento de aguas residuales optimizadas</t>
  </si>
  <si>
    <t>Servicios de implementación del Plan de Gestión Integral de Residuos Solidos PGIRS</t>
  </si>
  <si>
    <t>Contempla acciones realizadas para implementar el Plan de Gestión Integral de Residuos Solidos </t>
  </si>
  <si>
    <t>Sitios dispuestos para disponer los residuos solidos recolectados en una zona</t>
  </si>
  <si>
    <t>Vivienda y acceso a servicios públicos - Cobertura de acueducto (Censo)</t>
  </si>
  <si>
    <t>Vivienda y acceso a servicios públicos - Cobertura de alcantarillado (Censo)</t>
  </si>
  <si>
    <t>Vivienda y acceso a servicios públicos - Déficit cuantitativo de vivienda (Censo)</t>
  </si>
  <si>
    <t>Vivienda y acceso a servicios públicos - Cobertura de aseo (Censo)</t>
  </si>
  <si>
    <t>Educación - Cobertura bruta en educación - Total</t>
  </si>
  <si>
    <t>Economía - Porcentaje de UPA con acceso a asistencia técnica</t>
  </si>
  <si>
    <t>Porcentaje (el valor está multiplicado por 100)</t>
  </si>
  <si>
    <t>Economía - Total de UPAs</t>
  </si>
  <si>
    <t>Servicio de apoyo para el fomento organizativo de la Agricultura Campesina, Familiar y Comunitaria</t>
  </si>
  <si>
    <t>Este servicio pretende apoyar acciones enmarcadas en Agricultura Campesina, Familiar y Comunitaria para el fomento organizativo a través de estrategias que permitan realizar un análisis diagnóstico de la situación en la que los productores agropecuarios desarrollan sus procesos productivos.</t>
  </si>
  <si>
    <t>Número de productores agropecuarios</t>
  </si>
  <si>
    <t>Salud - Cobertura del régimen subsidiado</t>
  </si>
  <si>
    <t>Paz y víctimas - Iniciativas y acciones de memoria histórica</t>
  </si>
  <si>
    <t>Paz y víctimas - Víctimas que superaron la situación de vulnerabilidad (con una nueva medición)</t>
  </si>
  <si>
    <t>Ambiente - Áreas en proceso de restauración, recuperación y rehabilitación de ecosistemas degradados</t>
  </si>
  <si>
    <t>Ambiente - Acuerdos territoriales para el ordenamiento alrededor del agua</t>
  </si>
  <si>
    <t xml:space="preserve">Número de acuerdos territoriales para el ordenamiento alrededor del agua </t>
  </si>
  <si>
    <t>Ambiente - índice de vulnerabilidad y riesgo por cambio climático</t>
  </si>
  <si>
    <t>Puntos</t>
  </si>
  <si>
    <t>Pobreza - Porcentaje de niñas, niños y adolescentes en pobreza (proxy)</t>
  </si>
  <si>
    <t>Ciencia, Tecnología e Innovación - Índice de gobierno digital en entidades del orden territorial</t>
  </si>
  <si>
    <t>Cultura - Beneficiarios participantes en deporte, recreación, actividad física y jornada escolar complementaria.</t>
  </si>
  <si>
    <t>Medición de desempeño municipal - MDM</t>
  </si>
  <si>
    <t>Convivencia y seguridad ciudadana - Tasa de homicidios por cada 100.000 habitantes</t>
  </si>
  <si>
    <t>Tasa por cada 100.000 habitantes</t>
  </si>
  <si>
    <t>Convivencia y seguridad ciudadana - Tasa de hurto a personas por cada 100.000 habitantes</t>
  </si>
  <si>
    <t>Ambiente - Inversión en adaptación al cambio climático</t>
  </si>
  <si>
    <t>Pesos corrientes</t>
  </si>
  <si>
    <t>Ambiente - Reducción del riesgo</t>
  </si>
  <si>
    <t>Miles de pesos constantes</t>
  </si>
  <si>
    <t>Vivienda y acceso a servicios públicos - Tiempos de traslado de los hogares  a un  espacio deportivo (cancha, pista, coliseo) (urbano)</t>
  </si>
  <si>
    <t>Mercado laboral - Personas ocupadas en actividades asociadas a turismo</t>
  </si>
  <si>
    <t xml:space="preserve">LÍNEA 1: UNIDOS POR ANGELÓPOLIS SOCIAL, EQUITATIVO Y DIVERSO  </t>
  </si>
  <si>
    <t xml:space="preserve">LÍNEA 2: UNIDOS POR ANGELÓPOLIS  CON ECONOMÍA PRODUCTIVA Y PRÓSPERA
</t>
  </si>
  <si>
    <t>LÍNEA 3:UNIDOS POR ANGELÓPOLIS ECO TURÍSTICO Y PROTEGIDO</t>
  </si>
  <si>
    <t>LÍNEA 4: UNIDOS POR ANGELÓPOLIS CON INFRAESTRUCTURA  PARA EL DESARROLLO TERRITORIAL</t>
  </si>
  <si>
    <t>LÍNEA 5: UNIDOS POR UN ANGELÓPOLIS CON UN GOBIERNO CERCANO Y TRANSFORMADOR</t>
  </si>
  <si>
    <t>Salud - Tasa de fecundidad en mujeres entre 15 y 19 años</t>
  </si>
  <si>
    <t>Nacidos vivos por cada 1.000 mujeres entre 15 y 19 años</t>
  </si>
  <si>
    <t>Salud - Tasa ajustada de mortalidad por lesiones autoinfligidas intencionalmente (suicidios)</t>
  </si>
  <si>
    <t>Defunciones por cada 100.000 habitantes</t>
  </si>
  <si>
    <t>Medición de desempeño municipal - Salud</t>
  </si>
  <si>
    <t>Salud - Tasa de mortalidad (x cada 1.000 habitantes)</t>
  </si>
  <si>
    <t>Casos por cada 1.000 habitantes</t>
  </si>
  <si>
    <t>Justicia y derecho - Otros - Derecho de familia</t>
  </si>
  <si>
    <t>Puntos porcentuales (Escala de 0 a 100)</t>
  </si>
  <si>
    <t>Cultura - Tasa de cobertura municipal con beneficiarios de convocatorias públicas de las culturas, las artes y los saberes</t>
  </si>
  <si>
    <t>Justicia y derecho - Barrera de acceso a la justicia 1 SLJ</t>
  </si>
  <si>
    <t>N.A</t>
  </si>
  <si>
    <t>Demografía y población - Índice Multidimensional de Integración - IMI</t>
  </si>
  <si>
    <t>Secretaría de salud y Bienestar Social</t>
  </si>
  <si>
    <t>Fuente</t>
  </si>
  <si>
    <t>Linea base</t>
  </si>
  <si>
    <t>Año linea base</t>
  </si>
  <si>
    <t>DANE</t>
  </si>
  <si>
    <t>Centro Nacional de Memoria Histórica</t>
  </si>
  <si>
    <t>DNP - SPT</t>
  </si>
  <si>
    <t>Ministerio de Educación Nacional</t>
  </si>
  <si>
    <t xml:space="preserve">DNP y Observatorio Colombiano de Migración desde Venezuela </t>
  </si>
  <si>
    <t>Ministerio de Salud y Protección Social</t>
  </si>
  <si>
    <t>Ministerio de Salud y Protección Social - MSPS</t>
  </si>
  <si>
    <t>IDEAM</t>
  </si>
  <si>
    <t>Censo Nacional Agropecuario, DANE</t>
  </si>
  <si>
    <t>SINERGIA</t>
  </si>
  <si>
    <t>DNP con información del FUT</t>
  </si>
  <si>
    <t>DANE - ECV</t>
  </si>
  <si>
    <t>DNP a partir de información del FUT</t>
  </si>
  <si>
    <t>DNP, con datos de MinDefensa y DANE</t>
  </si>
  <si>
    <t>FURAG</t>
  </si>
  <si>
    <t>Ministerio de Justicia y el Derecho</t>
  </si>
  <si>
    <t>Metas de los ODS</t>
  </si>
  <si>
    <t>Meta cuatrenio</t>
  </si>
  <si>
    <t>Numero</t>
  </si>
  <si>
    <t>Alcaldia municipal</t>
  </si>
  <si>
    <t>hectareas</t>
  </si>
  <si>
    <t xml:space="preserve">Corporación autónoma regional </t>
  </si>
  <si>
    <t>sd</t>
  </si>
  <si>
    <t>Unidad nacional de victimas</t>
  </si>
  <si>
    <t>Campañas de gestión del riesgo para abordar situaciones de salud relacionadas con condiciones ambientales implementadas</t>
  </si>
  <si>
    <t>Nombre Proyecto</t>
  </si>
  <si>
    <t>Bpin</t>
  </si>
  <si>
    <t>Fortaleciento del Sector Ambiental y el Ordenamiento Territorial para Garantizar un Desarrollo Urbano y Rural Sostenible y Equilibrado en el Municipio de Angelópolis</t>
  </si>
  <si>
    <t>Apoyo para el Acceso a la Justicia y la Protección de Derechos para Asegurar la Equidad y la Justicia Social en el Municipio de Angelópolis</t>
  </si>
  <si>
    <t>Fortalecimiento a la Riqueza Artística, Creativa y Cultural para Enriquecer la Vida Comunitaria y Promover la Identidad Local en el Municipio de Angelópolis</t>
  </si>
  <si>
    <t>Fortalecimiento a las Capacidades Institucionales y la Gobernanza para Mejorar la Eficiencia y la Transparencia en el Municipio de Angelópolis</t>
  </si>
  <si>
    <t>Implementación de Estrategias de Prevención y Mitigación de Riesgos para Asegurar la Protección y la Resiliencia Comunitaria en el Municipio de Angelópolis</t>
  </si>
  <si>
    <t>Desarrollo del Turismo Sostenible para Generar Oportunidades Económicas y Promover el Patrimonio Cultural en el Municipio de Angelópolis</t>
  </si>
  <si>
    <t>Actualización del Alumbrado Público y Expandir la Cobertura Eléctrica para Incrementar la Seguridad y la Calidad de Vida en el Municipio de Angelópolis</t>
  </si>
  <si>
    <t>Desarrollo y Ampliación de los Programas Deportivos para Promover la Salud, el Deporte y la Cohesión Social en el Municipio de Angelópolis</t>
  </si>
  <si>
    <t>Optimización de los Servicios de Salud Pública para Asegurar una Atención Eficiente, Accesible y de Alta Calidad en el Municipio de Angelópolis</t>
  </si>
  <si>
    <t>Ampliación de la Cobertura de Aseguramiento para Garantizar el Acceso Universal a Servicios de Salud y Bienestar en el Municipio de Angelópolis</t>
  </si>
  <si>
    <t>Mejoramiento de la Calidad Educativa para Asegurar Oportunidades Equitativas y el Éxito Académico en el Municipio de Angelópolis</t>
  </si>
  <si>
    <t>Apoyo Integral y Servicios de Rehabilitación a las Víctimas del Conflicto Armado para Facilitar su Recuperación y Reintegración en el Municipio de Angelópolis</t>
  </si>
  <si>
    <t>Fortalecimiento de los Programas de Atención Integral y Apoyo Dedicado para el Adulto Mayor, Mejorando su Calidad de Vida en el Municipio de Angelópolis</t>
  </si>
  <si>
    <t>Transformación  del Bienestar Integral de Niños, Niñas, Adolescentes y Jóvenes para Fomentar su Desarrollo Pleno en el Municipio de Angelópolis</t>
  </si>
  <si>
    <t>Fortalecimiento de la Inclusión Productiva y el Empoderamiento de Pequeños Productores Rurales para Promover el Desarrollo Sostenible en el Municipio de Angelópolis</t>
  </si>
  <si>
    <t>Fortalecimiento del Sector Vivienda, Ciudad y Territorio para Crear Comunidades Inclusivas y Mejorar la Calidad de Vida en el Municipio de Angelópolis</t>
  </si>
  <si>
    <t>Fortalecimiento del Suministro de Agua Potable y el Saneamiento Básico para Garantizar la Salud y el Bienestar Comunitario en el Municipio de Angelópolis</t>
  </si>
  <si>
    <t xml:space="preserve">Mejoramiento del Espacio Publico en el Municipio de Angelópolis </t>
  </si>
  <si>
    <t>Mejoramiento la Red Vial para Facilitar el Acceso y la Movilidad Eficiente, Fomentando el Desarrollo en el Municipio de Angelópolis</t>
  </si>
  <si>
    <t>Apoyo para el acceso y uso de las Tecnologías de la Información y las Comunicaciones en el municipio de Angelópolis</t>
  </si>
  <si>
    <t>Promoción de los métodos de resolución de conflictos</t>
  </si>
  <si>
    <t>Fortalecimiento de lainspección, vigilancia y control en salud en el municipio de Angelopolis</t>
  </si>
  <si>
    <t>Fortalecimiento a la sanidad agropecuaria e inocuidad agroalimentaria en el municipio de Angelopolis</t>
  </si>
  <si>
    <t>Fortalecimiento de tecnología e innovación agropecuaria en el municipio de Angelopolis</t>
  </si>
  <si>
    <t>Fortalecimiento del buen gobierno para el respeto y garantía de los derechos humanos en el municipio de Angelopolis</t>
  </si>
  <si>
    <t>Fortalecimiento del sistema penitenciario y carcelario en el marco de los derechos humanos en el municipio de Angelopolis</t>
  </si>
  <si>
    <t>Fortalecimiento a la promoción de los métodos de resolución de conflictos en el municipio de Angelopolis</t>
  </si>
  <si>
    <t>s</t>
  </si>
  <si>
    <t>SGP-PROPOSITO GENERAL-PROPOSITO GENERAL LIBRE INVERSION</t>
  </si>
  <si>
    <t>SGP-SALUD-SALUD PUBLICA - 30% / 40% Fortalecimiento procesos de gestión en salud publica</t>
  </si>
  <si>
    <t>SGP-SALUD-SALUD PUBLICA - 60% / 70% Plan de Inversiones Colectivas</t>
  </si>
  <si>
    <t>SGP-SALUD-SUBSIDIO A LA OFERTA</t>
  </si>
  <si>
    <t>INGRESOS CORRIENTES DE LIBRE DESTINACION</t>
  </si>
  <si>
    <t>SISTEMA GENERAL DE SEGURIDAD SOCIAL EN SALUD - RECURSOS DE LA UPC RS</t>
  </si>
  <si>
    <t>DERECHOS POR LA EXPLOTACION JUEGOS DE SUERTE Y AZAR - Coljuegos 75%</t>
  </si>
  <si>
    <t>SGP-SALUD-REGIMEN SUBSIDIADO</t>
  </si>
  <si>
    <t>OTRAS TRANSFERENCIAS CORRIENTES DE OTRAS ENTIDADES CON DESTINACION ESPECIFICA LEGAL DEL GOBIERNO GENERAL - Departamento Régimen Subsidiado</t>
  </si>
  <si>
    <t>IMPUESTO - SOBRETASA POR EL ALUMBRADO PUBLICO</t>
  </si>
  <si>
    <t>SGP-EDUCACION-CALIDAD  POR MATRICULA OFICIAL</t>
  </si>
  <si>
    <t>SGP-EDUCACION-CALIDAD  POR GRATUIDAD</t>
  </si>
  <si>
    <t>SGP-ASIGNACION ESPECIAL-PROGRAMAS DE ALIMENTACION ESCOLAR</t>
  </si>
  <si>
    <t>OTRAS MULTAS, SANCIONES E INTERESES DE MORA CON DESTINACION ESPECIFICA LEGAL - Multas de Tránsito y Transporte - 40% Apoyar la capacitación del personal de la Policía de Carreteras y los planes de educación y seguridad vial</t>
  </si>
  <si>
    <t>OTRAS MULTAS, SANCIONES E INTERESES DE MORA CON DESTINACION ESPECIFICA LEGAL - Multas de Tránsito y Transporte - 50% -90% inversión en el sector (Seguridad Vial)</t>
  </si>
  <si>
    <t>ICLD LEY 99 - DESTINO AMBIENTAL - Fondo de Conservación y Protección de los Recursos Hídricos</t>
  </si>
  <si>
    <t>CONTRIBUCION DEL SECTOR ELECTRICO - Ambiental y Agua Potable y Saneamiento Básico</t>
  </si>
  <si>
    <t>SGP-PROPOSITO GENERAL-CULTURA</t>
  </si>
  <si>
    <t>ESTAMPILLA PRO CULTURA - Inversión en el Sector</t>
  </si>
  <si>
    <t>ESTAMPILLA PRO CULTURA -  Seguridad Social del Creador y Gestor Cultural</t>
  </si>
  <si>
    <t>ESTAMPILLA PRO CULTURA- Fortalecimiento de Bibliotecas</t>
  </si>
  <si>
    <t>CONTRIBUCION DEL SECTOR ELECTRICO - Libre Inversión</t>
  </si>
  <si>
    <t>SGP-AGUA POTABLE Y SANEAMIENTO BASICO - Inversión en el Sector</t>
  </si>
  <si>
    <t>SGP-AGUA POTABLE Y SANEAMIENTO BASICO - Pago Subsidios AAA</t>
  </si>
  <si>
    <t>SGP-PROPOSITO GENERAL-LIBRE DESTINACION MUNICIPIOS CATEGORIAS 4, 5 Y 6</t>
  </si>
  <si>
    <t>ESTAMPILLA PRO BIENSTAR DEL ADULTO MAYOR - Centros de bienestar del adulto mayor</t>
  </si>
  <si>
    <t>TASA PRODEPORTE Y RECREACION - Inversión en el Sector</t>
  </si>
  <si>
    <t>SGP-PROPOSITO GENERAL-DEPORTE Y RECREACION</t>
  </si>
  <si>
    <t>TASA PRODEPORTE Y RECREACION - Refrigerios y Transporte Deportistas</t>
  </si>
  <si>
    <t>CONTRIBUCION SOBRE CONTRATOS DE OBRA PUBLICA - Inversión en el Sector</t>
  </si>
  <si>
    <t>MULTAS CODIGO NACIONAL DE POLICIA Y CONVIVENCIA - 30% Financiar programas, proyectos de inversión y actividades de cultura ciudadana</t>
  </si>
  <si>
    <t>MULTAS CODIGO NACIONAL DE POLICIA Y CONVIVENCIA - 25% Materialización de las medidas correctivas impuestas</t>
  </si>
  <si>
    <t>INGRESOS CORRIENTES DE DESTINACION ESPECIFICA POR ACTO ADMINISTRATIVO - Fondo de Gestión y Prevención del Riesgo y Desastres</t>
  </si>
  <si>
    <t>ESTAMPILLA PRO BIENSTAR DEL ADULTO MAYOR - Centros Vida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</si>
</sst>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quot;$&quot;#,##0"/>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11"/>
      <color rgb="FF1C2F33"/>
      <name val="Calibri"/>
      <family val="2"/>
      <scheme val="minor"/>
    </font>
    <font>
      <b/>
      <sz val="11"/>
      <name val="Calibri"/>
      <family val="2"/>
      <scheme val="minor"/>
    </font>
    <font>
      <sz val="11"/>
      <name val="Calibri"/>
      <family val="2"/>
      <scheme val="minor"/>
    </font>
    <font>
      <sz val="11"/>
      <name val="Calibri"/>
      <family val="2"/>
    </font>
    <font>
      <sz val="11"/>
      <name val="Calibri"/>
      <family val="2"/>
    </font>
    <font>
      <sz val="11"/>
      <color rgb="FF000000"/>
      <name val="Calibri"/>
      <family val="2"/>
      <scheme val="minor"/>
    </font>
  </fonts>
  <fills count="3">
    <fill>
      <patternFill patternType="none"/>
    </fill>
    <fill>
      <patternFill patternType="gray125"/>
    </fill>
    <fill>
      <patternFill patternType="solid">
        <fgColor rgb="FF6EBACC"/>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ECECEC"/>
      </left>
      <right style="thin">
        <color rgb="FFECECEC"/>
      </right>
      <top style="thin">
        <color rgb="FFECECEC"/>
      </top>
      <bottom style="thin">
        <color rgb="FFECECEC"/>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s>
  <cellStyleXfs count="6">
    <xf numFmtId="0" fontId="0" fillId="0" borderId="0"/>
    <xf numFmtId="0" fontId="1" fillId="0" borderId="0"/>
    <xf numFmtId="0" fontId="3" fillId="2" borderId="2" applyAlignment="0">
      <alignment horizontal="center" vertical="center" wrapText="1"/>
    </xf>
    <xf numFmtId="0" fontId="6" fillId="0" borderId="0"/>
    <xf numFmtId="0" fontId="7" fillId="0" borderId="0"/>
    <xf numFmtId="164" fontId="1" fillId="0" borderId="0" applyFont="0" applyFill="0" applyBorder="0" applyAlignment="0" applyProtection="0"/>
  </cellStyleXfs>
  <cellXfs count="33">
    <xf numFmtId="0" fontId="0" fillId="0" borderId="0" xfId="0"/>
    <xf numFmtId="0" fontId="2" fillId="0" borderId="0" xfId="0" applyFont="1" applyAlignment="1">
      <alignment horizontal="center" vertical="center" wrapText="1"/>
    </xf>
    <xf numFmtId="165" fontId="0" fillId="0" borderId="0" xfId="0" applyNumberFormat="1"/>
    <xf numFmtId="0" fontId="0" fillId="0" borderId="0" xfId="0" applyAlignment="1">
      <alignment horizontal="center" vertical="center"/>
    </xf>
    <xf numFmtId="0" fontId="0" fillId="0" borderId="0" xfId="0" applyAlignment="1">
      <alignment horizontal="center"/>
    </xf>
    <xf numFmtId="0" fontId="2" fillId="0" borderId="3" xfId="0" applyFont="1" applyBorder="1" applyAlignment="1">
      <alignment vertical="center" wrapText="1"/>
    </xf>
    <xf numFmtId="0" fontId="2" fillId="0" borderId="3" xfId="0" applyFont="1" applyBorder="1" applyAlignment="1">
      <alignment horizontal="center" vertical="center" wrapText="1"/>
    </xf>
    <xf numFmtId="1" fontId="0" fillId="0" borderId="0" xfId="0" applyNumberFormat="1"/>
    <xf numFmtId="0" fontId="5" fillId="0" borderId="1" xfId="0" applyFont="1" applyBorder="1" applyAlignment="1">
      <alignment horizontal="left" vertical="top"/>
    </xf>
    <xf numFmtId="0" fontId="0" fillId="0" borderId="1" xfId="0" applyBorder="1" applyAlignment="1">
      <alignment horizontal="left" vertical="top"/>
    </xf>
    <xf numFmtId="0" fontId="5" fillId="0" borderId="1" xfId="3" applyFont="1" applyBorder="1" applyAlignment="1">
      <alignment horizontal="left" vertical="top"/>
    </xf>
    <xf numFmtId="0" fontId="0" fillId="0" borderId="1" xfId="0" applyBorder="1" applyAlignment="1">
      <alignment horizontal="center"/>
    </xf>
    <xf numFmtId="1" fontId="0" fillId="0" borderId="1" xfId="0" applyNumberFormat="1" applyBorder="1"/>
    <xf numFmtId="0" fontId="8" fillId="0" borderId="1" xfId="0" applyFont="1" applyBorder="1" applyAlignment="1">
      <alignment horizontal="left" vertical="top"/>
    </xf>
    <xf numFmtId="1" fontId="0" fillId="0" borderId="1" xfId="0" applyNumberFormat="1" applyBorder="1" applyAlignment="1">
      <alignment horizontal="right" vertical="top"/>
    </xf>
    <xf numFmtId="0" fontId="0" fillId="0" borderId="1" xfId="0" applyBorder="1" applyAlignment="1">
      <alignment horizontal="right" vertical="top"/>
    </xf>
    <xf numFmtId="0" fontId="8" fillId="0" borderId="1" xfId="0" applyFont="1" applyBorder="1" applyAlignment="1">
      <alignment horizontal="right" vertical="top"/>
    </xf>
    <xf numFmtId="1" fontId="0" fillId="0" borderId="1" xfId="0" applyNumberFormat="1" applyBorder="1" applyAlignment="1">
      <alignment horizontal="right" wrapText="1"/>
    </xf>
    <xf numFmtId="0" fontId="0" fillId="0" borderId="0" xfId="0" applyAlignment="1">
      <alignment horizontal="left" vertical="top"/>
    </xf>
    <xf numFmtId="0" fontId="0" fillId="0" borderId="1" xfId="0" applyBorder="1"/>
    <xf numFmtId="0" fontId="0" fillId="0" borderId="1" xfId="0" applyBorder="1" applyAlignment="1">
      <alignment horizontal="left" vertical="top" wrapText="1"/>
    </xf>
    <xf numFmtId="0" fontId="2" fillId="0" borderId="4"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4" xfId="0" applyFont="1" applyBorder="1" applyAlignment="1">
      <alignment horizontal="center" vertical="center"/>
    </xf>
    <xf numFmtId="0" fontId="2" fillId="0" borderId="9" xfId="0" applyFont="1" applyBorder="1" applyAlignment="1">
      <alignment horizontal="center" vertical="center"/>
    </xf>
    <xf numFmtId="0" fontId="2" fillId="0" borderId="9"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4" fillId="0" borderId="4" xfId="2" applyFont="1" applyFill="1" applyBorder="1" applyAlignment="1">
      <alignment horizontal="center" vertical="center" wrapText="1"/>
    </xf>
    <xf numFmtId="0" fontId="4" fillId="0" borderId="9" xfId="2"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cellXfs>
  <cellStyles count="6">
    <cellStyle name="KPT06_Main" xfId="2" xr:uid="{00000000-0005-0000-0000-000000000000}"/>
    <cellStyle name="Millares 2" xfId="5" xr:uid="{00000000-0005-0000-0000-000001000000}"/>
    <cellStyle name="Normal" xfId="0" builtinId="0"/>
    <cellStyle name="Normal 2" xfId="4" xr:uid="{00000000-0005-0000-0000-000003000000}"/>
    <cellStyle name="Normal 2 3 2 2" xfId="1" xr:uid="{00000000-0005-0000-0000-000004000000}"/>
    <cellStyle name="Normal 3" xfId="3" xr:uid="{00000000-0005-0000-0000-000005000000}"/>
  </cellStyles>
  <dxfs count="3">
    <dxf>
      <fill>
        <patternFill>
          <bgColor rgb="FF92D050"/>
        </patternFill>
      </fill>
    </dxf>
    <dxf>
      <fill>
        <patternFill>
          <bgColor rgb="FF92D05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TRABAJO\ANGELOPOLIS\2024\PLAN%20DE%20DESARROLLO\CATALOGO%20DE%20INDICADORES%20DNP\INDICADORES%20DE%20PRODUCT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ores, programas, subprogram"/>
      <sheetName val="Sectores"/>
      <sheetName val="Productos"/>
      <sheetName val="CATÁLOGO DE PRODUCTOS"/>
    </sheetNames>
    <sheetDataSet>
      <sheetData sheetId="0">
        <row r="8">
          <cell r="C8" t="str">
            <v>0101</v>
          </cell>
          <cell r="D8" t="str">
            <v>Mejoramiento de la eficiencia y la transparencia legislativa</v>
          </cell>
        </row>
        <row r="9">
          <cell r="C9" t="str">
            <v>0199</v>
          </cell>
          <cell r="D9" t="str">
            <v>Fortalecimiento de la gestión y dirección del sector Congreso de la República</v>
          </cell>
        </row>
        <row r="10">
          <cell r="C10" t="str">
            <v>0204</v>
          </cell>
          <cell r="D10" t="str">
            <v>Impulsar el desarrollo integral de las poblaciones con enfoque diferencial desde el sector Presidencia</v>
          </cell>
        </row>
        <row r="11">
          <cell r="C11" t="str">
            <v>0207</v>
          </cell>
          <cell r="D11" t="str">
            <v>Prevención y mitigación del riesgo de desastres desde el sector Presidencia</v>
          </cell>
        </row>
        <row r="12">
          <cell r="C12" t="str">
            <v>0208</v>
          </cell>
          <cell r="D12" t="str">
            <v>Gestión de la cooperación internacional del sector Presidencia</v>
          </cell>
        </row>
        <row r="13">
          <cell r="C13" t="str">
            <v>0209</v>
          </cell>
          <cell r="D13" t="str">
            <v>Fortalecimiento de la infraestructura física de las entidades del Estado del nivel nacional desde el Sector Presidencia</v>
          </cell>
        </row>
        <row r="14">
          <cell r="C14" t="str">
            <v>0210</v>
          </cell>
          <cell r="D14" t="str">
            <v>Mecanismos de transición hacia la paz a nivel nacional y territorial desde el sector Presidencia</v>
          </cell>
        </row>
        <row r="15">
          <cell r="C15" t="str">
            <v>0211</v>
          </cell>
          <cell r="D15" t="str">
            <v>Reintegración de personas y grupos alzados en armas desde el Sector Presidencia</v>
          </cell>
        </row>
        <row r="16">
          <cell r="C16" t="str">
            <v>0212</v>
          </cell>
          <cell r="D16" t="str">
            <v>Renovación territorial para el desarrollo integral de las zonas rurales afectadas por el conflicto armado</v>
          </cell>
        </row>
        <row r="17">
          <cell r="C17" t="str">
            <v>0214</v>
          </cell>
          <cell r="D17" t="str">
            <v>Fortalecimiento de las capacidades de articulación estratégica, modernización, eficiencia administrativa, transparencia y acceso a la información desde el sector Presidencia</v>
          </cell>
        </row>
        <row r="18">
          <cell r="C18" t="str">
            <v>0299</v>
          </cell>
          <cell r="D18" t="str">
            <v>Fortalecimiento de la gestión y dirección del sector Presidencia</v>
          </cell>
        </row>
        <row r="19">
          <cell r="C19" t="str">
            <v>0301</v>
          </cell>
          <cell r="D19" t="str">
            <v>Mejoramiento de la planeación territorial, sectorial y de inversión pública</v>
          </cell>
        </row>
        <row r="20">
          <cell r="C20" t="str">
            <v>0303</v>
          </cell>
          <cell r="D20" t="str">
            <v>Promoción de la prestación eficiente de los servicios públicos domiciliarios</v>
          </cell>
        </row>
        <row r="21">
          <cell r="C21" t="str">
            <v>0304</v>
          </cell>
          <cell r="D21" t="str">
            <v>Fortalecimiento del Sistema de Compra Pública</v>
          </cell>
        </row>
        <row r="22">
          <cell r="C22" t="str">
            <v>0399</v>
          </cell>
          <cell r="D22" t="str">
            <v>Fortalecimiento de la gestión y dirección del sector Planeación</v>
          </cell>
        </row>
        <row r="23">
          <cell r="C23" t="str">
            <v>0401</v>
          </cell>
          <cell r="D23" t="str">
            <v>Levantamiento y actualización de información estadística de calidad</v>
          </cell>
        </row>
        <row r="24">
          <cell r="C24" t="str">
            <v>0406</v>
          </cell>
          <cell r="D24" t="str">
            <v>Generación de la información geográfica del territorio nacional</v>
          </cell>
        </row>
        <row r="25">
          <cell r="C25" t="str">
            <v>0499</v>
          </cell>
          <cell r="D25" t="str">
            <v>Fortalecimiento de la gestión y dirección del sector Información Estadística</v>
          </cell>
        </row>
        <row r="26">
          <cell r="C26" t="str">
            <v>0503</v>
          </cell>
          <cell r="D26" t="str">
            <v xml:space="preserve">Mejoramiento de la calidad educativa en gestión pública </v>
          </cell>
        </row>
        <row r="27">
          <cell r="C27" t="str">
            <v>0504</v>
          </cell>
          <cell r="D27" t="str">
            <v>Administración y vigilancia de las carreras administrativas de los servidores públicos</v>
          </cell>
        </row>
        <row r="28">
          <cell r="C28" t="str">
            <v>0505</v>
          </cell>
          <cell r="D28" t="str">
            <v>Fortalecimiento de la gestión pública en las entidades nacionales y territoriales</v>
          </cell>
        </row>
        <row r="29">
          <cell r="C29" t="str">
            <v>0599</v>
          </cell>
          <cell r="D29" t="str">
            <v>Fortalecimiento de la gestión y dirección del sector Empleo Público</v>
          </cell>
        </row>
        <row r="30">
          <cell r="C30" t="str">
            <v>1101</v>
          </cell>
          <cell r="D30" t="str">
            <v>Fortalecimiento y diversificación de relaciones bilaterales</v>
          </cell>
        </row>
        <row r="31">
          <cell r="C31" t="str">
            <v>1102</v>
          </cell>
          <cell r="D31" t="str">
            <v>Posicionamiento en instancias globales, multilaterales, regionales y subregionales</v>
          </cell>
        </row>
        <row r="32">
          <cell r="C32" t="str">
            <v>1103</v>
          </cell>
          <cell r="D32" t="str">
            <v>Política migratoria y servicio al ciudadano</v>
          </cell>
        </row>
        <row r="33">
          <cell r="C33" t="str">
            <v>1104</v>
          </cell>
          <cell r="D33" t="str">
            <v>Soberanía territorial y desarrollo fronterizo</v>
          </cell>
        </row>
        <row r="34">
          <cell r="C34" t="str">
            <v>1105</v>
          </cell>
          <cell r="D34" t="str">
            <v>Cooperación internacional del sector relaciones exteriores</v>
          </cell>
        </row>
        <row r="35">
          <cell r="C35" t="str">
            <v>1199</v>
          </cell>
          <cell r="D35" t="str">
            <v>Fortalecimiento de la gestión y dirección del sector Relaciones Exteriores</v>
          </cell>
        </row>
        <row r="36">
          <cell r="C36" t="str">
            <v>1201</v>
          </cell>
          <cell r="D36" t="str">
            <v xml:space="preserve"> Fortalecimiento del principio de seguridad jurídica, divulgación y depuración del ordenamiento jurídico</v>
          </cell>
        </row>
        <row r="37">
          <cell r="C37" t="str">
            <v>1202</v>
          </cell>
          <cell r="D37" t="str">
            <v xml:space="preserve"> Promoción al acceso a la justicia</v>
          </cell>
        </row>
        <row r="38">
          <cell r="C38" t="str">
            <v>1203</v>
          </cell>
          <cell r="D38" t="str">
            <v xml:space="preserve"> Promoción de los métodos de resolución de conflictos</v>
          </cell>
        </row>
        <row r="39">
          <cell r="C39" t="str">
            <v>1204</v>
          </cell>
          <cell r="D39" t="str">
            <v>Justicia transicional</v>
          </cell>
        </row>
        <row r="40">
          <cell r="C40" t="str">
            <v>1205</v>
          </cell>
          <cell r="D40" t="str">
            <v>Defensa jurídica del Estado</v>
          </cell>
        </row>
        <row r="41">
          <cell r="C41" t="str">
            <v>1206</v>
          </cell>
          <cell r="D41" t="str">
            <v>Sistema penitenciario y carcelario en el marco de los derechos humanos</v>
          </cell>
        </row>
        <row r="42">
          <cell r="C42" t="str">
            <v>1207</v>
          </cell>
          <cell r="D42" t="str">
            <v>Fortalecimiento de la política criminal del Estado colombiano</v>
          </cell>
        </row>
        <row r="43">
          <cell r="C43" t="str">
            <v>1208</v>
          </cell>
          <cell r="D43" t="str">
            <v>Formulación y coordinación de la política integral frente a las drogas y actividades relacionadas</v>
          </cell>
        </row>
        <row r="44">
          <cell r="C44" t="str">
            <v>1209</v>
          </cell>
          <cell r="D44" t="str">
            <v>Modernización de la información inmobiliaria</v>
          </cell>
        </row>
        <row r="45">
          <cell r="C45" t="str">
            <v>1299</v>
          </cell>
          <cell r="D45" t="str">
            <v>Fortalecimiento de la gestión y dirección del sector Justicia y del Derecho</v>
          </cell>
        </row>
        <row r="46">
          <cell r="C46" t="str">
            <v>1301</v>
          </cell>
          <cell r="D46" t="str">
            <v>Política macroeconómica y fiscal</v>
          </cell>
        </row>
        <row r="47">
          <cell r="C47" t="str">
            <v>1302</v>
          </cell>
          <cell r="D47" t="str">
            <v>Gestión de recursos públicos</v>
          </cell>
        </row>
        <row r="48">
          <cell r="C48" t="str">
            <v>1303</v>
          </cell>
          <cell r="D48" t="str">
            <v>Reducción de la vulnerabilidad fiscal ante desastres y riesgos climáticos</v>
          </cell>
        </row>
        <row r="49">
          <cell r="C49" t="str">
            <v>1304</v>
          </cell>
          <cell r="D49" t="str">
            <v>Inspección, control y vigilancia financiera, solidaria y de recursos públicos</v>
          </cell>
        </row>
        <row r="50">
          <cell r="C50" t="str">
            <v>1305</v>
          </cell>
          <cell r="D50" t="str">
            <v>Fortalecimiento de recaudo y tributación</v>
          </cell>
        </row>
        <row r="51">
          <cell r="C51" t="str">
            <v>1399</v>
          </cell>
          <cell r="D51" t="str">
            <v>Fortalecimiento de la gestión y dirección del sector Hacienda</v>
          </cell>
        </row>
        <row r="52">
          <cell r="C52" t="str">
            <v>1501</v>
          </cell>
          <cell r="D52" t="str">
            <v>Capacidades de la Policía Nacional en seguridad pública, prevención, convivencia y seguridad ciudadana</v>
          </cell>
        </row>
        <row r="53">
          <cell r="C53" t="str">
            <v>1502</v>
          </cell>
          <cell r="D53" t="str">
            <v>Capacidades de las Fuerzas Militares en seguridad pública y defensa en el territorio nacional</v>
          </cell>
        </row>
        <row r="54">
          <cell r="C54" t="str">
            <v>1504</v>
          </cell>
          <cell r="D54" t="str">
            <v>Desarrollo marítimo, fluvial y costero desde el sector defensa</v>
          </cell>
        </row>
        <row r="55">
          <cell r="C55" t="str">
            <v>1505</v>
          </cell>
          <cell r="D55" t="str">
            <v>Generación de bienestar para la Fuerza Pública y sus familias</v>
          </cell>
        </row>
        <row r="56">
          <cell r="C56" t="str">
            <v>1506</v>
          </cell>
          <cell r="D56" t="str">
            <v>Gestión del riesgo de desastres desde el sector defensa y seguridad</v>
          </cell>
        </row>
        <row r="57">
          <cell r="C57" t="str">
            <v>1507</v>
          </cell>
          <cell r="D57" t="str">
            <v>Grupo Social y Empresarial de la Defensa (GSED) Competitivo</v>
          </cell>
        </row>
        <row r="58">
          <cell r="C58" t="str">
            <v>1599</v>
          </cell>
          <cell r="D58" t="str">
            <v>Fortalecimiento de la gestión y dirección del Sector Defensa y Policía</v>
          </cell>
        </row>
        <row r="59">
          <cell r="C59" t="str">
            <v>1702</v>
          </cell>
          <cell r="D59" t="str">
            <v>Inclusión productiva de pequeños productores rurales</v>
          </cell>
        </row>
        <row r="60">
          <cell r="C60" t="str">
            <v>1703</v>
          </cell>
          <cell r="D60" t="str">
            <v>Servicios financieros y gestión del riesgo para las actividades agropecuarias y rurales</v>
          </cell>
        </row>
        <row r="61">
          <cell r="C61" t="str">
            <v>1704</v>
          </cell>
          <cell r="D61" t="str">
            <v>Ordenamiento social y uso productivo del territorio rural</v>
          </cell>
        </row>
        <row r="62">
          <cell r="C62" t="str">
            <v>1705</v>
          </cell>
          <cell r="D62" t="str">
            <v>Restitución de tierras a víctimas del conflicto armado</v>
          </cell>
        </row>
        <row r="63">
          <cell r="C63" t="str">
            <v>1706</v>
          </cell>
          <cell r="D63" t="str">
            <v xml:space="preserve"> Aprovechamiento de mercados externos</v>
          </cell>
        </row>
        <row r="64">
          <cell r="C64" t="str">
            <v>1707</v>
          </cell>
          <cell r="D64" t="str">
            <v>Sanidad agropecuaria e inocuidad agroalimentaria</v>
          </cell>
        </row>
        <row r="65">
          <cell r="C65" t="str">
            <v>1708</v>
          </cell>
          <cell r="D65" t="str">
            <v>Ciencia, tecnología e innovación agropecuaria</v>
          </cell>
        </row>
        <row r="66">
          <cell r="C66" t="str">
            <v>1709</v>
          </cell>
          <cell r="D66" t="str">
            <v>Infraestructura productiva y comercialización</v>
          </cell>
        </row>
        <row r="67">
          <cell r="C67" t="str">
            <v>1799</v>
          </cell>
          <cell r="D67" t="str">
            <v>Fortalecimiento de la gestión y dirección del sector Agricultura y Desarrollo Rural</v>
          </cell>
        </row>
        <row r="68">
          <cell r="C68" t="str">
            <v>1903</v>
          </cell>
          <cell r="D68" t="str">
            <v>Inspección, vigilancia y control</v>
          </cell>
        </row>
        <row r="69">
          <cell r="C69" t="str">
            <v>1905</v>
          </cell>
          <cell r="D69" t="str">
            <v>Salud Pública</v>
          </cell>
        </row>
        <row r="70">
          <cell r="C70" t="str">
            <v>1906</v>
          </cell>
          <cell r="D70" t="str">
            <v>Aseguramiento y prestación integral de servicios de salud</v>
          </cell>
        </row>
        <row r="71">
          <cell r="C71" t="str">
            <v>1999</v>
          </cell>
          <cell r="D71" t="str">
            <v xml:space="preserve"> Fortalecimiento de la gestión y dirección del sector Salud</v>
          </cell>
        </row>
        <row r="72">
          <cell r="C72" t="str">
            <v>2101</v>
          </cell>
          <cell r="D72" t="str">
            <v>Acceso al servicio público domiciliario de gas combustible</v>
          </cell>
        </row>
        <row r="73">
          <cell r="C73" t="str">
            <v>2102</v>
          </cell>
          <cell r="D73" t="str">
            <v>Consolidación productiva del sector de energía eléctrica</v>
          </cell>
        </row>
        <row r="74">
          <cell r="C74" t="str">
            <v>2103</v>
          </cell>
          <cell r="D74" t="str">
            <v>Consolidación productiva del sector hidrocarburos</v>
          </cell>
        </row>
        <row r="75">
          <cell r="C75" t="str">
            <v>2104</v>
          </cell>
          <cell r="D75" t="str">
            <v>Consolidación productiva del sector minero</v>
          </cell>
        </row>
        <row r="76">
          <cell r="C76" t="str">
            <v>2105</v>
          </cell>
          <cell r="D76" t="str">
            <v xml:space="preserve"> Desarrollo ambiental sostenible del sector minero energético</v>
          </cell>
        </row>
        <row r="77">
          <cell r="C77" t="str">
            <v>2106</v>
          </cell>
          <cell r="D77" t="str">
            <v>Gestión de la información en el sector minero energético</v>
          </cell>
        </row>
        <row r="78">
          <cell r="C78" t="str">
            <v>2199</v>
          </cell>
          <cell r="D78" t="str">
            <v xml:space="preserve">Fortalecimiento de la gestión y dirección del sector Minas y Energía </v>
          </cell>
        </row>
        <row r="79">
          <cell r="C79" t="str">
            <v>2201</v>
          </cell>
          <cell r="D79" t="str">
            <v>Calidad, cobertura y fortalecimiento de la educación inicial, prescolar, básica y media</v>
          </cell>
        </row>
        <row r="80">
          <cell r="C80" t="str">
            <v>2202</v>
          </cell>
          <cell r="D80" t="str">
            <v>Calidad y fomento de la educación superior</v>
          </cell>
        </row>
        <row r="81">
          <cell r="C81" t="str">
            <v>2203</v>
          </cell>
          <cell r="D81" t="str">
            <v>Cierre de brechas para el goce efectivo de derechos fundamentales de la población en condición de discapacidad</v>
          </cell>
        </row>
        <row r="82">
          <cell r="C82" t="str">
            <v>2299</v>
          </cell>
          <cell r="D82" t="str">
            <v>Fortalecimiento de la gestión y dirección del sector Educación</v>
          </cell>
        </row>
        <row r="83">
          <cell r="C83" t="str">
            <v>2301</v>
          </cell>
          <cell r="D83" t="str">
            <v>Facilitar el acceso y uso de las Tecnologías de la Información y las Comunicaciones en todo el territorio nacional</v>
          </cell>
        </row>
        <row r="84">
          <cell r="C84" t="str">
            <v>2302</v>
          </cell>
          <cell r="D84" t="str">
            <v>Fomento del desarrollo de aplicaciones, software y contenidos para impulsar la apropiación de las Tecnologías de la Información y las Comunicaciones (TIC)</v>
          </cell>
        </row>
        <row r="85">
          <cell r="C85" t="str">
            <v>2399</v>
          </cell>
          <cell r="D85" t="str">
            <v>Fortalecimiento de la gestión y dirección del sector Tecnologías de la Información y las Comunicaciones</v>
          </cell>
        </row>
        <row r="86">
          <cell r="C86" t="str">
            <v>2401</v>
          </cell>
          <cell r="D86" t="str">
            <v>Infraestructura red vial primaria</v>
          </cell>
        </row>
        <row r="87">
          <cell r="C87" t="str">
            <v>2402</v>
          </cell>
          <cell r="D87" t="str">
            <v>Infraestructura red vial regional</v>
          </cell>
        </row>
        <row r="88">
          <cell r="C88" t="str">
            <v>2403</v>
          </cell>
          <cell r="D88" t="str">
            <v>Infraestructura y servicios de transporte aéreo</v>
          </cell>
        </row>
        <row r="89">
          <cell r="C89" t="str">
            <v>2404</v>
          </cell>
          <cell r="D89" t="str">
            <v>Infraestructura de transporte férreo</v>
          </cell>
        </row>
        <row r="90">
          <cell r="C90" t="str">
            <v>2405</v>
          </cell>
          <cell r="D90" t="str">
            <v>Infraestructura de transporte marítimo</v>
          </cell>
        </row>
        <row r="91">
          <cell r="C91" t="str">
            <v>2406</v>
          </cell>
          <cell r="D91" t="str">
            <v>Infraestructura de transporte fluvial</v>
          </cell>
        </row>
        <row r="92">
          <cell r="C92" t="str">
            <v>2407</v>
          </cell>
          <cell r="D92" t="str">
            <v>Infraestructura y servicios de logística de transporte</v>
          </cell>
        </row>
        <row r="93">
          <cell r="C93" t="str">
            <v>2408</v>
          </cell>
          <cell r="D93" t="str">
            <v>Prestación de servicios de transporte público de pasajeros</v>
          </cell>
        </row>
        <row r="94">
          <cell r="C94" t="str">
            <v>2409</v>
          </cell>
          <cell r="D94" t="str">
            <v>Seguridad de transporte</v>
          </cell>
        </row>
        <row r="95">
          <cell r="C95" t="str">
            <v>2410</v>
          </cell>
          <cell r="D95" t="str">
            <v>Política, regulación y supervisión de la infraestructura y servicios de transporte</v>
          </cell>
        </row>
        <row r="96">
          <cell r="C96" t="str">
            <v>2499</v>
          </cell>
          <cell r="D96" t="str">
            <v>Fortalecimiento de la gestión y dirección del sector Transporte</v>
          </cell>
        </row>
        <row r="97">
          <cell r="C97" t="str">
            <v>2501</v>
          </cell>
          <cell r="D97" t="str">
            <v>Fortalecimiento del control y la vigilancia de la gestión fiscal y resarcimiento al daño del patrimonio público</v>
          </cell>
        </row>
        <row r="98">
          <cell r="C98" t="str">
            <v>2502</v>
          </cell>
          <cell r="D98" t="str">
            <v>Promoción, protección y defensa de los Derechos Humanos y el Derecho Internacional Humanitario</v>
          </cell>
        </row>
        <row r="99">
          <cell r="C99" t="str">
            <v>2503</v>
          </cell>
          <cell r="D99" t="str">
            <v>Lucha contra la corrupción</v>
          </cell>
        </row>
        <row r="100">
          <cell r="C100" t="str">
            <v>2504</v>
          </cell>
          <cell r="D100" t="str">
            <v>Vigilancia de la gestión administrativa de los funcionarios del estado</v>
          </cell>
        </row>
        <row r="101">
          <cell r="C101" t="str">
            <v>2599</v>
          </cell>
          <cell r="D101" t="str">
            <v>Fortalecimiento de la gestión y dirección del sector Organismos de Control</v>
          </cell>
        </row>
        <row r="102">
          <cell r="C102" t="str">
            <v>2701</v>
          </cell>
          <cell r="D102" t="str">
            <v>Mejoramiento a las competencias de la administración de justica</v>
          </cell>
        </row>
        <row r="103">
          <cell r="C103" t="str">
            <v>2799</v>
          </cell>
          <cell r="D103" t="str">
            <v>Fortalecimiento de la gestión y dirección del sector Rama Judicial</v>
          </cell>
        </row>
        <row r="104">
          <cell r="C104" t="str">
            <v>2801</v>
          </cell>
          <cell r="D104" t="str">
            <v>Procesos democráticos y asuntos electorales</v>
          </cell>
        </row>
        <row r="105">
          <cell r="C105" t="str">
            <v>2802</v>
          </cell>
          <cell r="D105" t="str">
            <v>Identificación y registro del estado civil de la población</v>
          </cell>
        </row>
        <row r="106">
          <cell r="C106" t="str">
            <v>2899</v>
          </cell>
          <cell r="D106" t="str">
            <v>Fortalecimiento de la gestión y dirección del sector Registraduría</v>
          </cell>
        </row>
        <row r="107">
          <cell r="C107" t="str">
            <v>2901</v>
          </cell>
          <cell r="D107" t="str">
            <v>Efectividad de la investigación penal y técnico científica</v>
          </cell>
        </row>
        <row r="108">
          <cell r="C108" t="str">
            <v>2999</v>
          </cell>
          <cell r="D108" t="str">
            <v xml:space="preserve">Fortalecimiento de la gestión y dirección del sector Fiscalía </v>
          </cell>
        </row>
        <row r="109">
          <cell r="C109" t="str">
            <v>3201</v>
          </cell>
          <cell r="D109" t="str">
            <v>Fortalecimiento del desempeño ambiental de los sectores productivos</v>
          </cell>
        </row>
        <row r="110">
          <cell r="C110" t="str">
            <v>3202</v>
          </cell>
          <cell r="D110" t="str">
            <v>Conservación de la biodiversidad y sus servicios ecosistémicos</v>
          </cell>
        </row>
        <row r="111">
          <cell r="C111" t="str">
            <v>3203</v>
          </cell>
          <cell r="D111" t="str">
            <v>Gestión integral del recurso hídrico</v>
          </cell>
        </row>
        <row r="112">
          <cell r="C112" t="str">
            <v>3204</v>
          </cell>
          <cell r="D112" t="str">
            <v>Gestión de la información y el conocimiento ambiental</v>
          </cell>
        </row>
        <row r="113">
          <cell r="C113" t="str">
            <v>3205</v>
          </cell>
          <cell r="D113" t="str">
            <v>Ordenamiento ambiental territorial</v>
          </cell>
        </row>
        <row r="114">
          <cell r="C114" t="str">
            <v>3206</v>
          </cell>
          <cell r="D114" t="str">
            <v>Gestión del cambio climático para un desarrollo bajo en carbono y resiliente al clima</v>
          </cell>
        </row>
        <row r="115">
          <cell r="C115" t="str">
            <v>3207</v>
          </cell>
          <cell r="D115" t="str">
            <v>Gestión integral de mares, costas y recursos acuáticos</v>
          </cell>
        </row>
        <row r="116">
          <cell r="C116" t="str">
            <v>3208</v>
          </cell>
          <cell r="D116" t="str">
            <v xml:space="preserve">Educación ambiental </v>
          </cell>
        </row>
        <row r="117">
          <cell r="C117" t="str">
            <v>3299</v>
          </cell>
          <cell r="D117" t="str">
            <v>Fortalecimiento de la gestión y dirección del sector Ambiente y Desarrollo Sostenible</v>
          </cell>
        </row>
        <row r="118">
          <cell r="C118" t="str">
            <v>3301</v>
          </cell>
          <cell r="D118" t="str">
            <v>Promoción y acceso efectivo a procesos culturales y artísticos</v>
          </cell>
        </row>
        <row r="119">
          <cell r="C119" t="str">
            <v>3302</v>
          </cell>
          <cell r="D119" t="str">
            <v>Gestión, protección y salvaguardia del patrimonio cultural colombiano</v>
          </cell>
        </row>
        <row r="120">
          <cell r="C120" t="str">
            <v>3399</v>
          </cell>
          <cell r="D120" t="str">
            <v>Fortalecimiento de la gestión y dirección del sector Cultura</v>
          </cell>
        </row>
        <row r="121">
          <cell r="C121" t="str">
            <v>3501</v>
          </cell>
          <cell r="D121" t="str">
            <v>Internacionalización de la economía</v>
          </cell>
        </row>
        <row r="122">
          <cell r="C122" t="str">
            <v>3502</v>
          </cell>
          <cell r="D122" t="str">
            <v>Productividad y competitividad de las empresas colombianas</v>
          </cell>
        </row>
        <row r="123">
          <cell r="C123" t="str">
            <v>3503</v>
          </cell>
          <cell r="D123" t="str">
            <v>Ambiente regulatorio y económico para la competencia y la actividad empresarial</v>
          </cell>
        </row>
        <row r="124">
          <cell r="C124" t="str">
            <v>3599</v>
          </cell>
          <cell r="D124" t="str">
            <v>Fortalecimiento de la gestión y dirección del sector Comercio, Industria y Turismo</v>
          </cell>
        </row>
        <row r="125">
          <cell r="C125" t="str">
            <v>3601</v>
          </cell>
          <cell r="D125" t="str">
            <v>Protección Social</v>
          </cell>
        </row>
        <row r="126">
          <cell r="C126" t="str">
            <v>3602</v>
          </cell>
          <cell r="D126" t="str">
            <v>Generación y formalización del empleo</v>
          </cell>
        </row>
        <row r="127">
          <cell r="C127" t="str">
            <v>3603</v>
          </cell>
          <cell r="D127" t="str">
            <v>Formación para el trabajo</v>
          </cell>
        </row>
        <row r="128">
          <cell r="C128" t="str">
            <v>3604</v>
          </cell>
          <cell r="D128" t="str">
            <v>Derechos fundamentales del trabajo y fortalecimiento del diálogo social</v>
          </cell>
        </row>
        <row r="129">
          <cell r="C129" t="str">
            <v>3605</v>
          </cell>
          <cell r="D129" t="str">
            <v>Fomento de la investigación, desarrollo tecnológico e innovación del sector trabajo</v>
          </cell>
        </row>
        <row r="130">
          <cell r="C130" t="str">
            <v>3699</v>
          </cell>
          <cell r="D130" t="str">
            <v>Fortalecimiento de la gestión y dirección del sector Trabajo</v>
          </cell>
        </row>
        <row r="131">
          <cell r="C131" t="str">
            <v>3701</v>
          </cell>
          <cell r="D131" t="str">
            <v>Fortalecimiento institucional a los procesos organizativos de concertación; garantía, prevención y respeto de los derechos humanos como fundamentos para la paz</v>
          </cell>
        </row>
        <row r="132">
          <cell r="C132" t="str">
            <v>3702</v>
          </cell>
          <cell r="D132" t="str">
            <v>Fortalecimiento a la gobernabilidad territorial para la seguridad, convivencia ciudadana, paz y postconflicto</v>
          </cell>
        </row>
        <row r="133">
          <cell r="C133" t="str">
            <v>3703</v>
          </cell>
          <cell r="D133" t="str">
            <v>Política pública de víctimas del conflicto armado y postconflicto</v>
          </cell>
        </row>
        <row r="134">
          <cell r="C134" t="str">
            <v>3704</v>
          </cell>
          <cell r="D134" t="str">
            <v>Participación ciudadana, política y diversidad de creencias</v>
          </cell>
        </row>
        <row r="135">
          <cell r="C135" t="str">
            <v>3705</v>
          </cell>
          <cell r="D135" t="str">
            <v>Protección de personas, grupos y comunidades en riesgo extraordinario y extremo Unidad Nacional de Protección (UNP)</v>
          </cell>
        </row>
        <row r="136">
          <cell r="C136" t="str">
            <v>3706</v>
          </cell>
          <cell r="D136" t="str">
            <v>Protección, promoción y difusión del derecho de autor y los derechos conexos</v>
          </cell>
        </row>
        <row r="137">
          <cell r="C137" t="str">
            <v>3707</v>
          </cell>
          <cell r="D137" t="str">
            <v>Gestión del riesgo de desastres naturales y antrópicos en la zona de influencia del volcán Nevado del Huila</v>
          </cell>
        </row>
        <row r="138">
          <cell r="C138" t="str">
            <v>3708</v>
          </cell>
          <cell r="D138" t="str">
            <v>Fortalecimiento institucional y operativo de los Bomberos de Colombia</v>
          </cell>
        </row>
        <row r="139">
          <cell r="C139" t="str">
            <v>3799</v>
          </cell>
          <cell r="D139" t="str">
            <v>Fortalecimiento de la gestión y dirección del sector Interior</v>
          </cell>
        </row>
        <row r="140">
          <cell r="C140" t="str">
            <v>3901</v>
          </cell>
          <cell r="D140" t="str">
            <v xml:space="preserve">Consolidación de una institucionalidad habilitante para la Ciencia Tecnología e Innovación (CTeI) </v>
          </cell>
        </row>
        <row r="141">
          <cell r="C141" t="str">
            <v>3902</v>
          </cell>
          <cell r="D141" t="str">
            <v>Investigación con calidad e impacto</v>
          </cell>
        </row>
        <row r="142">
          <cell r="C142" t="str">
            <v>3903</v>
          </cell>
          <cell r="D142" t="str">
            <v>Desarrollo tecnológico e innovación para crecimiento empresarial</v>
          </cell>
        </row>
        <row r="143">
          <cell r="C143" t="str">
            <v>3904</v>
          </cell>
          <cell r="D143" t="str">
            <v>Generación de una cultura que valora y gestiona el conocimiento y la innovación</v>
          </cell>
        </row>
        <row r="144">
          <cell r="C144" t="str">
            <v>3999</v>
          </cell>
          <cell r="D144" t="str">
            <v xml:space="preserve">Fortalecimiento de la gestión y dirección del sector Ciencia, Tecnología e Innovación </v>
          </cell>
        </row>
        <row r="145">
          <cell r="C145" t="str">
            <v>4001</v>
          </cell>
          <cell r="D145" t="str">
            <v>Acceso a soluciones de vivienda</v>
          </cell>
        </row>
        <row r="146">
          <cell r="C146" t="str">
            <v>4002</v>
          </cell>
          <cell r="D146" t="str">
            <v>Ordenamiento territorial y desarrollo urbano</v>
          </cell>
        </row>
        <row r="147">
          <cell r="C147" t="str">
            <v>4003</v>
          </cell>
          <cell r="D147" t="str">
            <v>Acceso de la población a los servicios de agua potable y saneamiento básico</v>
          </cell>
        </row>
        <row r="148">
          <cell r="C148" t="str">
            <v>4099</v>
          </cell>
          <cell r="D148" t="str">
            <v>Fortalecimiento de la gestión y dirección del sector Vivienda, Ciudad y Territorio</v>
          </cell>
        </row>
        <row r="149">
          <cell r="C149" t="str">
            <v>4101</v>
          </cell>
          <cell r="D149" t="str">
            <v>Atención, asistencia  y reparación integral a las víctimas</v>
          </cell>
        </row>
        <row r="150">
          <cell r="C150" t="str">
            <v>4102</v>
          </cell>
          <cell r="D150" t="str">
            <v>Desarrollo integral de la primera infancia a la juventud, y fortalecimiento de las capacidades de las familias de niñas, niños y adolescentes</v>
          </cell>
        </row>
        <row r="151">
          <cell r="C151" t="str">
            <v>4103</v>
          </cell>
          <cell r="D151" t="str">
            <v>Inclusión social y productiva para la población en situación de vulnerabilidad</v>
          </cell>
        </row>
        <row r="152">
          <cell r="C152" t="str">
            <v>4104</v>
          </cell>
          <cell r="D152" t="str">
            <v>Atención integral de población en situación permanente de desprotección social y/o familiar</v>
          </cell>
        </row>
        <row r="153">
          <cell r="C153" t="str">
            <v>4199</v>
          </cell>
          <cell r="D153" t="str">
            <v xml:space="preserve">Fortalecimiento de la gestión y dirección del sector Inclusión Social y Reconciliación </v>
          </cell>
        </row>
        <row r="154">
          <cell r="C154" t="str">
            <v>4201</v>
          </cell>
          <cell r="D154" t="str">
            <v>Desarrollo de Inteligencia estratégica y contrainteligencia de Estado</v>
          </cell>
        </row>
        <row r="155">
          <cell r="C155" t="str">
            <v>4299</v>
          </cell>
          <cell r="D155" t="str">
            <v>Fortalecimiento de la gestión y dirección del sector Inteligencia</v>
          </cell>
        </row>
        <row r="156">
          <cell r="C156" t="str">
            <v>4301</v>
          </cell>
          <cell r="D156" t="str">
            <v>Fomento a la recreación, la actividad física y el deporte</v>
          </cell>
        </row>
        <row r="157">
          <cell r="C157" t="str">
            <v>4302</v>
          </cell>
          <cell r="D157" t="str">
            <v>Formación y preparación de deportistas</v>
          </cell>
        </row>
        <row r="158">
          <cell r="C158" t="str">
            <v>4399</v>
          </cell>
          <cell r="D158" t="str">
            <v xml:space="preserve">Fortalecimiento de la gestión y dirección del sector Deporte y Recreación </v>
          </cell>
        </row>
        <row r="159">
          <cell r="C159" t="str">
            <v>4401</v>
          </cell>
          <cell r="D159" t="str">
            <v>Jurisdicción especial para la paz</v>
          </cell>
        </row>
        <row r="160">
          <cell r="C160" t="str">
            <v>4402</v>
          </cell>
          <cell r="D160" t="str">
            <v xml:space="preserve">Esclarecimiento de la verdad, la convivencia y la no repetición.
</v>
          </cell>
        </row>
        <row r="161">
          <cell r="C161" t="str">
            <v>4403</v>
          </cell>
          <cell r="D161" t="str">
            <v xml:space="preserve">Búsqueda humanitaria de personas dadas por desaparecidas en el contexto y en razón del conflicto armado en Colombia
</v>
          </cell>
        </row>
        <row r="162">
          <cell r="C162" t="str">
            <v>4499</v>
          </cell>
          <cell r="D162" t="str">
            <v>Fortalecimiento de la gestión y dirección del sector Justicia Especial para la Paz</v>
          </cell>
        </row>
        <row r="163">
          <cell r="C163" t="str">
            <v>4501</v>
          </cell>
          <cell r="D163" t="str">
            <v>Fortalecimiento de la convivencia y la seguridad ciudadana</v>
          </cell>
        </row>
        <row r="164">
          <cell r="C164" t="str">
            <v>4502</v>
          </cell>
          <cell r="D164" t="str">
            <v>Fortalecimiento del buen gobierno para el respeto y garantía de los derechos humanos</v>
          </cell>
        </row>
        <row r="165">
          <cell r="C165" t="str">
            <v>4503</v>
          </cell>
          <cell r="D165" t="str">
            <v>Gestión del riesgo de desastres y emergencias</v>
          </cell>
        </row>
        <row r="166">
          <cell r="C166" t="str">
            <v>4599</v>
          </cell>
          <cell r="D166" t="str">
            <v>Fortalecimiento a la gestión y dirección de la administración pública territorial</v>
          </cell>
        </row>
      </sheetData>
      <sheetData sheetId="1"/>
      <sheetData sheetId="2"/>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82"/>
  <sheetViews>
    <sheetView tabSelected="1" topLeftCell="O1" zoomScale="70" zoomScaleNormal="70" workbookViewId="0">
      <pane ySplit="2" topLeftCell="A3" activePane="bottomLeft" state="frozen"/>
      <selection activeCell="Q2" sqref="Q2"/>
      <selection pane="bottomLeft" activeCell="A20" sqref="A20"/>
    </sheetView>
  </sheetViews>
  <sheetFormatPr baseColWidth="10" defaultColWidth="11.54296875" defaultRowHeight="14.5" x14ac:dyDescent="0.35"/>
  <cols>
    <col min="1" max="1" width="61.1796875" customWidth="1"/>
    <col min="2" max="2" width="11.54296875" customWidth="1"/>
    <col min="3" max="3" width="30.1796875" customWidth="1"/>
    <col min="4" max="4" width="19.7265625" customWidth="1"/>
    <col min="5" max="5" width="80.453125" customWidth="1"/>
    <col min="6" max="7" width="23.7265625" customWidth="1"/>
    <col min="8" max="8" width="13.81640625" customWidth="1"/>
    <col min="9" max="9" width="15.1796875" customWidth="1"/>
    <col min="10" max="10" width="14.7265625" customWidth="1"/>
    <col min="11" max="11" width="11.54296875" customWidth="1"/>
    <col min="12" max="12" width="46.54296875" customWidth="1"/>
    <col min="13" max="13" width="29.54296875" customWidth="1"/>
    <col min="14" max="14" width="22.26953125" customWidth="1"/>
    <col min="15" max="15" width="15.1796875" customWidth="1"/>
    <col min="16" max="16" width="39.26953125" customWidth="1"/>
    <col min="17" max="17" width="24.1796875" customWidth="1"/>
    <col min="18" max="18" width="27.54296875" customWidth="1"/>
    <col min="19" max="19" width="13.54296875" customWidth="1"/>
    <col min="20" max="20" width="22.81640625" customWidth="1"/>
    <col min="21" max="21" width="11.54296875" customWidth="1"/>
    <col min="22" max="22" width="11.54296875" style="3" customWidth="1"/>
    <col min="23" max="23" width="41.7265625" customWidth="1"/>
    <col min="24" max="28" width="10.7265625" style="4" customWidth="1"/>
    <col min="29" max="29" width="12" style="4" customWidth="1"/>
    <col min="30" max="43" width="16.7265625" customWidth="1"/>
    <col min="44" max="44" width="16.7265625" style="2" customWidth="1"/>
    <col min="45" max="53" width="16.7265625" customWidth="1"/>
    <col min="54" max="54" width="16.7265625" style="2" customWidth="1"/>
    <col min="55" max="63" width="16.7265625" customWidth="1"/>
    <col min="64" max="64" width="17.81640625" customWidth="1"/>
    <col min="65" max="65" width="16.26953125" bestFit="1" customWidth="1"/>
  </cols>
  <sheetData>
    <row r="1" spans="1:64" s="1" customFormat="1" ht="81" customHeight="1" thickBot="1" x14ac:dyDescent="0.4">
      <c r="A1" s="23" t="s">
        <v>315</v>
      </c>
      <c r="B1" s="21" t="s">
        <v>0</v>
      </c>
      <c r="C1" s="21" t="s">
        <v>1</v>
      </c>
      <c r="D1" s="26" t="s">
        <v>316</v>
      </c>
      <c r="E1" s="27"/>
      <c r="F1" s="27"/>
      <c r="G1" s="27"/>
      <c r="H1" s="27"/>
      <c r="I1" s="27"/>
      <c r="J1" s="28"/>
      <c r="K1" s="21" t="s">
        <v>2</v>
      </c>
      <c r="L1" s="21" t="s">
        <v>3</v>
      </c>
      <c r="M1" s="21" t="s">
        <v>415</v>
      </c>
      <c r="N1" s="21" t="s">
        <v>416</v>
      </c>
      <c r="O1" s="31" t="s">
        <v>4</v>
      </c>
      <c r="P1" s="21" t="s">
        <v>5</v>
      </c>
      <c r="Q1" s="21" t="s">
        <v>6</v>
      </c>
      <c r="R1" s="21" t="s">
        <v>7</v>
      </c>
      <c r="S1" s="21" t="s">
        <v>8</v>
      </c>
      <c r="T1" s="21" t="s">
        <v>9</v>
      </c>
      <c r="U1" s="21" t="s">
        <v>10</v>
      </c>
      <c r="V1" s="21" t="s">
        <v>406</v>
      </c>
      <c r="W1" s="21" t="s">
        <v>11</v>
      </c>
      <c r="X1" s="21" t="s">
        <v>323</v>
      </c>
      <c r="Y1" s="21" t="s">
        <v>322</v>
      </c>
      <c r="Z1" s="21" t="s">
        <v>318</v>
      </c>
      <c r="AA1" s="21" t="s">
        <v>319</v>
      </c>
      <c r="AB1" s="21" t="s">
        <v>320</v>
      </c>
      <c r="AC1" s="21" t="s">
        <v>321</v>
      </c>
      <c r="AD1" s="29" t="s">
        <v>461</v>
      </c>
      <c r="AE1" s="29" t="s">
        <v>474</v>
      </c>
      <c r="AF1" s="29" t="s">
        <v>466</v>
      </c>
      <c r="AG1" s="29" t="s">
        <v>475</v>
      </c>
      <c r="AH1" s="29" t="s">
        <v>476</v>
      </c>
      <c r="AI1" s="29" t="s">
        <v>458</v>
      </c>
      <c r="AJ1" s="29" t="s">
        <v>459</v>
      </c>
      <c r="AK1" s="29" t="s">
        <v>470</v>
      </c>
      <c r="AL1" s="29" t="s">
        <v>478</v>
      </c>
      <c r="AM1" s="29" t="s">
        <v>464</v>
      </c>
      <c r="AN1" s="29" t="s">
        <v>465</v>
      </c>
      <c r="AO1" s="29" t="s">
        <v>463</v>
      </c>
      <c r="AP1" s="29" t="s">
        <v>460</v>
      </c>
      <c r="AQ1" s="29" t="s">
        <v>454</v>
      </c>
      <c r="AR1" s="29" t="s">
        <v>477</v>
      </c>
      <c r="AS1" s="29" t="s">
        <v>449</v>
      </c>
      <c r="AT1" s="29" t="s">
        <v>467</v>
      </c>
      <c r="AU1" s="29" t="s">
        <v>468</v>
      </c>
      <c r="AV1" s="29" t="s">
        <v>456</v>
      </c>
      <c r="AW1" s="29" t="s">
        <v>455</v>
      </c>
      <c r="AX1" s="29" t="s">
        <v>457</v>
      </c>
      <c r="AY1" s="29" t="s">
        <v>462</v>
      </c>
      <c r="AZ1" s="29" t="s">
        <v>472</v>
      </c>
      <c r="BA1" s="29" t="s">
        <v>469</v>
      </c>
      <c r="BB1" s="29" t="s">
        <v>445</v>
      </c>
      <c r="BC1" s="29" t="s">
        <v>446</v>
      </c>
      <c r="BD1" s="29" t="s">
        <v>447</v>
      </c>
      <c r="BE1" s="29" t="s">
        <v>448</v>
      </c>
      <c r="BF1" s="29" t="s">
        <v>450</v>
      </c>
      <c r="BG1" s="29" t="s">
        <v>471</v>
      </c>
      <c r="BH1" s="29" t="s">
        <v>473</v>
      </c>
      <c r="BI1" s="29" t="s">
        <v>451</v>
      </c>
      <c r="BJ1" s="29" t="s">
        <v>452</v>
      </c>
      <c r="BK1" s="29" t="s">
        <v>453</v>
      </c>
    </row>
    <row r="2" spans="1:64" s="1" customFormat="1" ht="55" hidden="1" customHeight="1" thickBot="1" x14ac:dyDescent="0.4">
      <c r="A2" s="24"/>
      <c r="B2" s="25"/>
      <c r="C2" s="25"/>
      <c r="D2" s="5" t="s">
        <v>317</v>
      </c>
      <c r="E2" s="5" t="s">
        <v>316</v>
      </c>
      <c r="F2" s="5" t="s">
        <v>10</v>
      </c>
      <c r="G2" s="6" t="s">
        <v>387</v>
      </c>
      <c r="H2" s="6" t="s">
        <v>388</v>
      </c>
      <c r="I2" s="6" t="s">
        <v>389</v>
      </c>
      <c r="J2" s="6" t="s">
        <v>407</v>
      </c>
      <c r="K2" s="25"/>
      <c r="L2" s="25"/>
      <c r="M2" s="22"/>
      <c r="N2" s="22"/>
      <c r="O2" s="32"/>
      <c r="P2" s="25"/>
      <c r="Q2" s="25"/>
      <c r="R2" s="25"/>
      <c r="S2" s="25"/>
      <c r="T2" s="25"/>
      <c r="U2" s="25"/>
      <c r="V2" s="25"/>
      <c r="W2" s="25"/>
      <c r="X2" s="25"/>
      <c r="Y2" s="25"/>
      <c r="Z2" s="25"/>
      <c r="AA2" s="25"/>
      <c r="AB2" s="25"/>
      <c r="AC2" s="25"/>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row>
    <row r="3" spans="1:64" ht="15" customHeight="1" x14ac:dyDescent="0.35">
      <c r="A3" s="9" t="s">
        <v>368</v>
      </c>
      <c r="B3" s="9">
        <v>41</v>
      </c>
      <c r="C3" s="9" t="s">
        <v>12</v>
      </c>
      <c r="D3" s="9">
        <v>260020004</v>
      </c>
      <c r="E3" s="9" t="s">
        <v>348</v>
      </c>
      <c r="F3" s="9" t="s">
        <v>14</v>
      </c>
      <c r="G3" s="9" t="s">
        <v>391</v>
      </c>
      <c r="H3" s="14">
        <v>0</v>
      </c>
      <c r="I3" s="15">
        <v>2022</v>
      </c>
      <c r="J3" s="15">
        <v>4</v>
      </c>
      <c r="K3" s="15">
        <v>4101</v>
      </c>
      <c r="L3" s="9" t="s">
        <v>17</v>
      </c>
      <c r="M3" s="9" t="s">
        <v>428</v>
      </c>
      <c r="N3" s="17">
        <v>2025050360004</v>
      </c>
      <c r="O3" s="15">
        <v>4101011</v>
      </c>
      <c r="P3" s="9" t="s">
        <v>18</v>
      </c>
      <c r="Q3" s="9" t="s">
        <v>19</v>
      </c>
      <c r="R3" s="9" t="s">
        <v>20</v>
      </c>
      <c r="S3" s="15">
        <v>410101100</v>
      </c>
      <c r="T3" s="9" t="s">
        <v>21</v>
      </c>
      <c r="U3" s="9" t="s">
        <v>14</v>
      </c>
      <c r="V3" s="15">
        <v>16.600000000000001</v>
      </c>
      <c r="W3" s="9" t="s">
        <v>15</v>
      </c>
      <c r="X3" s="11">
        <v>1</v>
      </c>
      <c r="Y3" s="11">
        <v>4</v>
      </c>
      <c r="Z3" s="11">
        <v>1</v>
      </c>
      <c r="AA3" s="11">
        <v>1</v>
      </c>
      <c r="AB3" s="11">
        <v>1</v>
      </c>
      <c r="AC3" s="11">
        <v>1</v>
      </c>
      <c r="AD3" s="12"/>
      <c r="AE3" s="12"/>
      <c r="AF3" s="12"/>
      <c r="AG3" s="12"/>
      <c r="AH3" s="12"/>
      <c r="AI3" s="12"/>
      <c r="AJ3" s="12"/>
      <c r="AK3" s="12"/>
      <c r="AL3" s="12"/>
      <c r="AM3" s="12"/>
      <c r="AN3" s="12"/>
      <c r="AO3" s="12"/>
      <c r="AP3" s="12"/>
      <c r="AQ3" s="12"/>
      <c r="AR3" s="12"/>
      <c r="AS3" s="12"/>
      <c r="AT3" s="12"/>
      <c r="AU3" s="12"/>
      <c r="AV3" s="12"/>
      <c r="AW3" s="12"/>
      <c r="AX3" s="12"/>
      <c r="AY3" s="12"/>
      <c r="AZ3" s="12"/>
      <c r="BA3" s="14">
        <v>1000000.24</v>
      </c>
      <c r="BB3" s="12"/>
      <c r="BC3" s="12"/>
      <c r="BD3" s="12"/>
      <c r="BE3" s="12"/>
      <c r="BF3" s="12"/>
      <c r="BG3" s="12"/>
      <c r="BH3" s="12"/>
      <c r="BI3" s="12"/>
      <c r="BJ3" s="12"/>
      <c r="BK3" s="12"/>
      <c r="BL3" s="7"/>
    </row>
    <row r="4" spans="1:64" ht="15" customHeight="1" x14ac:dyDescent="0.35">
      <c r="A4" s="9" t="s">
        <v>368</v>
      </c>
      <c r="B4" s="9">
        <v>41</v>
      </c>
      <c r="C4" s="9" t="s">
        <v>12</v>
      </c>
      <c r="D4" s="9">
        <v>260020010</v>
      </c>
      <c r="E4" s="9" t="s">
        <v>349</v>
      </c>
      <c r="F4" s="9" t="s">
        <v>408</v>
      </c>
      <c r="G4" s="9" t="s">
        <v>413</v>
      </c>
      <c r="H4" s="14" t="s">
        <v>412</v>
      </c>
      <c r="I4" s="15" t="s">
        <v>412</v>
      </c>
      <c r="J4" s="15">
        <v>20</v>
      </c>
      <c r="K4" s="15">
        <v>4101</v>
      </c>
      <c r="L4" s="9" t="s">
        <v>17</v>
      </c>
      <c r="M4" s="9" t="s">
        <v>428</v>
      </c>
      <c r="N4" s="17">
        <v>2025050360004</v>
      </c>
      <c r="O4" s="15">
        <v>4101023</v>
      </c>
      <c r="P4" s="9" t="s">
        <v>22</v>
      </c>
      <c r="Q4" s="9" t="s">
        <v>23</v>
      </c>
      <c r="R4" s="9" t="s">
        <v>24</v>
      </c>
      <c r="S4" s="15">
        <v>410102300</v>
      </c>
      <c r="T4" s="9" t="s">
        <v>25</v>
      </c>
      <c r="U4" s="9" t="s">
        <v>14</v>
      </c>
      <c r="V4" s="15">
        <v>16.3</v>
      </c>
      <c r="W4" s="9" t="s">
        <v>15</v>
      </c>
      <c r="X4" s="11">
        <v>400</v>
      </c>
      <c r="Y4" s="11">
        <v>2000</v>
      </c>
      <c r="Z4" s="11">
        <v>500</v>
      </c>
      <c r="AA4" s="11">
        <v>500</v>
      </c>
      <c r="AB4" s="11">
        <v>500</v>
      </c>
      <c r="AC4" s="11">
        <v>500</v>
      </c>
      <c r="AD4" s="12"/>
      <c r="AE4" s="12"/>
      <c r="AF4" s="12"/>
      <c r="AG4" s="12"/>
      <c r="AH4" s="12"/>
      <c r="AI4" s="12"/>
      <c r="AJ4" s="12"/>
      <c r="AK4" s="12"/>
      <c r="AL4" s="12"/>
      <c r="AM4" s="12"/>
      <c r="AN4" s="12"/>
      <c r="AO4" s="12"/>
      <c r="AP4" s="12"/>
      <c r="AQ4" s="12"/>
      <c r="AR4" s="12"/>
      <c r="AS4" s="12"/>
      <c r="AT4" s="12"/>
      <c r="AU4" s="12"/>
      <c r="AV4" s="12"/>
      <c r="AW4" s="12"/>
      <c r="AX4" s="12"/>
      <c r="AY4" s="12"/>
      <c r="AZ4" s="12"/>
      <c r="BA4" s="12"/>
      <c r="BB4" s="14">
        <v>25987500</v>
      </c>
      <c r="BC4" s="12"/>
      <c r="BD4" s="12"/>
      <c r="BE4" s="12"/>
      <c r="BF4" s="12"/>
      <c r="BG4" s="12"/>
      <c r="BH4" s="12"/>
      <c r="BI4" s="12"/>
      <c r="BJ4" s="12"/>
      <c r="BK4" s="12"/>
      <c r="BL4" s="7"/>
    </row>
    <row r="5" spans="1:64" ht="15" customHeight="1" x14ac:dyDescent="0.35">
      <c r="A5" s="9" t="s">
        <v>368</v>
      </c>
      <c r="B5" s="9">
        <v>41</v>
      </c>
      <c r="C5" s="9" t="s">
        <v>12</v>
      </c>
      <c r="D5" s="9">
        <v>260020010</v>
      </c>
      <c r="E5" s="9" t="s">
        <v>349</v>
      </c>
      <c r="F5" s="9" t="s">
        <v>408</v>
      </c>
      <c r="G5" s="9" t="s">
        <v>413</v>
      </c>
      <c r="H5" s="14" t="s">
        <v>412</v>
      </c>
      <c r="I5" s="15" t="s">
        <v>412</v>
      </c>
      <c r="J5" s="15">
        <v>20</v>
      </c>
      <c r="K5" s="15">
        <v>4101</v>
      </c>
      <c r="L5" s="9" t="s">
        <v>17</v>
      </c>
      <c r="M5" s="9" t="s">
        <v>428</v>
      </c>
      <c r="N5" s="17">
        <v>2025050360004</v>
      </c>
      <c r="O5" s="15">
        <v>4101025</v>
      </c>
      <c r="P5" s="9" t="s">
        <v>26</v>
      </c>
      <c r="Q5" s="9" t="s">
        <v>27</v>
      </c>
      <c r="R5" s="9" t="s">
        <v>28</v>
      </c>
      <c r="S5" s="15">
        <v>410102500</v>
      </c>
      <c r="T5" s="9" t="s">
        <v>29</v>
      </c>
      <c r="U5" s="9" t="s">
        <v>14</v>
      </c>
      <c r="V5" s="15">
        <v>16.3</v>
      </c>
      <c r="W5" s="9" t="s">
        <v>15</v>
      </c>
      <c r="X5" s="11">
        <v>20</v>
      </c>
      <c r="Y5" s="11">
        <v>80</v>
      </c>
      <c r="Z5" s="11">
        <v>20</v>
      </c>
      <c r="AA5" s="11">
        <v>20</v>
      </c>
      <c r="AB5" s="11">
        <v>20</v>
      </c>
      <c r="AC5" s="11">
        <v>20</v>
      </c>
      <c r="AD5" s="12"/>
      <c r="AE5" s="12"/>
      <c r="AF5" s="12"/>
      <c r="AG5" s="12"/>
      <c r="AH5" s="12"/>
      <c r="AI5" s="12"/>
      <c r="AJ5" s="12"/>
      <c r="AK5" s="12"/>
      <c r="AL5" s="12"/>
      <c r="AM5" s="12"/>
      <c r="AN5" s="12"/>
      <c r="AO5" s="12"/>
      <c r="AP5" s="12"/>
      <c r="AQ5" s="12"/>
      <c r="AR5" s="12"/>
      <c r="AS5" s="12"/>
      <c r="AT5" s="12"/>
      <c r="AU5" s="12"/>
      <c r="AV5" s="12"/>
      <c r="AW5" s="12"/>
      <c r="AX5" s="12"/>
      <c r="AY5" s="12"/>
      <c r="AZ5" s="12"/>
      <c r="BA5" s="14">
        <v>18000000</v>
      </c>
      <c r="BB5" s="12"/>
      <c r="BC5" s="12"/>
      <c r="BD5" s="12"/>
      <c r="BE5" s="12"/>
      <c r="BF5" s="12"/>
      <c r="BG5" s="12"/>
      <c r="BH5" s="12"/>
      <c r="BI5" s="12"/>
      <c r="BJ5" s="12"/>
      <c r="BK5" s="12"/>
      <c r="BL5" s="7"/>
    </row>
    <row r="6" spans="1:64" ht="15" customHeight="1" x14ac:dyDescent="0.35">
      <c r="A6" s="9" t="s">
        <v>368</v>
      </c>
      <c r="B6" s="9">
        <v>41</v>
      </c>
      <c r="C6" s="9" t="s">
        <v>12</v>
      </c>
      <c r="D6" s="9">
        <v>260020010</v>
      </c>
      <c r="E6" s="9" t="s">
        <v>349</v>
      </c>
      <c r="F6" s="9" t="s">
        <v>408</v>
      </c>
      <c r="G6" s="9" t="s">
        <v>413</v>
      </c>
      <c r="H6" s="14" t="s">
        <v>412</v>
      </c>
      <c r="I6" s="15" t="s">
        <v>412</v>
      </c>
      <c r="J6" s="15">
        <v>20</v>
      </c>
      <c r="K6" s="15">
        <v>4101</v>
      </c>
      <c r="L6" s="9" t="s">
        <v>17</v>
      </c>
      <c r="M6" s="9" t="s">
        <v>428</v>
      </c>
      <c r="N6" s="17">
        <v>2025050360004</v>
      </c>
      <c r="O6" s="15">
        <v>4101038</v>
      </c>
      <c r="P6" s="9" t="s">
        <v>30</v>
      </c>
      <c r="Q6" s="9" t="s">
        <v>31</v>
      </c>
      <c r="R6" s="9" t="s">
        <v>32</v>
      </c>
      <c r="S6" s="15">
        <v>410103800</v>
      </c>
      <c r="T6" s="9" t="s">
        <v>33</v>
      </c>
      <c r="U6" s="9" t="s">
        <v>14</v>
      </c>
      <c r="V6" s="15">
        <v>16.3</v>
      </c>
      <c r="W6" s="9" t="s">
        <v>15</v>
      </c>
      <c r="X6" s="11">
        <v>2</v>
      </c>
      <c r="Y6" s="11">
        <v>4</v>
      </c>
      <c r="Z6" s="11">
        <v>1</v>
      </c>
      <c r="AA6" s="11">
        <v>1</v>
      </c>
      <c r="AB6" s="11">
        <v>1</v>
      </c>
      <c r="AC6" s="11">
        <v>1</v>
      </c>
      <c r="AD6" s="12"/>
      <c r="AE6" s="12"/>
      <c r="AF6" s="12"/>
      <c r="AG6" s="12"/>
      <c r="AH6" s="12"/>
      <c r="AI6" s="12"/>
      <c r="AJ6" s="12"/>
      <c r="AK6" s="12"/>
      <c r="AL6" s="12"/>
      <c r="AM6" s="12"/>
      <c r="AN6" s="12"/>
      <c r="AO6" s="12"/>
      <c r="AP6" s="12"/>
      <c r="AQ6" s="12"/>
      <c r="AR6" s="12"/>
      <c r="AS6" s="12"/>
      <c r="AT6" s="12"/>
      <c r="AU6" s="12"/>
      <c r="AV6" s="12"/>
      <c r="AW6" s="12"/>
      <c r="AX6" s="12"/>
      <c r="AY6" s="12"/>
      <c r="AZ6" s="12"/>
      <c r="BA6" s="14">
        <v>12000000</v>
      </c>
      <c r="BB6" s="12"/>
      <c r="BC6" s="12"/>
      <c r="BD6" s="12"/>
      <c r="BE6" s="12"/>
      <c r="BF6" s="12"/>
      <c r="BG6" s="12"/>
      <c r="BH6" s="12"/>
      <c r="BI6" s="12"/>
      <c r="BJ6" s="12"/>
      <c r="BK6" s="12"/>
      <c r="BL6" s="7"/>
    </row>
    <row r="7" spans="1:64" ht="14.5" customHeight="1" x14ac:dyDescent="0.35">
      <c r="A7" s="9" t="s">
        <v>368</v>
      </c>
      <c r="B7" s="9">
        <v>19</v>
      </c>
      <c r="C7" s="9" t="s">
        <v>34</v>
      </c>
      <c r="D7" s="9">
        <v>80030002</v>
      </c>
      <c r="E7" s="9" t="s">
        <v>377</v>
      </c>
      <c r="F7" s="9" t="s">
        <v>354</v>
      </c>
      <c r="G7" s="9" t="s">
        <v>392</v>
      </c>
      <c r="H7" s="14">
        <v>75.596100000000007</v>
      </c>
      <c r="I7" s="15">
        <v>2022</v>
      </c>
      <c r="J7" s="15">
        <v>85</v>
      </c>
      <c r="K7" s="15">
        <v>1903</v>
      </c>
      <c r="L7" s="9" t="s">
        <v>35</v>
      </c>
      <c r="M7" s="19" t="s">
        <v>438</v>
      </c>
      <c r="N7" s="17">
        <v>2025050360034</v>
      </c>
      <c r="O7" s="15">
        <v>1903023</v>
      </c>
      <c r="P7" s="9" t="s">
        <v>36</v>
      </c>
      <c r="Q7" s="9" t="s">
        <v>37</v>
      </c>
      <c r="R7" s="9" t="s">
        <v>38</v>
      </c>
      <c r="S7" s="15">
        <v>190302300</v>
      </c>
      <c r="T7" s="9" t="s">
        <v>39</v>
      </c>
      <c r="U7" s="9" t="s">
        <v>14</v>
      </c>
      <c r="V7" s="15">
        <v>3.4</v>
      </c>
      <c r="W7" s="9" t="s">
        <v>386</v>
      </c>
      <c r="X7" s="11">
        <v>12</v>
      </c>
      <c r="Y7" s="11">
        <v>12</v>
      </c>
      <c r="Z7" s="11">
        <v>3</v>
      </c>
      <c r="AA7" s="11">
        <v>3</v>
      </c>
      <c r="AB7" s="11">
        <v>3</v>
      </c>
      <c r="AC7" s="11">
        <v>3</v>
      </c>
      <c r="AD7" s="12"/>
      <c r="AE7" s="12"/>
      <c r="AF7" s="12"/>
      <c r="AG7" s="12"/>
      <c r="AH7" s="12"/>
      <c r="AI7" s="12"/>
      <c r="AJ7" s="12"/>
      <c r="AK7" s="12"/>
      <c r="AL7" s="12"/>
      <c r="AM7" s="12"/>
      <c r="AN7" s="12"/>
      <c r="AO7" s="12"/>
      <c r="AP7" s="12"/>
      <c r="AQ7" s="12"/>
      <c r="AR7" s="12"/>
      <c r="AS7" s="12"/>
      <c r="AT7" s="12"/>
      <c r="AU7" s="12"/>
      <c r="AV7" s="12"/>
      <c r="AW7" s="12"/>
      <c r="AX7" s="12"/>
      <c r="AY7" s="12"/>
      <c r="AZ7" s="12"/>
      <c r="BA7" s="12"/>
      <c r="BB7" s="12">
        <v>67666662</v>
      </c>
      <c r="BC7" s="12">
        <v>76824989</v>
      </c>
      <c r="BD7" s="12"/>
      <c r="BE7" s="12"/>
      <c r="BF7" s="12"/>
      <c r="BG7" s="12"/>
      <c r="BH7" s="12"/>
      <c r="BI7" s="12"/>
      <c r="BJ7" s="12"/>
      <c r="BK7" s="12"/>
      <c r="BL7" s="7"/>
    </row>
    <row r="8" spans="1:64" ht="15" customHeight="1" x14ac:dyDescent="0.35">
      <c r="A8" s="9" t="s">
        <v>368</v>
      </c>
      <c r="B8" s="9">
        <v>22</v>
      </c>
      <c r="C8" s="9" t="s">
        <v>63</v>
      </c>
      <c r="D8" s="9">
        <v>40010006</v>
      </c>
      <c r="E8" s="9" t="s">
        <v>340</v>
      </c>
      <c r="F8" s="9" t="s">
        <v>342</v>
      </c>
      <c r="G8" s="9" t="s">
        <v>393</v>
      </c>
      <c r="H8" s="14">
        <v>101.0859</v>
      </c>
      <c r="I8" s="15">
        <v>2022</v>
      </c>
      <c r="J8" s="15">
        <v>101</v>
      </c>
      <c r="K8" s="15">
        <v>2201</v>
      </c>
      <c r="L8" s="9" t="s">
        <v>64</v>
      </c>
      <c r="M8" s="9" t="s">
        <v>427</v>
      </c>
      <c r="N8" s="17">
        <v>2025050360005</v>
      </c>
      <c r="O8" s="15">
        <v>2201003</v>
      </c>
      <c r="P8" s="9" t="s">
        <v>65</v>
      </c>
      <c r="Q8" s="9" t="s">
        <v>66</v>
      </c>
      <c r="R8" s="9" t="s">
        <v>28</v>
      </c>
      <c r="S8" s="15">
        <v>220100300</v>
      </c>
      <c r="T8" s="9" t="s">
        <v>67</v>
      </c>
      <c r="U8" s="9" t="s">
        <v>14</v>
      </c>
      <c r="V8" s="15">
        <v>4.0999999999999996</v>
      </c>
      <c r="W8" s="9" t="s">
        <v>386</v>
      </c>
      <c r="X8" s="11">
        <v>28</v>
      </c>
      <c r="Y8" s="11">
        <v>60</v>
      </c>
      <c r="Z8" s="11">
        <v>15</v>
      </c>
      <c r="AA8" s="11">
        <v>15</v>
      </c>
      <c r="AB8" s="11">
        <v>15</v>
      </c>
      <c r="AC8" s="11">
        <v>15</v>
      </c>
      <c r="AD8" s="12"/>
      <c r="AE8" s="12"/>
      <c r="AF8" s="12"/>
      <c r="AG8" s="12"/>
      <c r="AH8" s="12"/>
      <c r="AI8" s="12"/>
      <c r="AJ8" s="12"/>
      <c r="AK8" s="12"/>
      <c r="AL8" s="12"/>
      <c r="AM8" s="12"/>
      <c r="AN8" s="12"/>
      <c r="AO8" s="12"/>
      <c r="AP8" s="12"/>
      <c r="AQ8" s="12"/>
      <c r="AR8" s="12"/>
      <c r="AS8" s="12"/>
      <c r="AT8" s="12"/>
      <c r="AU8" s="12"/>
      <c r="AV8" s="12"/>
      <c r="AW8" s="14">
        <v>45045000</v>
      </c>
      <c r="AX8" s="14"/>
      <c r="AY8" s="12"/>
      <c r="AZ8" s="12"/>
      <c r="BA8" s="12"/>
      <c r="BB8" s="12"/>
      <c r="BC8" s="12"/>
      <c r="BD8" s="12"/>
      <c r="BE8" s="12"/>
      <c r="BF8" s="12"/>
      <c r="BG8" s="12"/>
      <c r="BH8" s="12"/>
      <c r="BI8" s="12"/>
      <c r="BJ8" s="12"/>
      <c r="BK8" s="12"/>
      <c r="BL8" s="7"/>
    </row>
    <row r="9" spans="1:64" ht="15" customHeight="1" x14ac:dyDescent="0.35">
      <c r="A9" s="9" t="s">
        <v>368</v>
      </c>
      <c r="B9" s="9">
        <v>22</v>
      </c>
      <c r="C9" s="9" t="s">
        <v>63</v>
      </c>
      <c r="D9" s="9">
        <v>40010006</v>
      </c>
      <c r="E9" s="9" t="s">
        <v>340</v>
      </c>
      <c r="F9" s="9" t="s">
        <v>342</v>
      </c>
      <c r="G9" s="9" t="s">
        <v>393</v>
      </c>
      <c r="H9" s="14">
        <v>101.0859</v>
      </c>
      <c r="I9" s="15">
        <v>2022</v>
      </c>
      <c r="J9" s="15">
        <v>101</v>
      </c>
      <c r="K9" s="15">
        <v>2201</v>
      </c>
      <c r="L9" s="9" t="s">
        <v>64</v>
      </c>
      <c r="M9" s="9" t="s">
        <v>427</v>
      </c>
      <c r="N9" s="17">
        <v>2025050360005</v>
      </c>
      <c r="O9" s="15">
        <v>2201006</v>
      </c>
      <c r="P9" s="9" t="s">
        <v>68</v>
      </c>
      <c r="Q9" s="9" t="s">
        <v>69</v>
      </c>
      <c r="R9" s="9" t="s">
        <v>70</v>
      </c>
      <c r="S9" s="15">
        <v>220100602</v>
      </c>
      <c r="T9" s="9" t="s">
        <v>71</v>
      </c>
      <c r="U9" s="9" t="s">
        <v>14</v>
      </c>
      <c r="V9" s="15">
        <v>4.0999999999999996</v>
      </c>
      <c r="W9" s="9" t="s">
        <v>386</v>
      </c>
      <c r="X9" s="11">
        <v>4</v>
      </c>
      <c r="Y9" s="11">
        <v>8</v>
      </c>
      <c r="Z9" s="11">
        <v>2</v>
      </c>
      <c r="AA9" s="11">
        <v>2</v>
      </c>
      <c r="AB9" s="11">
        <v>2</v>
      </c>
      <c r="AC9" s="11">
        <v>2</v>
      </c>
      <c r="AD9" s="12"/>
      <c r="AE9" s="12"/>
      <c r="AF9" s="12"/>
      <c r="AG9" s="12"/>
      <c r="AH9" s="12"/>
      <c r="AI9" s="12"/>
      <c r="AJ9" s="12"/>
      <c r="AK9" s="12"/>
      <c r="AL9" s="12"/>
      <c r="AM9" s="12"/>
      <c r="AN9" s="12"/>
      <c r="AO9" s="12"/>
      <c r="AP9" s="12"/>
      <c r="AQ9" s="12"/>
      <c r="AR9" s="12"/>
      <c r="AS9" s="12"/>
      <c r="AT9" s="12"/>
      <c r="AU9" s="12"/>
      <c r="AV9" s="12">
        <v>90936586</v>
      </c>
      <c r="AW9" s="12">
        <v>21000000</v>
      </c>
      <c r="AX9" s="12"/>
      <c r="AY9" s="12"/>
      <c r="AZ9" s="12"/>
      <c r="BA9" s="12"/>
      <c r="BB9" s="12">
        <v>38000000</v>
      </c>
      <c r="BC9" s="12"/>
      <c r="BD9" s="12"/>
      <c r="BE9" s="12"/>
      <c r="BF9" s="12"/>
      <c r="BG9" s="12"/>
      <c r="BH9" s="12"/>
      <c r="BI9" s="12"/>
      <c r="BJ9" s="12"/>
      <c r="BK9" s="12"/>
      <c r="BL9" s="7"/>
    </row>
    <row r="10" spans="1:64" ht="15" customHeight="1" x14ac:dyDescent="0.35">
      <c r="A10" s="9" t="s">
        <v>368</v>
      </c>
      <c r="B10" s="9">
        <v>22</v>
      </c>
      <c r="C10" s="9" t="s">
        <v>63</v>
      </c>
      <c r="D10" s="9">
        <v>40010006</v>
      </c>
      <c r="E10" s="9" t="s">
        <v>340</v>
      </c>
      <c r="F10" s="9" t="s">
        <v>342</v>
      </c>
      <c r="G10" s="9" t="s">
        <v>393</v>
      </c>
      <c r="H10" s="14">
        <v>101.0859</v>
      </c>
      <c r="I10" s="15">
        <v>2022</v>
      </c>
      <c r="J10" s="15">
        <v>101</v>
      </c>
      <c r="K10" s="15">
        <v>2201</v>
      </c>
      <c r="L10" s="9" t="s">
        <v>64</v>
      </c>
      <c r="M10" s="9" t="s">
        <v>427</v>
      </c>
      <c r="N10" s="17">
        <v>2025050360005</v>
      </c>
      <c r="O10" s="15">
        <v>2201028</v>
      </c>
      <c r="P10" s="9" t="s">
        <v>72</v>
      </c>
      <c r="Q10" s="9" t="s">
        <v>73</v>
      </c>
      <c r="R10" s="9" t="s">
        <v>74</v>
      </c>
      <c r="S10" s="15">
        <v>220102800</v>
      </c>
      <c r="T10" s="9" t="s">
        <v>75</v>
      </c>
      <c r="U10" s="9" t="s">
        <v>14</v>
      </c>
      <c r="V10" s="15">
        <v>4.0999999999999996</v>
      </c>
      <c r="W10" s="9" t="s">
        <v>386</v>
      </c>
      <c r="X10" s="11">
        <v>128350</v>
      </c>
      <c r="Y10" s="11">
        <v>362800</v>
      </c>
      <c r="Z10" s="11">
        <v>85800</v>
      </c>
      <c r="AA10" s="11">
        <v>90000</v>
      </c>
      <c r="AB10" s="11">
        <v>93000</v>
      </c>
      <c r="AC10" s="11">
        <v>94000</v>
      </c>
      <c r="AD10" s="12"/>
      <c r="AE10" s="12"/>
      <c r="AF10" s="12"/>
      <c r="AG10" s="12"/>
      <c r="AH10" s="12"/>
      <c r="AI10" s="12"/>
      <c r="AJ10" s="12"/>
      <c r="AK10" s="12"/>
      <c r="AL10" s="12"/>
      <c r="AM10" s="12"/>
      <c r="AN10" s="12"/>
      <c r="AO10" s="12"/>
      <c r="AP10" s="12"/>
      <c r="AQ10" s="12"/>
      <c r="AR10" s="12"/>
      <c r="AS10" s="12"/>
      <c r="AT10" s="12"/>
      <c r="AU10" s="12"/>
      <c r="AV10" s="12"/>
      <c r="AW10" s="12"/>
      <c r="AX10" s="12">
        <v>33915676</v>
      </c>
      <c r="AY10" s="12"/>
      <c r="AZ10" s="12"/>
      <c r="BA10" s="12"/>
      <c r="BB10" s="12">
        <v>50100000</v>
      </c>
      <c r="BC10" s="12"/>
      <c r="BD10" s="12"/>
      <c r="BE10" s="12"/>
      <c r="BF10" s="12"/>
      <c r="BG10" s="12"/>
      <c r="BH10" s="12"/>
      <c r="BI10" s="12"/>
      <c r="BJ10" s="12"/>
      <c r="BK10" s="12"/>
      <c r="BL10" s="7"/>
    </row>
    <row r="11" spans="1:64" ht="15" customHeight="1" x14ac:dyDescent="0.35">
      <c r="A11" s="9" t="s">
        <v>368</v>
      </c>
      <c r="B11" s="9">
        <v>22</v>
      </c>
      <c r="C11" s="9" t="s">
        <v>63</v>
      </c>
      <c r="D11" s="9">
        <v>40010006</v>
      </c>
      <c r="E11" s="9" t="s">
        <v>340</v>
      </c>
      <c r="F11" s="9" t="s">
        <v>342</v>
      </c>
      <c r="G11" s="9" t="s">
        <v>393</v>
      </c>
      <c r="H11" s="14">
        <v>101.0859</v>
      </c>
      <c r="I11" s="15">
        <v>2022</v>
      </c>
      <c r="J11" s="15">
        <v>101</v>
      </c>
      <c r="K11" s="15">
        <v>2201</v>
      </c>
      <c r="L11" s="9" t="s">
        <v>64</v>
      </c>
      <c r="M11" s="9" t="s">
        <v>427</v>
      </c>
      <c r="N11" s="17">
        <v>2025050360005</v>
      </c>
      <c r="O11" s="15">
        <v>2201029</v>
      </c>
      <c r="P11" s="9" t="s">
        <v>76</v>
      </c>
      <c r="Q11" s="9" t="s">
        <v>77</v>
      </c>
      <c r="R11" s="9" t="s">
        <v>78</v>
      </c>
      <c r="S11" s="15">
        <v>220102900</v>
      </c>
      <c r="T11" s="9" t="s">
        <v>79</v>
      </c>
      <c r="U11" s="9" t="s">
        <v>14</v>
      </c>
      <c r="V11" s="15">
        <v>4.2</v>
      </c>
      <c r="W11" s="9" t="s">
        <v>386</v>
      </c>
      <c r="X11" s="11">
        <v>25</v>
      </c>
      <c r="Y11" s="11">
        <v>122</v>
      </c>
      <c r="Z11" s="11">
        <v>32</v>
      </c>
      <c r="AA11" s="11">
        <v>30</v>
      </c>
      <c r="AB11" s="11">
        <v>30</v>
      </c>
      <c r="AC11" s="11">
        <v>30</v>
      </c>
      <c r="AD11" s="12"/>
      <c r="AE11" s="12"/>
      <c r="AF11" s="12"/>
      <c r="AG11" s="12"/>
      <c r="AH11" s="12"/>
      <c r="AI11" s="12"/>
      <c r="AJ11" s="12"/>
      <c r="AK11" s="12"/>
      <c r="AL11" s="12"/>
      <c r="AM11" s="12"/>
      <c r="AN11" s="12"/>
      <c r="AO11" s="12"/>
      <c r="AP11" s="12"/>
      <c r="AQ11" s="12"/>
      <c r="AR11" s="12"/>
      <c r="AS11" s="12"/>
      <c r="AT11" s="12"/>
      <c r="AU11" s="12"/>
      <c r="AV11" s="12"/>
      <c r="AW11" s="12">
        <v>11249724</v>
      </c>
      <c r="AX11" s="12"/>
      <c r="AY11" s="12"/>
      <c r="AZ11" s="12"/>
      <c r="BA11" s="12"/>
      <c r="BB11" s="12">
        <v>29000000</v>
      </c>
      <c r="BC11" s="12"/>
      <c r="BD11" s="12"/>
      <c r="BE11" s="12"/>
      <c r="BF11" s="12"/>
      <c r="BG11" s="12"/>
      <c r="BH11" s="12"/>
      <c r="BI11" s="12"/>
      <c r="BJ11" s="12"/>
      <c r="BK11" s="12"/>
      <c r="BL11" s="7"/>
    </row>
    <row r="12" spans="1:64" ht="15" customHeight="1" x14ac:dyDescent="0.35">
      <c r="A12" s="9" t="s">
        <v>368</v>
      </c>
      <c r="B12" s="9">
        <v>43</v>
      </c>
      <c r="C12" s="9" t="s">
        <v>94</v>
      </c>
      <c r="D12" s="9">
        <v>270030003</v>
      </c>
      <c r="E12" s="9" t="s">
        <v>357</v>
      </c>
      <c r="F12" s="9" t="s">
        <v>408</v>
      </c>
      <c r="G12" s="9" t="s">
        <v>409</v>
      </c>
      <c r="H12" s="14" t="s">
        <v>412</v>
      </c>
      <c r="I12" s="15" t="s">
        <v>412</v>
      </c>
      <c r="J12" s="15">
        <v>480</v>
      </c>
      <c r="K12" s="15">
        <v>4301</v>
      </c>
      <c r="L12" s="9" t="s">
        <v>95</v>
      </c>
      <c r="M12" s="9" t="s">
        <v>424</v>
      </c>
      <c r="N12" s="17">
        <v>2025050360008</v>
      </c>
      <c r="O12" s="15">
        <v>4301001</v>
      </c>
      <c r="P12" s="9" t="s">
        <v>96</v>
      </c>
      <c r="Q12" s="9" t="s">
        <v>97</v>
      </c>
      <c r="R12" s="9" t="s">
        <v>28</v>
      </c>
      <c r="S12" s="15">
        <v>430100100</v>
      </c>
      <c r="T12" s="9" t="s">
        <v>98</v>
      </c>
      <c r="U12" s="9" t="s">
        <v>14</v>
      </c>
      <c r="V12" s="15">
        <v>3.4</v>
      </c>
      <c r="W12" s="9" t="s">
        <v>386</v>
      </c>
      <c r="X12" s="11">
        <v>3420</v>
      </c>
      <c r="Y12" s="11">
        <v>5000</v>
      </c>
      <c r="Z12" s="11">
        <v>1250</v>
      </c>
      <c r="AA12" s="11">
        <v>1250</v>
      </c>
      <c r="AB12" s="11">
        <v>1250</v>
      </c>
      <c r="AC12" s="11">
        <v>1250</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4">
        <v>35227500</v>
      </c>
      <c r="BH12" s="14"/>
      <c r="BI12" s="12"/>
      <c r="BJ12" s="12"/>
      <c r="BK12" s="12"/>
      <c r="BL12" s="7"/>
    </row>
    <row r="13" spans="1:64" ht="15" customHeight="1" x14ac:dyDescent="0.35">
      <c r="A13" s="9" t="s">
        <v>368</v>
      </c>
      <c r="B13" s="9">
        <v>43</v>
      </c>
      <c r="C13" s="9" t="s">
        <v>94</v>
      </c>
      <c r="D13" s="9">
        <v>270030003</v>
      </c>
      <c r="E13" s="9" t="s">
        <v>357</v>
      </c>
      <c r="F13" s="9" t="s">
        <v>408</v>
      </c>
      <c r="G13" s="9" t="s">
        <v>409</v>
      </c>
      <c r="H13" s="14" t="s">
        <v>412</v>
      </c>
      <c r="I13" s="15" t="s">
        <v>412</v>
      </c>
      <c r="J13" s="15">
        <v>480</v>
      </c>
      <c r="K13" s="15">
        <v>4301</v>
      </c>
      <c r="L13" s="9" t="s">
        <v>95</v>
      </c>
      <c r="M13" s="9" t="s">
        <v>424</v>
      </c>
      <c r="N13" s="17">
        <v>2025050360008</v>
      </c>
      <c r="O13" s="15">
        <v>4301007</v>
      </c>
      <c r="P13" s="9" t="s">
        <v>103</v>
      </c>
      <c r="Q13" s="9" t="s">
        <v>104</v>
      </c>
      <c r="R13" s="9" t="s">
        <v>105</v>
      </c>
      <c r="S13" s="15">
        <v>430100700</v>
      </c>
      <c r="T13" s="9" t="s">
        <v>106</v>
      </c>
      <c r="U13" s="9" t="s">
        <v>14</v>
      </c>
      <c r="V13" s="15" t="s">
        <v>301</v>
      </c>
      <c r="W13" s="9" t="s">
        <v>386</v>
      </c>
      <c r="X13" s="11">
        <v>780</v>
      </c>
      <c r="Y13" s="11">
        <v>1200</v>
      </c>
      <c r="Z13" s="11">
        <v>300</v>
      </c>
      <c r="AA13" s="11">
        <v>300</v>
      </c>
      <c r="AB13" s="11">
        <v>300</v>
      </c>
      <c r="AC13" s="11">
        <v>300</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4">
        <v>23677500</v>
      </c>
      <c r="BH13" s="14"/>
      <c r="BI13" s="12"/>
      <c r="BJ13" s="12"/>
      <c r="BK13" s="12"/>
      <c r="BL13" s="7"/>
    </row>
    <row r="14" spans="1:64" ht="15" customHeight="1" x14ac:dyDescent="0.35">
      <c r="A14" s="9" t="s">
        <v>368</v>
      </c>
      <c r="B14" s="9">
        <v>33</v>
      </c>
      <c r="C14" s="9" t="s">
        <v>57</v>
      </c>
      <c r="D14" s="9">
        <v>270030002</v>
      </c>
      <c r="E14" s="9" t="s">
        <v>382</v>
      </c>
      <c r="F14" s="9" t="s">
        <v>231</v>
      </c>
      <c r="G14" s="9" t="s">
        <v>409</v>
      </c>
      <c r="H14" s="14" t="s">
        <v>412</v>
      </c>
      <c r="I14" s="15" t="s">
        <v>412</v>
      </c>
      <c r="J14" s="15">
        <v>80</v>
      </c>
      <c r="K14" s="15">
        <v>3301</v>
      </c>
      <c r="L14" s="9" t="s">
        <v>58</v>
      </c>
      <c r="M14" s="9" t="s">
        <v>419</v>
      </c>
      <c r="N14" s="17">
        <v>2025050360017</v>
      </c>
      <c r="O14" s="15">
        <v>3301054</v>
      </c>
      <c r="P14" s="9" t="s">
        <v>108</v>
      </c>
      <c r="Q14" s="9" t="s">
        <v>109</v>
      </c>
      <c r="R14" s="9" t="s">
        <v>110</v>
      </c>
      <c r="S14" s="15">
        <v>330105400</v>
      </c>
      <c r="T14" s="9" t="s">
        <v>111</v>
      </c>
      <c r="U14" s="9" t="s">
        <v>14</v>
      </c>
      <c r="V14" s="15">
        <v>11.4</v>
      </c>
      <c r="W14" s="9" t="s">
        <v>386</v>
      </c>
      <c r="X14" s="11">
        <v>0</v>
      </c>
      <c r="Y14" s="11">
        <v>3</v>
      </c>
      <c r="Z14" s="11">
        <v>0</v>
      </c>
      <c r="AA14" s="11">
        <v>1</v>
      </c>
      <c r="AB14" s="11">
        <v>1</v>
      </c>
      <c r="AC14" s="11">
        <v>1</v>
      </c>
      <c r="AD14" s="12"/>
      <c r="AE14" s="12"/>
      <c r="AF14" s="12"/>
      <c r="AG14" s="12"/>
      <c r="AH14" s="12"/>
      <c r="AI14" s="12"/>
      <c r="AJ14" s="12"/>
      <c r="AK14" s="12"/>
      <c r="AL14" s="12"/>
      <c r="AM14" s="14">
        <v>5866815.7999999998</v>
      </c>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7"/>
    </row>
    <row r="15" spans="1:64" ht="15" customHeight="1" x14ac:dyDescent="0.35">
      <c r="A15" s="9" t="s">
        <v>368</v>
      </c>
      <c r="B15" s="9">
        <v>43</v>
      </c>
      <c r="C15" s="9" t="s">
        <v>94</v>
      </c>
      <c r="D15" s="9">
        <v>270030003</v>
      </c>
      <c r="E15" s="9" t="s">
        <v>357</v>
      </c>
      <c r="F15" s="9" t="s">
        <v>408</v>
      </c>
      <c r="G15" s="9" t="s">
        <v>409</v>
      </c>
      <c r="H15" s="14" t="s">
        <v>412</v>
      </c>
      <c r="I15" s="15" t="s">
        <v>412</v>
      </c>
      <c r="J15" s="15">
        <v>480</v>
      </c>
      <c r="K15" s="15">
        <v>4301</v>
      </c>
      <c r="L15" s="9" t="s">
        <v>95</v>
      </c>
      <c r="M15" s="9" t="s">
        <v>424</v>
      </c>
      <c r="N15" s="17">
        <v>2025050360008</v>
      </c>
      <c r="O15" s="15">
        <v>4301037</v>
      </c>
      <c r="P15" s="9" t="s">
        <v>184</v>
      </c>
      <c r="Q15" s="9" t="s">
        <v>185</v>
      </c>
      <c r="R15" s="9" t="s">
        <v>28</v>
      </c>
      <c r="S15" s="15">
        <v>430103700</v>
      </c>
      <c r="T15" s="9" t="s">
        <v>186</v>
      </c>
      <c r="U15" s="9" t="s">
        <v>14</v>
      </c>
      <c r="V15" s="15">
        <v>3.4</v>
      </c>
      <c r="W15" s="9" t="s">
        <v>386</v>
      </c>
      <c r="X15" s="11">
        <v>2145</v>
      </c>
      <c r="Y15" s="11">
        <v>3200</v>
      </c>
      <c r="Z15" s="11">
        <v>800</v>
      </c>
      <c r="AA15" s="11">
        <v>800</v>
      </c>
      <c r="AB15" s="11">
        <v>800</v>
      </c>
      <c r="AC15" s="11">
        <v>800</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v>97265896</v>
      </c>
      <c r="BA15" s="12"/>
      <c r="BB15" s="12"/>
      <c r="BC15" s="12"/>
      <c r="BD15" s="12"/>
      <c r="BE15" s="12"/>
      <c r="BF15" s="12"/>
      <c r="BG15" s="12"/>
      <c r="BH15" s="12">
        <v>21511658</v>
      </c>
      <c r="BI15" s="12"/>
      <c r="BJ15" s="12"/>
      <c r="BK15" s="12"/>
      <c r="BL15" s="7"/>
    </row>
    <row r="16" spans="1:64" ht="15" customHeight="1" x14ac:dyDescent="0.35">
      <c r="A16" s="9" t="s">
        <v>368</v>
      </c>
      <c r="B16" s="9">
        <v>22</v>
      </c>
      <c r="C16" s="9" t="s">
        <v>63</v>
      </c>
      <c r="D16" s="9">
        <v>40010006</v>
      </c>
      <c r="E16" s="9" t="s">
        <v>340</v>
      </c>
      <c r="F16" s="9" t="s">
        <v>342</v>
      </c>
      <c r="G16" s="9" t="s">
        <v>393</v>
      </c>
      <c r="H16" s="14">
        <v>101.0859</v>
      </c>
      <c r="I16" s="15">
        <v>2022</v>
      </c>
      <c r="J16" s="15">
        <v>101</v>
      </c>
      <c r="K16" s="15">
        <v>2201</v>
      </c>
      <c r="L16" s="9" t="s">
        <v>64</v>
      </c>
      <c r="M16" s="9" t="s">
        <v>427</v>
      </c>
      <c r="N16" s="17">
        <v>2025050360005</v>
      </c>
      <c r="O16" s="15">
        <v>2201049</v>
      </c>
      <c r="P16" s="9" t="s">
        <v>107</v>
      </c>
      <c r="Q16" s="9" t="s">
        <v>190</v>
      </c>
      <c r="R16" s="9" t="s">
        <v>28</v>
      </c>
      <c r="S16" s="15">
        <v>220104902</v>
      </c>
      <c r="T16" s="9" t="s">
        <v>191</v>
      </c>
      <c r="U16" s="9" t="s">
        <v>14</v>
      </c>
      <c r="V16" s="15">
        <v>4.7</v>
      </c>
      <c r="W16" s="9" t="s">
        <v>386</v>
      </c>
      <c r="X16" s="11">
        <v>1</v>
      </c>
      <c r="Y16" s="11">
        <v>4</v>
      </c>
      <c r="Z16" s="11">
        <v>1</v>
      </c>
      <c r="AA16" s="11">
        <v>1</v>
      </c>
      <c r="AB16" s="11">
        <v>1</v>
      </c>
      <c r="AC16" s="11">
        <v>1</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4">
        <v>3000000</v>
      </c>
      <c r="BC16" s="12"/>
      <c r="BD16" s="12"/>
      <c r="BE16" s="12"/>
      <c r="BF16" s="12"/>
      <c r="BG16" s="12"/>
      <c r="BH16" s="12"/>
      <c r="BI16" s="12"/>
      <c r="BJ16" s="12"/>
      <c r="BK16" s="12"/>
      <c r="BL16" s="7"/>
    </row>
    <row r="17" spans="1:64" ht="15" customHeight="1" x14ac:dyDescent="0.35">
      <c r="A17" s="9" t="s">
        <v>368</v>
      </c>
      <c r="B17" s="9">
        <v>33</v>
      </c>
      <c r="C17" s="9" t="s">
        <v>57</v>
      </c>
      <c r="D17" s="9">
        <v>270030002</v>
      </c>
      <c r="E17" s="9" t="s">
        <v>382</v>
      </c>
      <c r="F17" s="9" t="s">
        <v>231</v>
      </c>
      <c r="G17" s="9" t="s">
        <v>409</v>
      </c>
      <c r="H17" s="14" t="s">
        <v>412</v>
      </c>
      <c r="I17" s="15" t="s">
        <v>412</v>
      </c>
      <c r="J17" s="15">
        <v>80</v>
      </c>
      <c r="K17" s="15">
        <v>3301</v>
      </c>
      <c r="L17" s="9" t="s">
        <v>58</v>
      </c>
      <c r="M17" s="9" t="s">
        <v>419</v>
      </c>
      <c r="N17" s="17">
        <v>2025050360017</v>
      </c>
      <c r="O17" s="15">
        <v>3301085</v>
      </c>
      <c r="P17" s="9" t="s">
        <v>192</v>
      </c>
      <c r="Q17" s="9" t="s">
        <v>193</v>
      </c>
      <c r="R17" s="9" t="s">
        <v>194</v>
      </c>
      <c r="S17" s="15">
        <v>330108500</v>
      </c>
      <c r="T17" s="9" t="s">
        <v>195</v>
      </c>
      <c r="U17" s="9" t="s">
        <v>14</v>
      </c>
      <c r="V17" s="15" t="s">
        <v>304</v>
      </c>
      <c r="W17" s="9" t="s">
        <v>386</v>
      </c>
      <c r="X17" s="11">
        <v>650</v>
      </c>
      <c r="Y17" s="11">
        <v>800</v>
      </c>
      <c r="Z17" s="11">
        <v>200</v>
      </c>
      <c r="AA17" s="11">
        <v>200</v>
      </c>
      <c r="AB17" s="11">
        <v>200</v>
      </c>
      <c r="AC17" s="11">
        <v>200</v>
      </c>
      <c r="AD17" s="12"/>
      <c r="AE17" s="12"/>
      <c r="AF17" s="12"/>
      <c r="AG17" s="12"/>
      <c r="AH17" s="12"/>
      <c r="AI17" s="12"/>
      <c r="AJ17" s="12"/>
      <c r="AK17" s="12"/>
      <c r="AL17" s="12"/>
      <c r="AM17" s="12"/>
      <c r="AN17" s="14">
        <v>5866815.8600000003</v>
      </c>
      <c r="AO17" s="14"/>
      <c r="AP17" s="12"/>
      <c r="AQ17" s="12"/>
      <c r="AR17" s="12"/>
      <c r="AS17" s="12"/>
      <c r="AT17" s="12"/>
      <c r="AU17" s="12"/>
      <c r="AV17" s="12"/>
      <c r="AW17" s="12"/>
      <c r="AX17" s="12"/>
      <c r="AY17" s="12"/>
      <c r="AZ17" s="12"/>
      <c r="BA17" s="12"/>
      <c r="BB17" s="12"/>
      <c r="BC17" s="12"/>
      <c r="BD17" s="12"/>
      <c r="BE17" s="12"/>
      <c r="BF17" s="12"/>
      <c r="BG17" s="12"/>
      <c r="BH17" s="12"/>
      <c r="BI17" s="12"/>
      <c r="BJ17" s="12"/>
      <c r="BK17" s="12"/>
      <c r="BL17" s="7"/>
    </row>
    <row r="18" spans="1:64" ht="15" customHeight="1" x14ac:dyDescent="0.35">
      <c r="A18" s="9" t="s">
        <v>368</v>
      </c>
      <c r="B18" s="9">
        <v>33</v>
      </c>
      <c r="C18" s="9" t="s">
        <v>57</v>
      </c>
      <c r="D18" s="9">
        <v>270030002</v>
      </c>
      <c r="E18" s="9" t="s">
        <v>382</v>
      </c>
      <c r="F18" s="9" t="s">
        <v>231</v>
      </c>
      <c r="G18" s="9" t="s">
        <v>409</v>
      </c>
      <c r="H18" s="14" t="s">
        <v>412</v>
      </c>
      <c r="I18" s="15" t="s">
        <v>412</v>
      </c>
      <c r="J18" s="15">
        <v>80</v>
      </c>
      <c r="K18" s="15">
        <v>3301</v>
      </c>
      <c r="L18" s="9" t="s">
        <v>58</v>
      </c>
      <c r="M18" s="9" t="s">
        <v>419</v>
      </c>
      <c r="N18" s="17">
        <v>2025050360017</v>
      </c>
      <c r="O18" s="15">
        <v>3301053</v>
      </c>
      <c r="P18" s="9" t="s">
        <v>196</v>
      </c>
      <c r="Q18" s="9" t="s">
        <v>197</v>
      </c>
      <c r="R18" s="9" t="s">
        <v>198</v>
      </c>
      <c r="S18" s="15">
        <v>330105300</v>
      </c>
      <c r="T18" s="9" t="s">
        <v>199</v>
      </c>
      <c r="U18" s="9" t="s">
        <v>14</v>
      </c>
      <c r="V18" s="15">
        <v>11.4</v>
      </c>
      <c r="W18" s="9" t="s">
        <v>386</v>
      </c>
      <c r="X18" s="11">
        <v>10</v>
      </c>
      <c r="Y18" s="11">
        <v>20</v>
      </c>
      <c r="Z18" s="11">
        <v>5</v>
      </c>
      <c r="AA18" s="11">
        <v>5</v>
      </c>
      <c r="AB18" s="11">
        <v>5</v>
      </c>
      <c r="AC18" s="11">
        <v>5</v>
      </c>
      <c r="AD18" s="12"/>
      <c r="AE18" s="12"/>
      <c r="AF18" s="12"/>
      <c r="AG18" s="12"/>
      <c r="AH18" s="12"/>
      <c r="AI18" s="12"/>
      <c r="AJ18" s="12"/>
      <c r="AK18" s="12"/>
      <c r="AL18" s="12"/>
      <c r="AM18" s="12"/>
      <c r="AN18" s="12"/>
      <c r="AO18" s="12">
        <v>35200895</v>
      </c>
      <c r="AP18" s="12"/>
      <c r="AQ18" s="12"/>
      <c r="AR18" s="12"/>
      <c r="AS18" s="12"/>
      <c r="AT18" s="12"/>
      <c r="AU18" s="12"/>
      <c r="AV18" s="12"/>
      <c r="AW18" s="12"/>
      <c r="AX18" s="12"/>
      <c r="AY18" s="12">
        <v>43549423</v>
      </c>
      <c r="AZ18" s="12"/>
      <c r="BA18" s="12"/>
      <c r="BB18" s="12">
        <v>103200000</v>
      </c>
      <c r="BC18" s="12"/>
      <c r="BD18" s="12"/>
      <c r="BE18" s="12"/>
      <c r="BF18" s="12"/>
      <c r="BG18" s="12"/>
      <c r="BH18" s="12"/>
      <c r="BI18" s="12"/>
      <c r="BJ18" s="12"/>
      <c r="BK18" s="12"/>
      <c r="BL18" s="7"/>
    </row>
    <row r="19" spans="1:64" ht="15" customHeight="1" x14ac:dyDescent="0.35">
      <c r="A19" s="9" t="s">
        <v>368</v>
      </c>
      <c r="B19" s="9">
        <v>33</v>
      </c>
      <c r="C19" s="9" t="s">
        <v>57</v>
      </c>
      <c r="D19" s="9">
        <v>270030002</v>
      </c>
      <c r="E19" s="9" t="s">
        <v>382</v>
      </c>
      <c r="F19" s="9" t="s">
        <v>231</v>
      </c>
      <c r="G19" s="9" t="s">
        <v>409</v>
      </c>
      <c r="H19" s="14" t="s">
        <v>412</v>
      </c>
      <c r="I19" s="15" t="s">
        <v>412</v>
      </c>
      <c r="J19" s="15">
        <v>80</v>
      </c>
      <c r="K19" s="15">
        <v>3301</v>
      </c>
      <c r="L19" s="9" t="s">
        <v>58</v>
      </c>
      <c r="M19" s="9" t="s">
        <v>419</v>
      </c>
      <c r="N19" s="17">
        <v>2025050360017</v>
      </c>
      <c r="O19" s="15">
        <v>3301073</v>
      </c>
      <c r="P19" s="9" t="s">
        <v>200</v>
      </c>
      <c r="Q19" s="9" t="s">
        <v>201</v>
      </c>
      <c r="R19" s="9" t="s">
        <v>202</v>
      </c>
      <c r="S19" s="15">
        <v>330107300</v>
      </c>
      <c r="T19" s="9" t="s">
        <v>203</v>
      </c>
      <c r="U19" s="9" t="s">
        <v>14</v>
      </c>
      <c r="V19" s="15">
        <v>11.4</v>
      </c>
      <c r="W19" s="9" t="s">
        <v>386</v>
      </c>
      <c r="X19" s="11">
        <v>7</v>
      </c>
      <c r="Y19" s="11">
        <v>12</v>
      </c>
      <c r="Z19" s="11">
        <v>3</v>
      </c>
      <c r="AA19" s="11">
        <v>3</v>
      </c>
      <c r="AB19" s="11">
        <v>3</v>
      </c>
      <c r="AC19" s="11">
        <v>3</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4">
        <v>47000000</v>
      </c>
      <c r="BC19" s="12"/>
      <c r="BD19" s="12"/>
      <c r="BE19" s="12"/>
      <c r="BF19" s="12"/>
      <c r="BG19" s="12"/>
      <c r="BH19" s="12"/>
      <c r="BI19" s="12"/>
      <c r="BJ19" s="12"/>
      <c r="BK19" s="12"/>
      <c r="BL19" s="7"/>
    </row>
    <row r="20" spans="1:64" ht="15" customHeight="1" x14ac:dyDescent="0.35">
      <c r="A20" s="9" t="s">
        <v>368</v>
      </c>
      <c r="B20" s="9">
        <v>33</v>
      </c>
      <c r="C20" s="9" t="s">
        <v>57</v>
      </c>
      <c r="D20" s="9">
        <v>270030002</v>
      </c>
      <c r="E20" s="9" t="s">
        <v>382</v>
      </c>
      <c r="F20" s="9" t="s">
        <v>382</v>
      </c>
      <c r="G20" s="9" t="s">
        <v>409</v>
      </c>
      <c r="H20" s="14" t="s">
        <v>412</v>
      </c>
      <c r="I20" s="15" t="s">
        <v>412</v>
      </c>
      <c r="J20" s="15">
        <v>80</v>
      </c>
      <c r="K20" s="15">
        <v>3301</v>
      </c>
      <c r="L20" s="9" t="s">
        <v>58</v>
      </c>
      <c r="M20" s="9" t="s">
        <v>419</v>
      </c>
      <c r="N20" s="17">
        <v>2025050360017</v>
      </c>
      <c r="O20" s="15">
        <v>3301126</v>
      </c>
      <c r="P20" s="9" t="s">
        <v>204</v>
      </c>
      <c r="Q20" s="9" t="s">
        <v>205</v>
      </c>
      <c r="R20" s="9" t="s">
        <v>206</v>
      </c>
      <c r="S20" s="15">
        <v>330112600</v>
      </c>
      <c r="T20" s="9" t="s">
        <v>207</v>
      </c>
      <c r="U20" s="9" t="s">
        <v>14</v>
      </c>
      <c r="V20" s="15" t="s">
        <v>304</v>
      </c>
      <c r="W20" s="9" t="s">
        <v>386</v>
      </c>
      <c r="X20" s="11">
        <v>3</v>
      </c>
      <c r="Y20" s="11">
        <v>16</v>
      </c>
      <c r="Z20" s="11">
        <v>4</v>
      </c>
      <c r="AA20" s="11">
        <v>4</v>
      </c>
      <c r="AB20" s="11">
        <v>4</v>
      </c>
      <c r="AC20" s="11">
        <v>4</v>
      </c>
      <c r="AD20" s="12"/>
      <c r="AE20" s="12"/>
      <c r="AF20" s="12"/>
      <c r="AG20" s="12"/>
      <c r="AH20" s="12"/>
      <c r="AI20" s="12"/>
      <c r="AJ20" s="12"/>
      <c r="AK20" s="12"/>
      <c r="AL20" s="12"/>
      <c r="AM20" s="12"/>
      <c r="AN20" s="12"/>
      <c r="AO20" s="12"/>
      <c r="AP20" s="12"/>
      <c r="AQ20" s="12"/>
      <c r="AR20" s="12"/>
      <c r="AS20" s="12"/>
      <c r="AT20" s="12"/>
      <c r="AU20" s="12"/>
      <c r="AV20" s="12"/>
      <c r="AW20" s="12"/>
      <c r="AX20" s="12"/>
      <c r="AY20" s="14">
        <v>29400000</v>
      </c>
      <c r="AZ20" s="12"/>
      <c r="BA20" s="12"/>
      <c r="BB20" s="12"/>
      <c r="BC20" s="12"/>
      <c r="BD20" s="12"/>
      <c r="BE20" s="12"/>
      <c r="BF20" s="12"/>
      <c r="BG20" s="12"/>
      <c r="BH20" s="12"/>
      <c r="BI20" s="12"/>
      <c r="BJ20" s="12"/>
      <c r="BK20" s="12"/>
      <c r="BL20" s="7"/>
    </row>
    <row r="21" spans="1:64" ht="15" customHeight="1" x14ac:dyDescent="0.35">
      <c r="A21" s="9" t="s">
        <v>368</v>
      </c>
      <c r="B21" s="9">
        <v>41</v>
      </c>
      <c r="C21" s="9" t="s">
        <v>12</v>
      </c>
      <c r="D21" s="9">
        <v>20100040</v>
      </c>
      <c r="E21" s="9" t="s">
        <v>385</v>
      </c>
      <c r="F21" s="9" t="s">
        <v>354</v>
      </c>
      <c r="G21" s="9" t="s">
        <v>394</v>
      </c>
      <c r="H21" s="14">
        <v>0</v>
      </c>
      <c r="I21" s="15">
        <v>2021</v>
      </c>
      <c r="J21" s="15">
        <v>0</v>
      </c>
      <c r="K21" s="15">
        <v>4104</v>
      </c>
      <c r="L21" s="9" t="s">
        <v>250</v>
      </c>
      <c r="M21" s="9" t="s">
        <v>429</v>
      </c>
      <c r="N21" s="17">
        <v>2025050360003</v>
      </c>
      <c r="O21" s="15">
        <v>4104008</v>
      </c>
      <c r="P21" s="9" t="s">
        <v>251</v>
      </c>
      <c r="Q21" s="9" t="s">
        <v>252</v>
      </c>
      <c r="R21" s="9" t="s">
        <v>253</v>
      </c>
      <c r="S21" s="15">
        <v>410400800</v>
      </c>
      <c r="T21" s="9" t="s">
        <v>254</v>
      </c>
      <c r="U21" s="9" t="s">
        <v>14</v>
      </c>
      <c r="V21" s="15">
        <v>1.3</v>
      </c>
      <c r="W21" s="9" t="s">
        <v>386</v>
      </c>
      <c r="X21" s="11">
        <v>700</v>
      </c>
      <c r="Y21" s="11">
        <v>720</v>
      </c>
      <c r="Z21" s="11">
        <v>180</v>
      </c>
      <c r="AA21" s="11">
        <v>180</v>
      </c>
      <c r="AB21" s="11">
        <v>180</v>
      </c>
      <c r="AC21" s="11">
        <v>180</v>
      </c>
      <c r="AD21" s="12"/>
      <c r="AE21" s="12"/>
      <c r="AF21" s="12"/>
      <c r="AG21" s="12"/>
      <c r="AH21" s="12"/>
      <c r="AI21" s="12"/>
      <c r="AJ21" s="12"/>
      <c r="AK21" s="14">
        <v>37547622</v>
      </c>
      <c r="AL21" s="14">
        <v>87611117</v>
      </c>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7"/>
    </row>
    <row r="22" spans="1:64" ht="15" customHeight="1" x14ac:dyDescent="0.35">
      <c r="A22" s="9" t="s">
        <v>368</v>
      </c>
      <c r="B22" s="9">
        <v>41</v>
      </c>
      <c r="C22" s="9" t="s">
        <v>12</v>
      </c>
      <c r="D22" s="9">
        <v>20100040</v>
      </c>
      <c r="E22" s="9" t="s">
        <v>385</v>
      </c>
      <c r="F22" s="9" t="s">
        <v>354</v>
      </c>
      <c r="G22" s="9" t="s">
        <v>394</v>
      </c>
      <c r="H22" s="14">
        <v>0</v>
      </c>
      <c r="I22" s="15">
        <v>2021</v>
      </c>
      <c r="J22" s="15">
        <v>0</v>
      </c>
      <c r="K22" s="15">
        <v>4104</v>
      </c>
      <c r="L22" s="9" t="s">
        <v>250</v>
      </c>
      <c r="M22" s="9" t="s">
        <v>429</v>
      </c>
      <c r="N22" s="17">
        <v>2025050360003</v>
      </c>
      <c r="O22" s="15">
        <v>4104020</v>
      </c>
      <c r="P22" s="9" t="s">
        <v>255</v>
      </c>
      <c r="Q22" s="9" t="s">
        <v>256</v>
      </c>
      <c r="R22" s="9" t="s">
        <v>28</v>
      </c>
      <c r="S22" s="15">
        <v>410402000</v>
      </c>
      <c r="T22" s="9" t="s">
        <v>257</v>
      </c>
      <c r="U22" s="9" t="s">
        <v>14</v>
      </c>
      <c r="V22" s="15">
        <v>1.3</v>
      </c>
      <c r="W22" s="9" t="s">
        <v>386</v>
      </c>
      <c r="X22" s="11" t="s">
        <v>324</v>
      </c>
      <c r="Y22" s="11">
        <v>100</v>
      </c>
      <c r="Z22" s="11">
        <v>25</v>
      </c>
      <c r="AA22" s="11">
        <v>25</v>
      </c>
      <c r="AB22" s="11">
        <v>25</v>
      </c>
      <c r="AC22" s="11">
        <v>25</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4">
        <v>10000000</v>
      </c>
      <c r="BC22" s="12"/>
      <c r="BD22" s="12"/>
      <c r="BE22" s="12"/>
      <c r="BF22" s="12"/>
      <c r="BG22" s="12"/>
      <c r="BH22" s="12"/>
      <c r="BI22" s="12"/>
      <c r="BJ22" s="12"/>
      <c r="BK22" s="12"/>
      <c r="BL22" s="7"/>
    </row>
    <row r="23" spans="1:64" ht="14.5" customHeight="1" x14ac:dyDescent="0.35">
      <c r="A23" s="9" t="s">
        <v>368</v>
      </c>
      <c r="B23" s="9">
        <v>19</v>
      </c>
      <c r="C23" s="9" t="s">
        <v>34</v>
      </c>
      <c r="D23" s="9">
        <v>50020043</v>
      </c>
      <c r="E23" s="9" t="s">
        <v>373</v>
      </c>
      <c r="F23" s="9" t="s">
        <v>374</v>
      </c>
      <c r="G23" s="9" t="s">
        <v>396</v>
      </c>
      <c r="H23" s="14">
        <v>47.413800000000002</v>
      </c>
      <c r="I23" s="15">
        <v>2021</v>
      </c>
      <c r="J23" s="15">
        <v>15</v>
      </c>
      <c r="K23" s="15">
        <v>1905</v>
      </c>
      <c r="L23" s="9" t="s">
        <v>258</v>
      </c>
      <c r="M23" s="9" t="s">
        <v>425</v>
      </c>
      <c r="N23" s="17">
        <v>2025050360007</v>
      </c>
      <c r="O23" s="15">
        <v>1905021</v>
      </c>
      <c r="P23" s="9" t="s">
        <v>260</v>
      </c>
      <c r="Q23" s="9" t="s">
        <v>261</v>
      </c>
      <c r="R23" s="9" t="s">
        <v>134</v>
      </c>
      <c r="S23" s="15">
        <v>190502100</v>
      </c>
      <c r="T23" s="9" t="s">
        <v>262</v>
      </c>
      <c r="U23" s="9" t="s">
        <v>14</v>
      </c>
      <c r="V23" s="15">
        <v>3.7</v>
      </c>
      <c r="W23" s="9" t="s">
        <v>386</v>
      </c>
      <c r="X23" s="11">
        <v>1</v>
      </c>
      <c r="Y23" s="11">
        <v>4</v>
      </c>
      <c r="Z23" s="11">
        <v>1</v>
      </c>
      <c r="AA23" s="11">
        <v>1</v>
      </c>
      <c r="AB23" s="11">
        <v>1</v>
      </c>
      <c r="AC23" s="11">
        <v>1</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4">
        <v>17952926</v>
      </c>
      <c r="BE23" s="12"/>
      <c r="BF23" s="12"/>
      <c r="BG23" s="12"/>
      <c r="BH23" s="12"/>
      <c r="BI23" s="12"/>
      <c r="BJ23" s="12"/>
      <c r="BK23" s="12"/>
      <c r="BL23" s="7"/>
    </row>
    <row r="24" spans="1:64" ht="14.5" customHeight="1" x14ac:dyDescent="0.35">
      <c r="A24" s="9" t="s">
        <v>368</v>
      </c>
      <c r="B24" s="9">
        <v>19</v>
      </c>
      <c r="C24" s="9" t="s">
        <v>34</v>
      </c>
      <c r="D24" s="9">
        <v>50020030</v>
      </c>
      <c r="E24" s="9" t="s">
        <v>375</v>
      </c>
      <c r="F24" s="9" t="s">
        <v>376</v>
      </c>
      <c r="G24" s="9" t="s">
        <v>396</v>
      </c>
      <c r="H24" s="14">
        <v>0</v>
      </c>
      <c r="I24" s="15">
        <v>2020</v>
      </c>
      <c r="J24" s="15">
        <v>0</v>
      </c>
      <c r="K24" s="15">
        <v>1905</v>
      </c>
      <c r="L24" s="9" t="s">
        <v>258</v>
      </c>
      <c r="M24" s="9" t="s">
        <v>425</v>
      </c>
      <c r="N24" s="17">
        <v>2025050360007</v>
      </c>
      <c r="O24" s="15">
        <v>1905022</v>
      </c>
      <c r="P24" s="9" t="s">
        <v>263</v>
      </c>
      <c r="Q24" s="9" t="s">
        <v>264</v>
      </c>
      <c r="R24" s="9" t="s">
        <v>134</v>
      </c>
      <c r="S24" s="15">
        <v>190502200</v>
      </c>
      <c r="T24" s="9" t="s">
        <v>265</v>
      </c>
      <c r="U24" s="9" t="s">
        <v>14</v>
      </c>
      <c r="V24" s="15">
        <v>3.4</v>
      </c>
      <c r="W24" s="9" t="s">
        <v>386</v>
      </c>
      <c r="X24" s="11">
        <v>1</v>
      </c>
      <c r="Y24" s="11">
        <v>4</v>
      </c>
      <c r="Z24" s="11">
        <v>1</v>
      </c>
      <c r="AA24" s="11">
        <v>1</v>
      </c>
      <c r="AB24" s="11">
        <v>1</v>
      </c>
      <c r="AC24" s="11">
        <v>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4">
        <v>6955326</v>
      </c>
      <c r="BD24" s="12">
        <v>17952927</v>
      </c>
      <c r="BE24" s="12"/>
      <c r="BF24" s="12"/>
      <c r="BG24" s="12"/>
      <c r="BH24" s="12"/>
      <c r="BI24" s="12"/>
      <c r="BJ24" s="12"/>
      <c r="BK24" s="12"/>
      <c r="BL24" s="7"/>
    </row>
    <row r="25" spans="1:64" ht="14.5" customHeight="1" x14ac:dyDescent="0.35">
      <c r="A25" s="9" t="s">
        <v>368</v>
      </c>
      <c r="B25" s="9">
        <v>19</v>
      </c>
      <c r="C25" s="9" t="s">
        <v>34</v>
      </c>
      <c r="D25" s="9">
        <v>50020001</v>
      </c>
      <c r="E25" s="9" t="s">
        <v>378</v>
      </c>
      <c r="F25" s="9" t="s">
        <v>379</v>
      </c>
      <c r="G25" s="9" t="s">
        <v>395</v>
      </c>
      <c r="H25" s="14">
        <v>4.6224999999999996</v>
      </c>
      <c r="I25" s="15">
        <v>2020</v>
      </c>
      <c r="J25" s="15">
        <v>2</v>
      </c>
      <c r="K25" s="15">
        <v>1905</v>
      </c>
      <c r="L25" s="9" t="s">
        <v>258</v>
      </c>
      <c r="M25" s="9" t="s">
        <v>425</v>
      </c>
      <c r="N25" s="17">
        <v>2025050360007</v>
      </c>
      <c r="O25" s="15">
        <v>1905023</v>
      </c>
      <c r="P25" s="9" t="s">
        <v>266</v>
      </c>
      <c r="Q25" s="9" t="s">
        <v>267</v>
      </c>
      <c r="R25" s="9" t="s">
        <v>134</v>
      </c>
      <c r="S25" s="15">
        <v>190502300</v>
      </c>
      <c r="T25" s="9" t="s">
        <v>268</v>
      </c>
      <c r="U25" s="9" t="s">
        <v>14</v>
      </c>
      <c r="V25" s="15">
        <v>3.4</v>
      </c>
      <c r="W25" s="9" t="s">
        <v>386</v>
      </c>
      <c r="X25" s="11">
        <v>1</v>
      </c>
      <c r="Y25" s="11">
        <v>4</v>
      </c>
      <c r="Z25" s="11">
        <v>1</v>
      </c>
      <c r="AA25" s="11">
        <v>1</v>
      </c>
      <c r="AB25" s="11">
        <v>1</v>
      </c>
      <c r="AC25" s="11">
        <v>1</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4">
        <v>17952920</v>
      </c>
      <c r="BE25" s="12"/>
      <c r="BF25" s="12"/>
      <c r="BG25" s="12"/>
      <c r="BH25" s="12"/>
      <c r="BI25" s="12"/>
      <c r="BJ25" s="12"/>
      <c r="BK25" s="12"/>
      <c r="BL25" s="7"/>
    </row>
    <row r="26" spans="1:64" ht="14.5" customHeight="1" x14ac:dyDescent="0.35">
      <c r="A26" s="9" t="s">
        <v>368</v>
      </c>
      <c r="B26" s="9">
        <v>19</v>
      </c>
      <c r="C26" s="9" t="s">
        <v>34</v>
      </c>
      <c r="D26" s="9">
        <v>50020001</v>
      </c>
      <c r="E26" s="9" t="s">
        <v>378</v>
      </c>
      <c r="F26" s="9" t="s">
        <v>379</v>
      </c>
      <c r="G26" s="9" t="s">
        <v>395</v>
      </c>
      <c r="H26" s="14">
        <v>4.6224999999999996</v>
      </c>
      <c r="I26" s="15">
        <v>2020</v>
      </c>
      <c r="J26" s="15">
        <v>2</v>
      </c>
      <c r="K26" s="15">
        <v>1905</v>
      </c>
      <c r="L26" s="9" t="s">
        <v>258</v>
      </c>
      <c r="M26" s="9" t="s">
        <v>425</v>
      </c>
      <c r="N26" s="17">
        <v>2025050360007</v>
      </c>
      <c r="O26" s="15">
        <v>1905024</v>
      </c>
      <c r="P26" s="9" t="s">
        <v>269</v>
      </c>
      <c r="Q26" s="9" t="s">
        <v>270</v>
      </c>
      <c r="R26" s="9" t="s">
        <v>134</v>
      </c>
      <c r="S26" s="15">
        <v>190502400</v>
      </c>
      <c r="T26" s="9" t="s">
        <v>414</v>
      </c>
      <c r="U26" s="9" t="s">
        <v>14</v>
      </c>
      <c r="V26" s="15">
        <v>3.3</v>
      </c>
      <c r="W26" s="9" t="s">
        <v>386</v>
      </c>
      <c r="X26" s="11">
        <v>1</v>
      </c>
      <c r="Y26" s="11">
        <v>4</v>
      </c>
      <c r="Z26" s="11">
        <v>1</v>
      </c>
      <c r="AA26" s="11">
        <v>1</v>
      </c>
      <c r="AB26" s="11">
        <v>1</v>
      </c>
      <c r="AC26" s="11">
        <v>1</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4">
        <v>35905847</v>
      </c>
      <c r="BE26" s="12"/>
      <c r="BF26" s="12"/>
      <c r="BG26" s="12"/>
      <c r="BH26" s="12"/>
      <c r="BI26" s="12"/>
      <c r="BJ26" s="12"/>
      <c r="BK26" s="12"/>
      <c r="BL26" s="7"/>
    </row>
    <row r="27" spans="1:64" ht="14.5" customHeight="1" x14ac:dyDescent="0.35">
      <c r="A27" s="9" t="s">
        <v>368</v>
      </c>
      <c r="B27" s="9">
        <v>19</v>
      </c>
      <c r="C27" s="9" t="s">
        <v>34</v>
      </c>
      <c r="D27" s="9">
        <v>50020001</v>
      </c>
      <c r="E27" s="9" t="s">
        <v>378</v>
      </c>
      <c r="F27" s="9" t="s">
        <v>379</v>
      </c>
      <c r="G27" s="9" t="s">
        <v>395</v>
      </c>
      <c r="H27" s="14">
        <v>4.6224999999999996</v>
      </c>
      <c r="I27" s="15">
        <v>2020</v>
      </c>
      <c r="J27" s="15">
        <v>2</v>
      </c>
      <c r="K27" s="15">
        <v>1905</v>
      </c>
      <c r="L27" s="9" t="s">
        <v>258</v>
      </c>
      <c r="M27" s="9" t="s">
        <v>425</v>
      </c>
      <c r="N27" s="17">
        <v>2025050360007</v>
      </c>
      <c r="O27" s="15">
        <v>1905025</v>
      </c>
      <c r="P27" s="9" t="s">
        <v>271</v>
      </c>
      <c r="Q27" s="9" t="s">
        <v>272</v>
      </c>
      <c r="R27" s="9" t="s">
        <v>134</v>
      </c>
      <c r="S27" s="15">
        <v>190502500</v>
      </c>
      <c r="T27" s="9" t="s">
        <v>273</v>
      </c>
      <c r="U27" s="9" t="s">
        <v>14</v>
      </c>
      <c r="V27" s="15">
        <v>8.8000000000000007</v>
      </c>
      <c r="W27" s="9" t="s">
        <v>386</v>
      </c>
      <c r="X27" s="11">
        <v>1</v>
      </c>
      <c r="Y27" s="11">
        <v>4</v>
      </c>
      <c r="Z27" s="11">
        <v>1</v>
      </c>
      <c r="AA27" s="11">
        <v>1</v>
      </c>
      <c r="AB27" s="11">
        <v>1</v>
      </c>
      <c r="AC27" s="11">
        <v>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4">
        <v>17952927</v>
      </c>
      <c r="BE27" s="12"/>
      <c r="BF27" s="12"/>
      <c r="BG27" s="12"/>
      <c r="BH27" s="12"/>
      <c r="BI27" s="12"/>
      <c r="BJ27" s="12"/>
      <c r="BK27" s="12"/>
      <c r="BL27" s="7"/>
    </row>
    <row r="28" spans="1:64" ht="14.5" customHeight="1" x14ac:dyDescent="0.35">
      <c r="A28" s="9" t="s">
        <v>368</v>
      </c>
      <c r="B28" s="9">
        <v>19</v>
      </c>
      <c r="C28" s="9" t="s">
        <v>34</v>
      </c>
      <c r="D28" s="9">
        <v>50020001</v>
      </c>
      <c r="E28" s="9" t="s">
        <v>378</v>
      </c>
      <c r="F28" s="9" t="s">
        <v>379</v>
      </c>
      <c r="G28" s="9" t="s">
        <v>395</v>
      </c>
      <c r="H28" s="14">
        <v>4.6224999999999996</v>
      </c>
      <c r="I28" s="15">
        <v>2020</v>
      </c>
      <c r="J28" s="15">
        <v>2</v>
      </c>
      <c r="K28" s="15">
        <v>1905</v>
      </c>
      <c r="L28" s="9" t="s">
        <v>258</v>
      </c>
      <c r="M28" s="9" t="s">
        <v>425</v>
      </c>
      <c r="N28" s="17">
        <v>2025050360007</v>
      </c>
      <c r="O28" s="15">
        <v>1905027</v>
      </c>
      <c r="P28" s="9" t="s">
        <v>274</v>
      </c>
      <c r="Q28" s="9" t="s">
        <v>275</v>
      </c>
      <c r="R28" s="9" t="s">
        <v>134</v>
      </c>
      <c r="S28" s="15">
        <v>190502700</v>
      </c>
      <c r="T28" s="9" t="s">
        <v>276</v>
      </c>
      <c r="U28" s="9" t="s">
        <v>14</v>
      </c>
      <c r="V28" s="15">
        <v>3.8</v>
      </c>
      <c r="W28" s="9" t="s">
        <v>386</v>
      </c>
      <c r="X28" s="11">
        <v>1</v>
      </c>
      <c r="Y28" s="11">
        <v>4</v>
      </c>
      <c r="Z28" s="11">
        <v>1</v>
      </c>
      <c r="AA28" s="11">
        <v>1</v>
      </c>
      <c r="AB28" s="11">
        <v>1</v>
      </c>
      <c r="AC28" s="11">
        <v>1</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4">
        <v>17952926</v>
      </c>
      <c r="BE28" s="12"/>
      <c r="BF28" s="12"/>
      <c r="BG28" s="12"/>
      <c r="BH28" s="12"/>
      <c r="BI28" s="12"/>
      <c r="BJ28" s="12"/>
      <c r="BK28" s="12"/>
      <c r="BL28" s="7"/>
    </row>
    <row r="29" spans="1:64" x14ac:dyDescent="0.35">
      <c r="A29" s="9" t="s">
        <v>368</v>
      </c>
      <c r="B29" s="9">
        <v>19</v>
      </c>
      <c r="C29" s="9" t="s">
        <v>34</v>
      </c>
      <c r="D29" s="9">
        <v>50020001</v>
      </c>
      <c r="E29" s="9" t="s">
        <v>378</v>
      </c>
      <c r="F29" s="9" t="s">
        <v>379</v>
      </c>
      <c r="G29" s="9" t="s">
        <v>395</v>
      </c>
      <c r="H29" s="14">
        <v>4.6224999999999996</v>
      </c>
      <c r="I29" s="15">
        <v>2020</v>
      </c>
      <c r="J29" s="15">
        <v>2</v>
      </c>
      <c r="K29" s="15">
        <v>1905</v>
      </c>
      <c r="L29" s="9" t="s">
        <v>258</v>
      </c>
      <c r="M29" s="9" t="s">
        <v>425</v>
      </c>
      <c r="N29" s="17">
        <v>2025050360007</v>
      </c>
      <c r="O29" s="15">
        <v>1905049</v>
      </c>
      <c r="P29" s="9" t="s">
        <v>284</v>
      </c>
      <c r="Q29" s="9" t="s">
        <v>285</v>
      </c>
      <c r="R29" s="9" t="s">
        <v>286</v>
      </c>
      <c r="S29" s="15">
        <v>190504900</v>
      </c>
      <c r="T29" s="9" t="s">
        <v>287</v>
      </c>
      <c r="U29" s="9" t="s">
        <v>14</v>
      </c>
      <c r="V29" s="15">
        <v>3.8</v>
      </c>
      <c r="W29" s="9" t="s">
        <v>386</v>
      </c>
      <c r="X29" s="11">
        <v>1</v>
      </c>
      <c r="Y29" s="11">
        <v>4</v>
      </c>
      <c r="Z29" s="11">
        <v>1</v>
      </c>
      <c r="AA29" s="11">
        <v>1</v>
      </c>
      <c r="AB29" s="11">
        <v>1</v>
      </c>
      <c r="AC29" s="11">
        <v>1</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4">
        <v>241640574.84999999</v>
      </c>
      <c r="BF29" s="12"/>
      <c r="BG29" s="12"/>
      <c r="BH29" s="12"/>
      <c r="BI29" s="12"/>
      <c r="BJ29" s="12"/>
      <c r="BK29" s="12"/>
      <c r="BL29" s="7"/>
    </row>
    <row r="30" spans="1:64" x14ac:dyDescent="0.35">
      <c r="A30" s="9" t="s">
        <v>368</v>
      </c>
      <c r="B30" s="9">
        <v>19</v>
      </c>
      <c r="C30" s="9" t="s">
        <v>34</v>
      </c>
      <c r="D30" s="9">
        <v>50010004</v>
      </c>
      <c r="E30" s="9" t="s">
        <v>347</v>
      </c>
      <c r="F30" s="9" t="s">
        <v>342</v>
      </c>
      <c r="G30" s="9" t="s">
        <v>395</v>
      </c>
      <c r="H30" s="14">
        <v>99.391400000000004</v>
      </c>
      <c r="I30" s="15">
        <v>2021</v>
      </c>
      <c r="J30" s="15">
        <v>100</v>
      </c>
      <c r="K30" s="15">
        <v>1906</v>
      </c>
      <c r="L30" s="9" t="s">
        <v>249</v>
      </c>
      <c r="M30" s="9" t="s">
        <v>426</v>
      </c>
      <c r="N30" s="17">
        <v>2025050360006</v>
      </c>
      <c r="O30" s="15">
        <v>1906035</v>
      </c>
      <c r="P30" s="9" t="s">
        <v>288</v>
      </c>
      <c r="Q30" s="9" t="s">
        <v>289</v>
      </c>
      <c r="R30" s="9" t="s">
        <v>290</v>
      </c>
      <c r="S30" s="15">
        <v>190603500</v>
      </c>
      <c r="T30" s="9" t="s">
        <v>291</v>
      </c>
      <c r="U30" s="9" t="s">
        <v>14</v>
      </c>
      <c r="V30" s="15">
        <v>3.8</v>
      </c>
      <c r="W30" s="9" t="s">
        <v>386</v>
      </c>
      <c r="X30" s="11">
        <v>1</v>
      </c>
      <c r="Y30" s="11">
        <v>4</v>
      </c>
      <c r="Z30" s="11">
        <v>1</v>
      </c>
      <c r="AA30" s="11">
        <v>1</v>
      </c>
      <c r="AB30" s="11">
        <v>1</v>
      </c>
      <c r="AC30" s="11">
        <v>1</v>
      </c>
      <c r="AD30" s="12"/>
      <c r="AE30" s="12"/>
      <c r="AF30" s="12"/>
      <c r="AG30" s="12"/>
      <c r="AH30" s="12"/>
      <c r="AI30" s="12"/>
      <c r="AJ30" s="12"/>
      <c r="AK30" s="12"/>
      <c r="AL30" s="12"/>
      <c r="AM30" s="12"/>
      <c r="AN30" s="12"/>
      <c r="AO30" s="12"/>
      <c r="AP30" s="12"/>
      <c r="AQ30" s="12"/>
      <c r="AR30" s="12"/>
      <c r="AS30" s="14">
        <v>60000000</v>
      </c>
      <c r="AT30" s="12"/>
      <c r="AU30" s="12"/>
      <c r="AV30" s="12"/>
      <c r="AW30" s="12"/>
      <c r="AX30" s="12"/>
      <c r="AY30" s="12"/>
      <c r="AZ30" s="12"/>
      <c r="BA30" s="12"/>
      <c r="BB30" s="12"/>
      <c r="BC30" s="12"/>
      <c r="BD30" s="12"/>
      <c r="BE30" s="12"/>
      <c r="BF30" s="12"/>
      <c r="BG30" s="12"/>
      <c r="BH30" s="12"/>
      <c r="BI30" s="12"/>
      <c r="BJ30" s="12"/>
      <c r="BK30" s="12"/>
      <c r="BL30" s="7"/>
    </row>
    <row r="31" spans="1:64" x14ac:dyDescent="0.35">
      <c r="A31" s="9" t="s">
        <v>368</v>
      </c>
      <c r="B31" s="9">
        <v>19</v>
      </c>
      <c r="C31" s="9" t="s">
        <v>34</v>
      </c>
      <c r="D31" s="9">
        <v>50010004</v>
      </c>
      <c r="E31" s="9" t="s">
        <v>347</v>
      </c>
      <c r="F31" s="9" t="s">
        <v>342</v>
      </c>
      <c r="G31" s="9" t="s">
        <v>395</v>
      </c>
      <c r="H31" s="14">
        <v>99.391400000000004</v>
      </c>
      <c r="I31" s="15">
        <v>2021</v>
      </c>
      <c r="J31" s="15">
        <v>100</v>
      </c>
      <c r="K31" s="15">
        <v>1906</v>
      </c>
      <c r="L31" s="9" t="s">
        <v>249</v>
      </c>
      <c r="M31" s="9" t="s">
        <v>426</v>
      </c>
      <c r="N31" s="17">
        <v>2025050360006</v>
      </c>
      <c r="O31" s="15">
        <v>1906044</v>
      </c>
      <c r="P31" s="9" t="s">
        <v>292</v>
      </c>
      <c r="Q31" s="9" t="s">
        <v>293</v>
      </c>
      <c r="R31" s="9" t="s">
        <v>28</v>
      </c>
      <c r="S31" s="15">
        <v>190604400</v>
      </c>
      <c r="T31" s="9" t="s">
        <v>294</v>
      </c>
      <c r="U31" s="9" t="s">
        <v>14</v>
      </c>
      <c r="V31" s="15" t="s">
        <v>306</v>
      </c>
      <c r="W31" s="9" t="s">
        <v>386</v>
      </c>
      <c r="X31" s="11">
        <v>2391</v>
      </c>
      <c r="Y31" s="11">
        <v>2419</v>
      </c>
      <c r="Z31" s="11">
        <v>2419</v>
      </c>
      <c r="AA31" s="11">
        <v>2419</v>
      </c>
      <c r="AB31" s="11">
        <v>2419</v>
      </c>
      <c r="AC31" s="11">
        <v>2419</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v>3019153741</v>
      </c>
      <c r="BG31" s="12"/>
      <c r="BH31" s="12"/>
      <c r="BI31" s="12">
        <v>73123059</v>
      </c>
      <c r="BJ31" s="12">
        <v>1422531705</v>
      </c>
      <c r="BK31" s="12">
        <v>403214303</v>
      </c>
      <c r="BL31" s="7"/>
    </row>
    <row r="32" spans="1:64" ht="15" customHeight="1" x14ac:dyDescent="0.35">
      <c r="A32" s="9" t="s">
        <v>368</v>
      </c>
      <c r="B32" s="9">
        <v>41</v>
      </c>
      <c r="C32" s="9" t="s">
        <v>12</v>
      </c>
      <c r="D32" s="9">
        <v>140010051</v>
      </c>
      <c r="E32" s="9" t="s">
        <v>355</v>
      </c>
      <c r="F32" s="9" t="s">
        <v>231</v>
      </c>
      <c r="G32" s="9" t="s">
        <v>390</v>
      </c>
      <c r="H32" s="14">
        <v>77.937399999999997</v>
      </c>
      <c r="I32" s="15">
        <v>2023</v>
      </c>
      <c r="J32" s="15">
        <v>72</v>
      </c>
      <c r="K32" s="15">
        <v>4102</v>
      </c>
      <c r="L32" s="9" t="s">
        <v>13</v>
      </c>
      <c r="M32" s="9" t="s">
        <v>430</v>
      </c>
      <c r="N32" s="17">
        <v>2025050360001</v>
      </c>
      <c r="O32" s="15">
        <v>4102052</v>
      </c>
      <c r="P32" s="9" t="s">
        <v>295</v>
      </c>
      <c r="Q32" s="9" t="s">
        <v>296</v>
      </c>
      <c r="R32" s="9" t="s">
        <v>105</v>
      </c>
      <c r="S32" s="15">
        <v>410205200</v>
      </c>
      <c r="T32" s="9" t="s">
        <v>297</v>
      </c>
      <c r="U32" s="9" t="s">
        <v>14</v>
      </c>
      <c r="V32" s="15">
        <v>16.2</v>
      </c>
      <c r="W32" s="9" t="s">
        <v>15</v>
      </c>
      <c r="X32" s="11">
        <v>90</v>
      </c>
      <c r="Y32" s="11">
        <v>140</v>
      </c>
      <c r="Z32" s="11">
        <v>35</v>
      </c>
      <c r="AA32" s="11">
        <v>35</v>
      </c>
      <c r="AB32" s="11">
        <v>35</v>
      </c>
      <c r="AC32" s="11">
        <v>35</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4">
        <v>24781973</v>
      </c>
      <c r="BB32" s="12"/>
      <c r="BC32" s="12"/>
      <c r="BD32" s="12"/>
      <c r="BE32" s="12"/>
      <c r="BF32" s="12"/>
      <c r="BG32" s="12"/>
      <c r="BH32" s="12"/>
      <c r="BI32" s="12"/>
      <c r="BJ32" s="12"/>
      <c r="BK32" s="12"/>
      <c r="BL32" s="7"/>
    </row>
    <row r="33" spans="1:64" ht="15" customHeight="1" x14ac:dyDescent="0.35">
      <c r="A33" s="9" t="s">
        <v>369</v>
      </c>
      <c r="B33" s="9">
        <v>21</v>
      </c>
      <c r="C33" s="9" t="s">
        <v>40</v>
      </c>
      <c r="D33" s="9">
        <v>110150001</v>
      </c>
      <c r="E33" s="9" t="s">
        <v>353</v>
      </c>
      <c r="F33" s="9" t="s">
        <v>354</v>
      </c>
      <c r="G33" s="9" t="s">
        <v>397</v>
      </c>
      <c r="H33" s="14">
        <v>19.034400000000002</v>
      </c>
      <c r="I33" s="15">
        <v>2017</v>
      </c>
      <c r="J33" s="15">
        <v>17</v>
      </c>
      <c r="K33" s="15">
        <v>2104</v>
      </c>
      <c r="L33" s="9" t="s">
        <v>46</v>
      </c>
      <c r="M33" s="9" t="s">
        <v>420</v>
      </c>
      <c r="N33" s="17">
        <v>2025050360014</v>
      </c>
      <c r="O33" s="15">
        <v>2104012</v>
      </c>
      <c r="P33" s="9" t="s">
        <v>47</v>
      </c>
      <c r="Q33" s="9" t="s">
        <v>48</v>
      </c>
      <c r="R33" s="9" t="s">
        <v>49</v>
      </c>
      <c r="S33" s="15">
        <v>210401200</v>
      </c>
      <c r="T33" s="9" t="s">
        <v>50</v>
      </c>
      <c r="U33" s="9" t="s">
        <v>14</v>
      </c>
      <c r="V33" s="15">
        <v>16.600000000000001</v>
      </c>
      <c r="W33" s="9" t="s">
        <v>15</v>
      </c>
      <c r="X33" s="11">
        <v>0</v>
      </c>
      <c r="Y33" s="11">
        <v>12</v>
      </c>
      <c r="Z33" s="11">
        <v>3</v>
      </c>
      <c r="AA33" s="11">
        <v>3</v>
      </c>
      <c r="AB33" s="11">
        <v>3</v>
      </c>
      <c r="AC33" s="11">
        <v>3</v>
      </c>
      <c r="AD33" s="12"/>
      <c r="AE33" s="12"/>
      <c r="AF33" s="12"/>
      <c r="AG33" s="12"/>
      <c r="AH33" s="12"/>
      <c r="AI33" s="12"/>
      <c r="AJ33" s="12"/>
      <c r="AK33" s="12"/>
      <c r="AL33" s="12"/>
      <c r="AM33" s="12"/>
      <c r="AN33" s="12"/>
      <c r="AO33" s="12"/>
      <c r="AP33" s="12"/>
      <c r="AQ33" s="12"/>
      <c r="AR33" s="12"/>
      <c r="AS33" s="14">
        <v>4374300</v>
      </c>
      <c r="AT33" s="12"/>
      <c r="AU33" s="12"/>
      <c r="AV33" s="12"/>
      <c r="AW33" s="12"/>
      <c r="AX33" s="12"/>
      <c r="AY33" s="12"/>
      <c r="AZ33" s="12"/>
      <c r="BA33" s="12"/>
      <c r="BB33" s="12"/>
      <c r="BC33" s="12"/>
      <c r="BD33" s="12"/>
      <c r="BE33" s="12"/>
      <c r="BF33" s="12"/>
      <c r="BG33" s="12"/>
      <c r="BH33" s="12"/>
      <c r="BI33" s="12"/>
      <c r="BJ33" s="12"/>
      <c r="BK33" s="12"/>
      <c r="BL33" s="7"/>
    </row>
    <row r="34" spans="1:64" ht="15" customHeight="1" x14ac:dyDescent="0.35">
      <c r="A34" s="9" t="s">
        <v>369</v>
      </c>
      <c r="B34" s="9">
        <v>21</v>
      </c>
      <c r="C34" s="9" t="s">
        <v>40</v>
      </c>
      <c r="D34" s="9">
        <v>110150001</v>
      </c>
      <c r="E34" s="9" t="s">
        <v>353</v>
      </c>
      <c r="F34" s="9" t="s">
        <v>354</v>
      </c>
      <c r="G34" s="9" t="s">
        <v>397</v>
      </c>
      <c r="H34" s="14">
        <v>19.034400000000002</v>
      </c>
      <c r="I34" s="15">
        <v>2017</v>
      </c>
      <c r="J34" s="15">
        <v>17</v>
      </c>
      <c r="K34" s="15">
        <v>2104</v>
      </c>
      <c r="L34" s="9" t="s">
        <v>46</v>
      </c>
      <c r="M34" s="9" t="s">
        <v>420</v>
      </c>
      <c r="N34" s="17">
        <v>2025050360014</v>
      </c>
      <c r="O34" s="15">
        <v>2104010</v>
      </c>
      <c r="P34" s="9" t="s">
        <v>51</v>
      </c>
      <c r="Q34" s="9" t="s">
        <v>52</v>
      </c>
      <c r="R34" s="9" t="s">
        <v>28</v>
      </c>
      <c r="S34" s="15">
        <v>210401001</v>
      </c>
      <c r="T34" s="9" t="s">
        <v>53</v>
      </c>
      <c r="U34" s="9" t="s">
        <v>14</v>
      </c>
      <c r="V34" s="15">
        <v>4.4000000000000004</v>
      </c>
      <c r="W34" s="9" t="s">
        <v>15</v>
      </c>
      <c r="X34" s="11" t="s">
        <v>324</v>
      </c>
      <c r="Y34" s="11">
        <v>6</v>
      </c>
      <c r="Z34" s="11">
        <v>0</v>
      </c>
      <c r="AA34" s="11">
        <v>2</v>
      </c>
      <c r="AB34" s="11">
        <v>2</v>
      </c>
      <c r="AC34" s="11">
        <v>2</v>
      </c>
      <c r="AD34" s="12"/>
      <c r="AE34" s="12"/>
      <c r="AF34" s="12"/>
      <c r="AG34" s="12"/>
      <c r="AH34" s="12"/>
      <c r="AI34" s="12"/>
      <c r="AJ34" s="12"/>
      <c r="AK34" s="12"/>
      <c r="AL34" s="12"/>
      <c r="AM34" s="12"/>
      <c r="AN34" s="12"/>
      <c r="AO34" s="12"/>
      <c r="AP34" s="12"/>
      <c r="AQ34" s="12"/>
      <c r="AR34" s="12"/>
      <c r="AS34" s="14">
        <v>4374300</v>
      </c>
      <c r="AT34" s="12"/>
      <c r="AU34" s="12"/>
      <c r="AV34" s="12"/>
      <c r="AW34" s="12"/>
      <c r="AX34" s="12"/>
      <c r="AY34" s="12"/>
      <c r="AZ34" s="12"/>
      <c r="BA34" s="12"/>
      <c r="BB34" s="12"/>
      <c r="BC34" s="12"/>
      <c r="BD34" s="12"/>
      <c r="BE34" s="12"/>
      <c r="BF34" s="12"/>
      <c r="BG34" s="12"/>
      <c r="BH34" s="12"/>
      <c r="BI34" s="12"/>
      <c r="BJ34" s="12"/>
      <c r="BK34" s="12"/>
      <c r="BL34" s="7"/>
    </row>
    <row r="35" spans="1:64" ht="15" customHeight="1" x14ac:dyDescent="0.35">
      <c r="A35" s="9" t="s">
        <v>369</v>
      </c>
      <c r="B35" s="9">
        <v>21</v>
      </c>
      <c r="C35" s="9" t="s">
        <v>40</v>
      </c>
      <c r="D35" s="9">
        <v>110150001</v>
      </c>
      <c r="E35" s="9" t="s">
        <v>353</v>
      </c>
      <c r="F35" s="9" t="s">
        <v>354</v>
      </c>
      <c r="G35" s="9" t="s">
        <v>397</v>
      </c>
      <c r="H35" s="14">
        <v>19.034400000000002</v>
      </c>
      <c r="I35" s="15">
        <v>2017</v>
      </c>
      <c r="J35" s="15">
        <v>17</v>
      </c>
      <c r="K35" s="15">
        <v>2104</v>
      </c>
      <c r="L35" s="9" t="s">
        <v>46</v>
      </c>
      <c r="M35" s="9" t="s">
        <v>420</v>
      </c>
      <c r="N35" s="17">
        <v>2025050360014</v>
      </c>
      <c r="O35" s="15">
        <v>2104004</v>
      </c>
      <c r="P35" s="9" t="s">
        <v>54</v>
      </c>
      <c r="Q35" s="9" t="s">
        <v>55</v>
      </c>
      <c r="R35" s="9" t="s">
        <v>49</v>
      </c>
      <c r="S35" s="15">
        <v>210400400</v>
      </c>
      <c r="T35" s="9" t="s">
        <v>56</v>
      </c>
      <c r="U35" s="9" t="s">
        <v>14</v>
      </c>
      <c r="V35" s="15">
        <v>8.3000000000000007</v>
      </c>
      <c r="W35" s="9" t="s">
        <v>15</v>
      </c>
      <c r="X35" s="11" t="s">
        <v>324</v>
      </c>
      <c r="Y35" s="11">
        <v>9</v>
      </c>
      <c r="Z35" s="11">
        <v>0</v>
      </c>
      <c r="AA35" s="11">
        <v>3</v>
      </c>
      <c r="AB35" s="11">
        <v>3</v>
      </c>
      <c r="AC35" s="11">
        <v>3</v>
      </c>
      <c r="AD35" s="12"/>
      <c r="AE35" s="12"/>
      <c r="AF35" s="12"/>
      <c r="AG35" s="12"/>
      <c r="AH35" s="12"/>
      <c r="AI35" s="12"/>
      <c r="AJ35" s="12"/>
      <c r="AK35" s="12"/>
      <c r="AL35" s="12"/>
      <c r="AM35" s="12"/>
      <c r="AN35" s="12"/>
      <c r="AO35" s="12"/>
      <c r="AP35" s="12"/>
      <c r="AQ35" s="12"/>
      <c r="AR35" s="12"/>
      <c r="AS35" s="14">
        <v>4374300</v>
      </c>
      <c r="AT35" s="12"/>
      <c r="AU35" s="12"/>
      <c r="AV35" s="12"/>
      <c r="AW35" s="12"/>
      <c r="AX35" s="12"/>
      <c r="AY35" s="12"/>
      <c r="AZ35" s="12"/>
      <c r="BA35" s="12"/>
      <c r="BB35" s="12"/>
      <c r="BC35" s="12"/>
      <c r="BD35" s="12"/>
      <c r="BE35" s="12"/>
      <c r="BF35" s="12"/>
      <c r="BG35" s="12"/>
      <c r="BH35" s="12"/>
      <c r="BI35" s="12"/>
      <c r="BJ35" s="12"/>
      <c r="BK35" s="12"/>
      <c r="BL35" s="7"/>
    </row>
    <row r="36" spans="1:64" ht="15" customHeight="1" x14ac:dyDescent="0.35">
      <c r="A36" s="20" t="s">
        <v>369</v>
      </c>
      <c r="B36" s="9">
        <v>35</v>
      </c>
      <c r="C36" s="9" t="s">
        <v>145</v>
      </c>
      <c r="D36" s="9">
        <v>160090004</v>
      </c>
      <c r="E36" s="9" t="s">
        <v>367</v>
      </c>
      <c r="F36" s="9" t="s">
        <v>408</v>
      </c>
      <c r="G36" s="9" t="s">
        <v>409</v>
      </c>
      <c r="H36" s="14">
        <v>0</v>
      </c>
      <c r="I36" s="15">
        <v>2021</v>
      </c>
      <c r="J36" s="15">
        <v>4</v>
      </c>
      <c r="K36" s="15">
        <v>3502</v>
      </c>
      <c r="L36" s="9" t="s">
        <v>146</v>
      </c>
      <c r="M36" s="9" t="s">
        <v>422</v>
      </c>
      <c r="N36" s="17">
        <v>2025050360013</v>
      </c>
      <c r="O36" s="15">
        <v>3502045</v>
      </c>
      <c r="P36" s="9" t="s">
        <v>155</v>
      </c>
      <c r="Q36" s="9" t="s">
        <v>156</v>
      </c>
      <c r="R36" s="9" t="s">
        <v>28</v>
      </c>
      <c r="S36" s="15">
        <v>350204500</v>
      </c>
      <c r="T36" s="9" t="s">
        <v>67</v>
      </c>
      <c r="U36" s="9" t="s">
        <v>14</v>
      </c>
      <c r="V36" s="15">
        <v>4.4000000000000004</v>
      </c>
      <c r="W36" s="9" t="s">
        <v>123</v>
      </c>
      <c r="X36" s="11" t="s">
        <v>324</v>
      </c>
      <c r="Y36" s="11">
        <v>60</v>
      </c>
      <c r="Z36" s="11">
        <v>15</v>
      </c>
      <c r="AA36" s="11">
        <v>15</v>
      </c>
      <c r="AB36" s="11">
        <v>15</v>
      </c>
      <c r="AC36" s="11">
        <v>15</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4">
        <v>15400000</v>
      </c>
      <c r="BC36" s="12"/>
      <c r="BD36" s="12"/>
      <c r="BE36" s="12"/>
      <c r="BF36" s="12"/>
      <c r="BG36" s="12"/>
      <c r="BH36" s="12"/>
      <c r="BI36" s="12"/>
      <c r="BJ36" s="12"/>
      <c r="BK36" s="12"/>
      <c r="BL36" s="7"/>
    </row>
    <row r="37" spans="1:64" ht="15" customHeight="1" x14ac:dyDescent="0.35">
      <c r="A37" s="9" t="s">
        <v>369</v>
      </c>
      <c r="B37" s="9">
        <v>35</v>
      </c>
      <c r="C37" s="9" t="s">
        <v>145</v>
      </c>
      <c r="D37" s="9">
        <v>160090004</v>
      </c>
      <c r="E37" s="9" t="s">
        <v>367</v>
      </c>
      <c r="F37" s="9" t="s">
        <v>408</v>
      </c>
      <c r="G37" s="9" t="s">
        <v>409</v>
      </c>
      <c r="H37" s="14">
        <v>0</v>
      </c>
      <c r="I37" s="15">
        <v>2021</v>
      </c>
      <c r="J37" s="15">
        <v>4</v>
      </c>
      <c r="K37" s="15">
        <v>3502</v>
      </c>
      <c r="L37" s="9" t="s">
        <v>146</v>
      </c>
      <c r="M37" s="9" t="s">
        <v>422</v>
      </c>
      <c r="N37" s="17">
        <v>2025050360013</v>
      </c>
      <c r="O37" s="15">
        <v>3502046</v>
      </c>
      <c r="P37" s="9" t="s">
        <v>157</v>
      </c>
      <c r="Q37" s="9" t="s">
        <v>158</v>
      </c>
      <c r="R37" s="9" t="s">
        <v>134</v>
      </c>
      <c r="S37" s="15">
        <v>350204600</v>
      </c>
      <c r="T37" s="9" t="s">
        <v>159</v>
      </c>
      <c r="U37" s="9" t="s">
        <v>14</v>
      </c>
      <c r="V37" s="15">
        <v>8.9</v>
      </c>
      <c r="W37" s="9" t="s">
        <v>123</v>
      </c>
      <c r="X37" s="11">
        <v>1</v>
      </c>
      <c r="Y37" s="11">
        <v>7</v>
      </c>
      <c r="Z37" s="11">
        <v>1</v>
      </c>
      <c r="AA37" s="11">
        <v>2</v>
      </c>
      <c r="AB37" s="11">
        <v>2</v>
      </c>
      <c r="AC37" s="11">
        <v>2</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4">
        <v>15400000</v>
      </c>
      <c r="BC37" s="12"/>
      <c r="BD37" s="12"/>
      <c r="BE37" s="12"/>
      <c r="BF37" s="12"/>
      <c r="BG37" s="12"/>
      <c r="BH37" s="12"/>
      <c r="BI37" s="12"/>
      <c r="BJ37" s="12"/>
      <c r="BK37" s="12"/>
      <c r="BL37" s="7"/>
    </row>
    <row r="38" spans="1:64" ht="15" customHeight="1" x14ac:dyDescent="0.35">
      <c r="A38" s="9" t="s">
        <v>369</v>
      </c>
      <c r="B38" s="9">
        <v>21</v>
      </c>
      <c r="C38" s="9" t="s">
        <v>40</v>
      </c>
      <c r="D38" s="9">
        <v>110150001</v>
      </c>
      <c r="E38" s="9" t="s">
        <v>353</v>
      </c>
      <c r="F38" s="9" t="s">
        <v>354</v>
      </c>
      <c r="G38" s="9" t="s">
        <v>397</v>
      </c>
      <c r="H38" s="14">
        <v>19.034400000000002</v>
      </c>
      <c r="I38" s="15">
        <v>2017</v>
      </c>
      <c r="J38" s="15">
        <v>17</v>
      </c>
      <c r="K38" s="15">
        <v>2104</v>
      </c>
      <c r="L38" s="9" t="s">
        <v>46</v>
      </c>
      <c r="M38" s="9" t="s">
        <v>420</v>
      </c>
      <c r="N38" s="17">
        <v>2025050360014</v>
      </c>
      <c r="O38" s="15">
        <v>2104018</v>
      </c>
      <c r="P38" s="9" t="s">
        <v>178</v>
      </c>
      <c r="Q38" s="9" t="s">
        <v>179</v>
      </c>
      <c r="R38" s="9" t="s">
        <v>180</v>
      </c>
      <c r="S38" s="15">
        <v>210401804</v>
      </c>
      <c r="T38" s="9" t="s">
        <v>181</v>
      </c>
      <c r="U38" s="9" t="s">
        <v>14</v>
      </c>
      <c r="V38" s="15">
        <v>8.6999999999999993</v>
      </c>
      <c r="W38" s="9" t="s">
        <v>15</v>
      </c>
      <c r="X38" s="11" t="s">
        <v>324</v>
      </c>
      <c r="Y38" s="11">
        <v>15</v>
      </c>
      <c r="Z38" s="11">
        <v>0</v>
      </c>
      <c r="AA38" s="11">
        <v>5</v>
      </c>
      <c r="AB38" s="11">
        <v>5</v>
      </c>
      <c r="AC38" s="11">
        <v>5</v>
      </c>
      <c r="AD38" s="12"/>
      <c r="AE38" s="12"/>
      <c r="AF38" s="12"/>
      <c r="AG38" s="12"/>
      <c r="AH38" s="12"/>
      <c r="AI38" s="12"/>
      <c r="AJ38" s="12"/>
      <c r="AK38" s="12"/>
      <c r="AL38" s="12"/>
      <c r="AM38" s="12"/>
      <c r="AN38" s="12"/>
      <c r="AO38" s="12"/>
      <c r="AP38" s="12"/>
      <c r="AQ38" s="12"/>
      <c r="AR38" s="12"/>
      <c r="AS38" s="14">
        <v>4374300</v>
      </c>
      <c r="AT38" s="12"/>
      <c r="AU38" s="12"/>
      <c r="AV38" s="12"/>
      <c r="AW38" s="12"/>
      <c r="AX38" s="12"/>
      <c r="AY38" s="12"/>
      <c r="AZ38" s="12"/>
      <c r="BA38" s="12"/>
      <c r="BB38" s="12"/>
      <c r="BC38" s="12"/>
      <c r="BD38" s="12"/>
      <c r="BE38" s="12"/>
      <c r="BF38" s="12"/>
      <c r="BG38" s="12"/>
      <c r="BH38" s="12"/>
      <c r="BI38" s="12"/>
      <c r="BJ38" s="12"/>
      <c r="BK38" s="12"/>
      <c r="BL38" s="7"/>
    </row>
    <row r="39" spans="1:64" ht="15" customHeight="1" x14ac:dyDescent="0.35">
      <c r="A39" s="9" t="s">
        <v>369</v>
      </c>
      <c r="B39" s="9">
        <v>21</v>
      </c>
      <c r="C39" s="9" t="s">
        <v>40</v>
      </c>
      <c r="D39" s="9">
        <v>110150001</v>
      </c>
      <c r="E39" s="9" t="s">
        <v>353</v>
      </c>
      <c r="F39" s="9" t="s">
        <v>354</v>
      </c>
      <c r="G39" s="9" t="s">
        <v>397</v>
      </c>
      <c r="H39" s="14">
        <v>19.034400000000002</v>
      </c>
      <c r="I39" s="15">
        <v>2017</v>
      </c>
      <c r="J39" s="15">
        <v>17</v>
      </c>
      <c r="K39" s="15">
        <v>2104</v>
      </c>
      <c r="L39" s="9" t="s">
        <v>46</v>
      </c>
      <c r="M39" s="9" t="s">
        <v>420</v>
      </c>
      <c r="N39" s="17">
        <v>2025050360014</v>
      </c>
      <c r="O39" s="15">
        <v>2104024</v>
      </c>
      <c r="P39" s="9" t="s">
        <v>182</v>
      </c>
      <c r="Q39" s="9" t="s">
        <v>183</v>
      </c>
      <c r="R39" s="9" t="s">
        <v>28</v>
      </c>
      <c r="S39" s="15">
        <v>210402400</v>
      </c>
      <c r="T39" s="9" t="s">
        <v>67</v>
      </c>
      <c r="U39" s="9" t="s">
        <v>14</v>
      </c>
      <c r="V39" s="15">
        <v>4.4000000000000004</v>
      </c>
      <c r="W39" s="9" t="s">
        <v>15</v>
      </c>
      <c r="X39" s="11" t="s">
        <v>324</v>
      </c>
      <c r="Y39" s="11">
        <v>90</v>
      </c>
      <c r="Z39" s="11">
        <v>0</v>
      </c>
      <c r="AA39" s="11">
        <v>30</v>
      </c>
      <c r="AB39" s="11">
        <v>30</v>
      </c>
      <c r="AC39" s="11">
        <v>30</v>
      </c>
      <c r="AD39" s="12"/>
      <c r="AE39" s="12"/>
      <c r="AF39" s="12"/>
      <c r="AG39" s="12"/>
      <c r="AH39" s="12"/>
      <c r="AI39" s="12"/>
      <c r="AJ39" s="12"/>
      <c r="AK39" s="12"/>
      <c r="AL39" s="12"/>
      <c r="AM39" s="12"/>
      <c r="AN39" s="12"/>
      <c r="AO39" s="12"/>
      <c r="AP39" s="12"/>
      <c r="AQ39" s="12"/>
      <c r="AR39" s="12"/>
      <c r="AS39" s="14">
        <v>4374300</v>
      </c>
      <c r="AT39" s="12"/>
      <c r="AU39" s="12"/>
      <c r="AV39" s="12"/>
      <c r="AW39" s="12"/>
      <c r="AX39" s="12"/>
      <c r="AY39" s="12"/>
      <c r="AZ39" s="12"/>
      <c r="BA39" s="12"/>
      <c r="BB39" s="12"/>
      <c r="BC39" s="12"/>
      <c r="BD39" s="12"/>
      <c r="BE39" s="12"/>
      <c r="BF39" s="12"/>
      <c r="BG39" s="12"/>
      <c r="BH39" s="12"/>
      <c r="BI39" s="12"/>
      <c r="BJ39" s="12"/>
      <c r="BK39" s="12"/>
      <c r="BL39" s="7"/>
    </row>
    <row r="40" spans="1:64" ht="15" customHeight="1" x14ac:dyDescent="0.35">
      <c r="A40" s="9" t="s">
        <v>370</v>
      </c>
      <c r="B40" s="9">
        <v>17</v>
      </c>
      <c r="C40" s="9" t="s">
        <v>121</v>
      </c>
      <c r="D40" s="9">
        <v>120060005</v>
      </c>
      <c r="E40" s="9" t="s">
        <v>341</v>
      </c>
      <c r="F40" s="9" t="s">
        <v>342</v>
      </c>
      <c r="G40" s="9" t="s">
        <v>398</v>
      </c>
      <c r="H40" s="14">
        <v>22.276399999999999</v>
      </c>
      <c r="I40" s="15">
        <v>2014</v>
      </c>
      <c r="J40" s="15">
        <v>50</v>
      </c>
      <c r="K40" s="15">
        <v>1707</v>
      </c>
      <c r="L40" s="9" t="s">
        <v>124</v>
      </c>
      <c r="M40" s="19" t="s">
        <v>439</v>
      </c>
      <c r="N40" s="17">
        <v>2025050360039</v>
      </c>
      <c r="O40" s="15">
        <v>1707024</v>
      </c>
      <c r="P40" s="9" t="s">
        <v>125</v>
      </c>
      <c r="Q40" s="9" t="s">
        <v>126</v>
      </c>
      <c r="R40" s="9" t="s">
        <v>127</v>
      </c>
      <c r="S40" s="15">
        <v>170702400</v>
      </c>
      <c r="T40" s="9" t="s">
        <v>128</v>
      </c>
      <c r="U40" s="9" t="s">
        <v>14</v>
      </c>
      <c r="V40" s="15" t="s">
        <v>306</v>
      </c>
      <c r="W40" s="9" t="s">
        <v>123</v>
      </c>
      <c r="X40" s="11">
        <v>500</v>
      </c>
      <c r="Y40" s="11">
        <v>560</v>
      </c>
      <c r="Z40" s="11">
        <v>140</v>
      </c>
      <c r="AA40" s="11">
        <v>140</v>
      </c>
      <c r="AB40" s="11">
        <v>140</v>
      </c>
      <c r="AC40" s="11">
        <v>140</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4">
        <v>69877500</v>
      </c>
      <c r="BC40" s="12"/>
      <c r="BD40" s="12"/>
      <c r="BE40" s="12"/>
      <c r="BF40" s="12"/>
      <c r="BG40" s="12"/>
      <c r="BH40" s="12"/>
      <c r="BI40" s="12"/>
      <c r="BJ40" s="12"/>
      <c r="BK40" s="12"/>
      <c r="BL40" s="7"/>
    </row>
    <row r="41" spans="1:64" ht="15" customHeight="1" x14ac:dyDescent="0.35">
      <c r="A41" s="9" t="s">
        <v>370</v>
      </c>
      <c r="B41" s="9">
        <v>32</v>
      </c>
      <c r="C41" s="9" t="s">
        <v>129</v>
      </c>
      <c r="D41" s="9">
        <v>110070013</v>
      </c>
      <c r="E41" s="9" t="s">
        <v>351</v>
      </c>
      <c r="F41" s="9" t="s">
        <v>352</v>
      </c>
      <c r="G41" s="9" t="s">
        <v>399</v>
      </c>
      <c r="H41" s="14" t="s">
        <v>412</v>
      </c>
      <c r="I41" s="15" t="s">
        <v>412</v>
      </c>
      <c r="J41" s="15">
        <v>1</v>
      </c>
      <c r="K41" s="15">
        <v>3202</v>
      </c>
      <c r="L41" s="9" t="s">
        <v>130</v>
      </c>
      <c r="M41" s="9" t="s">
        <v>417</v>
      </c>
      <c r="N41" s="17">
        <v>2025050360020</v>
      </c>
      <c r="O41" s="15">
        <v>3202014</v>
      </c>
      <c r="P41" s="9" t="s">
        <v>131</v>
      </c>
      <c r="Q41" s="9" t="s">
        <v>132</v>
      </c>
      <c r="R41" s="9" t="s">
        <v>28</v>
      </c>
      <c r="S41" s="15">
        <v>320201402</v>
      </c>
      <c r="T41" s="9" t="s">
        <v>133</v>
      </c>
      <c r="U41" s="9" t="s">
        <v>14</v>
      </c>
      <c r="V41" s="15">
        <v>12.8</v>
      </c>
      <c r="W41" s="9" t="s">
        <v>123</v>
      </c>
      <c r="X41" s="11">
        <v>8</v>
      </c>
      <c r="Y41" s="11">
        <v>8</v>
      </c>
      <c r="Z41" s="11">
        <v>2</v>
      </c>
      <c r="AA41" s="11">
        <v>2</v>
      </c>
      <c r="AB41" s="11">
        <v>2</v>
      </c>
      <c r="AC41" s="11">
        <v>2</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4">
        <v>40425000</v>
      </c>
      <c r="BC41" s="12"/>
      <c r="BD41" s="12"/>
      <c r="BE41" s="12"/>
      <c r="BF41" s="12"/>
      <c r="BG41" s="12"/>
      <c r="BH41" s="12"/>
      <c r="BI41" s="12"/>
      <c r="BJ41" s="12"/>
      <c r="BK41" s="12"/>
      <c r="BL41" s="7"/>
    </row>
    <row r="42" spans="1:64" ht="15" customHeight="1" x14ac:dyDescent="0.35">
      <c r="A42" s="9" t="s">
        <v>370</v>
      </c>
      <c r="B42" s="9">
        <v>17</v>
      </c>
      <c r="C42" s="9" t="s">
        <v>121</v>
      </c>
      <c r="D42" s="9">
        <v>120060005</v>
      </c>
      <c r="E42" s="9" t="s">
        <v>341</v>
      </c>
      <c r="F42" s="9" t="s">
        <v>342</v>
      </c>
      <c r="G42" s="9" t="s">
        <v>398</v>
      </c>
      <c r="H42" s="14">
        <v>22.276399999999999</v>
      </c>
      <c r="I42" s="15">
        <v>2014</v>
      </c>
      <c r="J42" s="15">
        <v>50</v>
      </c>
      <c r="K42" s="15">
        <v>1708</v>
      </c>
      <c r="L42" s="9" t="s">
        <v>135</v>
      </c>
      <c r="M42" s="9" t="s">
        <v>440</v>
      </c>
      <c r="N42" s="17">
        <v>2025050360025</v>
      </c>
      <c r="O42" s="15">
        <v>1708041</v>
      </c>
      <c r="P42" s="9" t="s">
        <v>136</v>
      </c>
      <c r="Q42" s="9" t="s">
        <v>137</v>
      </c>
      <c r="R42" s="9" t="s">
        <v>138</v>
      </c>
      <c r="S42" s="15">
        <v>170804100</v>
      </c>
      <c r="T42" s="9" t="s">
        <v>139</v>
      </c>
      <c r="U42" s="9" t="s">
        <v>14</v>
      </c>
      <c r="V42" s="15" t="s">
        <v>302</v>
      </c>
      <c r="W42" s="9" t="s">
        <v>123</v>
      </c>
      <c r="X42" s="11">
        <v>200</v>
      </c>
      <c r="Y42" s="11">
        <v>400</v>
      </c>
      <c r="Z42" s="11">
        <v>100</v>
      </c>
      <c r="AA42" s="11">
        <v>100</v>
      </c>
      <c r="AB42" s="11">
        <v>100</v>
      </c>
      <c r="AC42" s="11">
        <v>100</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4">
        <v>10000000</v>
      </c>
      <c r="BC42" s="12"/>
      <c r="BD42" s="12"/>
      <c r="BE42" s="12"/>
      <c r="BF42" s="12"/>
      <c r="BG42" s="12"/>
      <c r="BH42" s="12"/>
      <c r="BI42" s="12"/>
      <c r="BJ42" s="12"/>
      <c r="BK42" s="12"/>
      <c r="BL42" s="7"/>
    </row>
    <row r="43" spans="1:64" ht="15" customHeight="1" x14ac:dyDescent="0.35">
      <c r="A43" s="9" t="s">
        <v>370</v>
      </c>
      <c r="B43" s="9">
        <v>17</v>
      </c>
      <c r="C43" s="9" t="s">
        <v>121</v>
      </c>
      <c r="D43" s="9">
        <v>120060005</v>
      </c>
      <c r="E43" s="9" t="s">
        <v>341</v>
      </c>
      <c r="F43" s="9" t="s">
        <v>342</v>
      </c>
      <c r="G43" s="9" t="s">
        <v>398</v>
      </c>
      <c r="H43" s="14">
        <v>22.276399999999999</v>
      </c>
      <c r="I43" s="15">
        <v>2014</v>
      </c>
      <c r="J43" s="15">
        <v>50</v>
      </c>
      <c r="K43" s="15">
        <v>1702</v>
      </c>
      <c r="L43" s="9" t="s">
        <v>122</v>
      </c>
      <c r="M43" s="9" t="s">
        <v>431</v>
      </c>
      <c r="N43" s="17">
        <v>2025050360002</v>
      </c>
      <c r="O43" s="15">
        <v>1702014</v>
      </c>
      <c r="P43" s="9" t="s">
        <v>164</v>
      </c>
      <c r="Q43" s="9" t="s">
        <v>165</v>
      </c>
      <c r="R43" s="9" t="s">
        <v>138</v>
      </c>
      <c r="S43" s="15">
        <v>170201401</v>
      </c>
      <c r="T43" s="9" t="s">
        <v>325</v>
      </c>
      <c r="U43" s="9" t="s">
        <v>14</v>
      </c>
      <c r="V43" s="15">
        <v>1.4</v>
      </c>
      <c r="W43" s="9" t="s">
        <v>123</v>
      </c>
      <c r="X43" s="11">
        <v>0</v>
      </c>
      <c r="Y43" s="11">
        <v>30</v>
      </c>
      <c r="Z43" s="11">
        <v>0</v>
      </c>
      <c r="AA43" s="11">
        <v>10</v>
      </c>
      <c r="AB43" s="11">
        <v>10</v>
      </c>
      <c r="AC43" s="11">
        <v>10</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4">
        <v>15000000</v>
      </c>
      <c r="BC43" s="12"/>
      <c r="BD43" s="12"/>
      <c r="BE43" s="12"/>
      <c r="BF43" s="12"/>
      <c r="BG43" s="12"/>
      <c r="BH43" s="12"/>
      <c r="BI43" s="12"/>
      <c r="BJ43" s="12"/>
      <c r="BK43" s="12"/>
      <c r="BL43" s="7"/>
    </row>
    <row r="44" spans="1:64" ht="15" customHeight="1" x14ac:dyDescent="0.35">
      <c r="A44" s="9" t="s">
        <v>370</v>
      </c>
      <c r="B44" s="9">
        <v>32</v>
      </c>
      <c r="C44" s="9" t="s">
        <v>129</v>
      </c>
      <c r="D44" s="9">
        <v>110070013</v>
      </c>
      <c r="E44" s="9" t="s">
        <v>351</v>
      </c>
      <c r="F44" s="9" t="s">
        <v>352</v>
      </c>
      <c r="G44" s="9" t="s">
        <v>399</v>
      </c>
      <c r="H44" s="14" t="s">
        <v>412</v>
      </c>
      <c r="I44" s="15" t="s">
        <v>412</v>
      </c>
      <c r="J44" s="15">
        <v>1</v>
      </c>
      <c r="K44" s="15">
        <v>3202</v>
      </c>
      <c r="L44" s="9" t="s">
        <v>130</v>
      </c>
      <c r="M44" s="9" t="s">
        <v>417</v>
      </c>
      <c r="N44" s="17">
        <v>2025050360020</v>
      </c>
      <c r="O44" s="15">
        <v>3202037</v>
      </c>
      <c r="P44" s="9" t="s">
        <v>171</v>
      </c>
      <c r="Q44" s="9" t="s">
        <v>172</v>
      </c>
      <c r="R44" s="9" t="s">
        <v>173</v>
      </c>
      <c r="S44" s="15">
        <v>320203700</v>
      </c>
      <c r="T44" s="9" t="s">
        <v>174</v>
      </c>
      <c r="U44" s="9" t="s">
        <v>175</v>
      </c>
      <c r="V44" s="15">
        <v>6.6</v>
      </c>
      <c r="W44" s="9" t="s">
        <v>123</v>
      </c>
      <c r="X44" s="11">
        <v>1</v>
      </c>
      <c r="Y44" s="11">
        <v>5</v>
      </c>
      <c r="Z44" s="11">
        <v>0</v>
      </c>
      <c r="AA44" s="11">
        <v>5</v>
      </c>
      <c r="AB44" s="11">
        <v>0</v>
      </c>
      <c r="AC44" s="11">
        <v>0</v>
      </c>
      <c r="AD44" s="14">
        <v>13042784</v>
      </c>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7"/>
    </row>
    <row r="45" spans="1:64" ht="15" customHeight="1" x14ac:dyDescent="0.35">
      <c r="A45" s="9" t="s">
        <v>370</v>
      </c>
      <c r="B45" s="9">
        <v>17</v>
      </c>
      <c r="C45" s="9" t="s">
        <v>121</v>
      </c>
      <c r="D45" s="9">
        <v>120060005</v>
      </c>
      <c r="E45" s="9" t="s">
        <v>341</v>
      </c>
      <c r="F45" s="9" t="s">
        <v>342</v>
      </c>
      <c r="G45" s="9" t="s">
        <v>398</v>
      </c>
      <c r="H45" s="14">
        <v>22.276399999999999</v>
      </c>
      <c r="I45" s="15">
        <v>2014</v>
      </c>
      <c r="J45" s="15">
        <v>50</v>
      </c>
      <c r="K45" s="15">
        <v>1702</v>
      </c>
      <c r="L45" s="9" t="s">
        <v>122</v>
      </c>
      <c r="M45" s="9" t="s">
        <v>431</v>
      </c>
      <c r="N45" s="17">
        <v>2025050360002</v>
      </c>
      <c r="O45" s="15">
        <v>1702038</v>
      </c>
      <c r="P45" s="9" t="s">
        <v>241</v>
      </c>
      <c r="Q45" s="9" t="s">
        <v>242</v>
      </c>
      <c r="R45" s="9" t="s">
        <v>243</v>
      </c>
      <c r="S45" s="15">
        <v>170203805</v>
      </c>
      <c r="T45" s="9" t="s">
        <v>244</v>
      </c>
      <c r="U45" s="9" t="s">
        <v>14</v>
      </c>
      <c r="V45" s="15" t="s">
        <v>307</v>
      </c>
      <c r="W45" s="9" t="s">
        <v>123</v>
      </c>
      <c r="X45" s="11">
        <v>15</v>
      </c>
      <c r="Y45" s="11">
        <v>39</v>
      </c>
      <c r="Z45" s="11">
        <v>6</v>
      </c>
      <c r="AA45" s="11">
        <v>11</v>
      </c>
      <c r="AB45" s="11">
        <v>11</v>
      </c>
      <c r="AC45" s="11">
        <v>11</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4">
        <v>10000000</v>
      </c>
      <c r="BC45" s="12"/>
      <c r="BD45" s="12"/>
      <c r="BE45" s="12"/>
      <c r="BF45" s="12"/>
      <c r="BG45" s="12"/>
      <c r="BH45" s="12"/>
      <c r="BI45" s="12"/>
      <c r="BJ45" s="12"/>
      <c r="BK45" s="12"/>
      <c r="BL45" s="7"/>
    </row>
    <row r="46" spans="1:64" ht="15" customHeight="1" x14ac:dyDescent="0.35">
      <c r="A46" s="9" t="s">
        <v>370</v>
      </c>
      <c r="B46" s="9">
        <v>32</v>
      </c>
      <c r="C46" s="9" t="s">
        <v>129</v>
      </c>
      <c r="D46" s="9">
        <v>110030011</v>
      </c>
      <c r="E46" s="9" t="s">
        <v>350</v>
      </c>
      <c r="F46" s="9" t="s">
        <v>410</v>
      </c>
      <c r="G46" s="9" t="s">
        <v>411</v>
      </c>
      <c r="H46" s="14" t="s">
        <v>412</v>
      </c>
      <c r="I46" s="15" t="s">
        <v>412</v>
      </c>
      <c r="J46" s="15">
        <v>5</v>
      </c>
      <c r="K46" s="15">
        <v>3202</v>
      </c>
      <c r="L46" s="9" t="s">
        <v>130</v>
      </c>
      <c r="M46" s="9" t="s">
        <v>417</v>
      </c>
      <c r="N46" s="17">
        <v>2025050360020</v>
      </c>
      <c r="O46" s="15">
        <v>3202043</v>
      </c>
      <c r="P46" s="9" t="s">
        <v>245</v>
      </c>
      <c r="Q46" s="9" t="s">
        <v>246</v>
      </c>
      <c r="R46" s="9" t="s">
        <v>247</v>
      </c>
      <c r="S46" s="15">
        <v>320204300</v>
      </c>
      <c r="T46" s="9" t="s">
        <v>248</v>
      </c>
      <c r="U46" s="9" t="s">
        <v>175</v>
      </c>
      <c r="V46" s="15" t="s">
        <v>310</v>
      </c>
      <c r="W46" s="9" t="s">
        <v>123</v>
      </c>
      <c r="X46" s="11">
        <v>0</v>
      </c>
      <c r="Y46" s="11">
        <v>40</v>
      </c>
      <c r="Z46" s="11">
        <v>0</v>
      </c>
      <c r="AA46" s="11">
        <v>10</v>
      </c>
      <c r="AB46" s="11">
        <v>15</v>
      </c>
      <c r="AC46" s="11">
        <v>15</v>
      </c>
      <c r="AD46" s="12"/>
      <c r="AE46" s="12"/>
      <c r="AF46" s="12"/>
      <c r="AG46" s="12"/>
      <c r="AH46" s="12"/>
      <c r="AI46" s="12"/>
      <c r="AJ46" s="12"/>
      <c r="AK46" s="12"/>
      <c r="AL46" s="12"/>
      <c r="AM46" s="12"/>
      <c r="AN46" s="12"/>
      <c r="AO46" s="12"/>
      <c r="AP46" s="14">
        <v>13852840.26</v>
      </c>
      <c r="AQ46" s="12"/>
      <c r="AR46" s="12"/>
      <c r="AS46" s="12"/>
      <c r="AT46" s="12"/>
      <c r="AU46" s="12"/>
      <c r="AV46" s="12"/>
      <c r="AW46" s="12"/>
      <c r="AX46" s="12"/>
      <c r="AY46" s="12"/>
      <c r="AZ46" s="12"/>
      <c r="BA46" s="12"/>
      <c r="BB46" s="12"/>
      <c r="BC46" s="12"/>
      <c r="BD46" s="12"/>
      <c r="BE46" s="12"/>
      <c r="BF46" s="12"/>
      <c r="BG46" s="12"/>
      <c r="BH46" s="12"/>
      <c r="BI46" s="12"/>
      <c r="BJ46" s="12"/>
      <c r="BK46" s="12"/>
      <c r="BL46" s="7"/>
    </row>
    <row r="47" spans="1:64" ht="15" customHeight="1" x14ac:dyDescent="0.35">
      <c r="A47" s="9" t="s">
        <v>370</v>
      </c>
      <c r="B47" s="9">
        <v>32</v>
      </c>
      <c r="C47" s="9" t="s">
        <v>129</v>
      </c>
      <c r="D47" s="9">
        <v>110030011</v>
      </c>
      <c r="E47" s="9" t="s">
        <v>350</v>
      </c>
      <c r="F47" s="9" t="s">
        <v>410</v>
      </c>
      <c r="G47" s="9" t="s">
        <v>411</v>
      </c>
      <c r="H47" s="14" t="s">
        <v>412</v>
      </c>
      <c r="I47" s="15" t="s">
        <v>412</v>
      </c>
      <c r="J47" s="15">
        <v>5</v>
      </c>
      <c r="K47" s="15">
        <v>3202</v>
      </c>
      <c r="L47" s="9" t="s">
        <v>130</v>
      </c>
      <c r="M47" s="9" t="s">
        <v>417</v>
      </c>
      <c r="N47" s="17">
        <v>2025050360020</v>
      </c>
      <c r="O47" s="15">
        <v>3202006</v>
      </c>
      <c r="P47" s="9" t="s">
        <v>277</v>
      </c>
      <c r="Q47" s="9" t="s">
        <v>278</v>
      </c>
      <c r="R47" s="9" t="s">
        <v>279</v>
      </c>
      <c r="S47" s="15">
        <v>320200604</v>
      </c>
      <c r="T47" s="9" t="s">
        <v>280</v>
      </c>
      <c r="U47" s="9" t="s">
        <v>14</v>
      </c>
      <c r="V47" s="15">
        <v>15.2</v>
      </c>
      <c r="W47" s="9" t="s">
        <v>123</v>
      </c>
      <c r="X47" s="11">
        <v>1500</v>
      </c>
      <c r="Y47" s="11">
        <v>8000</v>
      </c>
      <c r="Z47" s="11">
        <v>0</v>
      </c>
      <c r="AA47" s="11">
        <v>4000</v>
      </c>
      <c r="AB47" s="11">
        <v>0</v>
      </c>
      <c r="AC47" s="11">
        <v>4000</v>
      </c>
      <c r="AD47" s="12"/>
      <c r="AE47" s="12"/>
      <c r="AF47" s="12"/>
      <c r="AG47" s="12"/>
      <c r="AH47" s="12"/>
      <c r="AI47" s="12"/>
      <c r="AJ47" s="12"/>
      <c r="AK47" s="12"/>
      <c r="AL47" s="12"/>
      <c r="AM47" s="12"/>
      <c r="AN47" s="12"/>
      <c r="AO47" s="12"/>
      <c r="AP47" s="14">
        <v>20000000</v>
      </c>
      <c r="AQ47" s="12"/>
      <c r="AR47" s="12"/>
      <c r="AS47" s="12"/>
      <c r="AT47" s="12"/>
      <c r="AU47" s="12"/>
      <c r="AV47" s="12"/>
      <c r="AW47" s="12"/>
      <c r="AX47" s="12"/>
      <c r="AY47" s="12"/>
      <c r="AZ47" s="12"/>
      <c r="BA47" s="12"/>
      <c r="BB47" s="12"/>
      <c r="BC47" s="12"/>
      <c r="BD47" s="12"/>
      <c r="BE47" s="12"/>
      <c r="BF47" s="12"/>
      <c r="BG47" s="12"/>
      <c r="BH47" s="12"/>
      <c r="BI47" s="12"/>
      <c r="BJ47" s="12"/>
      <c r="BK47" s="12"/>
      <c r="BL47" s="7"/>
    </row>
    <row r="48" spans="1:64" ht="15" customHeight="1" x14ac:dyDescent="0.35">
      <c r="A48" s="9" t="s">
        <v>370</v>
      </c>
      <c r="B48" s="9">
        <v>17</v>
      </c>
      <c r="C48" s="9" t="s">
        <v>121</v>
      </c>
      <c r="D48" s="9">
        <v>120060005</v>
      </c>
      <c r="E48" s="9" t="s">
        <v>341</v>
      </c>
      <c r="F48" s="9" t="s">
        <v>342</v>
      </c>
      <c r="G48" s="9" t="s">
        <v>398</v>
      </c>
      <c r="H48" s="14">
        <v>22.276399999999999</v>
      </c>
      <c r="I48" s="15">
        <v>2014</v>
      </c>
      <c r="J48" s="15">
        <v>50</v>
      </c>
      <c r="K48" s="15">
        <v>1702</v>
      </c>
      <c r="L48" s="13" t="s">
        <v>122</v>
      </c>
      <c r="M48" s="9" t="s">
        <v>431</v>
      </c>
      <c r="N48" s="17">
        <v>2025050360002</v>
      </c>
      <c r="O48" s="16">
        <v>1702017</v>
      </c>
      <c r="P48" s="13" t="s">
        <v>344</v>
      </c>
      <c r="Q48" s="13" t="s">
        <v>345</v>
      </c>
      <c r="R48" s="13" t="s">
        <v>346</v>
      </c>
      <c r="S48" s="16">
        <v>170201700</v>
      </c>
      <c r="T48" s="13" t="s">
        <v>308</v>
      </c>
      <c r="U48" s="13" t="s">
        <v>14</v>
      </c>
      <c r="V48" s="15">
        <v>2.2999999999999998</v>
      </c>
      <c r="W48" s="9" t="s">
        <v>123</v>
      </c>
      <c r="X48" s="11">
        <v>0</v>
      </c>
      <c r="Y48" s="11">
        <v>200</v>
      </c>
      <c r="Z48" s="11">
        <v>50</v>
      </c>
      <c r="AA48" s="11">
        <v>50</v>
      </c>
      <c r="AB48" s="11">
        <v>50</v>
      </c>
      <c r="AC48" s="11">
        <v>50</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4">
        <v>68954049</v>
      </c>
      <c r="BC48" s="12"/>
      <c r="BD48" s="12"/>
      <c r="BE48" s="12"/>
      <c r="BF48" s="12"/>
      <c r="BG48" s="12"/>
      <c r="BH48" s="12"/>
      <c r="BI48" s="12"/>
      <c r="BJ48" s="12"/>
      <c r="BK48" s="12"/>
      <c r="BL48" s="7"/>
    </row>
    <row r="49" spans="1:64" ht="15" customHeight="1" x14ac:dyDescent="0.35">
      <c r="A49" s="9" t="s">
        <v>371</v>
      </c>
      <c r="B49" s="9">
        <v>40</v>
      </c>
      <c r="C49" s="9" t="s">
        <v>112</v>
      </c>
      <c r="D49" s="9">
        <v>30010019</v>
      </c>
      <c r="E49" s="9" t="s">
        <v>339</v>
      </c>
      <c r="F49" s="9" t="s">
        <v>231</v>
      </c>
      <c r="G49" s="9" t="s">
        <v>390</v>
      </c>
      <c r="H49" s="14">
        <v>80.885800000000003</v>
      </c>
      <c r="I49" s="15">
        <v>2018</v>
      </c>
      <c r="J49" s="15">
        <v>91</v>
      </c>
      <c r="K49" s="15">
        <v>4003</v>
      </c>
      <c r="L49" s="9" t="s">
        <v>115</v>
      </c>
      <c r="M49" s="9" t="s">
        <v>433</v>
      </c>
      <c r="N49" s="17">
        <v>2025050360011</v>
      </c>
      <c r="O49" s="15">
        <v>4003010</v>
      </c>
      <c r="P49" s="9" t="s">
        <v>116</v>
      </c>
      <c r="Q49" s="9" t="s">
        <v>117</v>
      </c>
      <c r="R49" s="9" t="s">
        <v>118</v>
      </c>
      <c r="S49" s="15">
        <v>400301000</v>
      </c>
      <c r="T49" s="9" t="s">
        <v>119</v>
      </c>
      <c r="U49" s="9" t="s">
        <v>14</v>
      </c>
      <c r="V49" s="15">
        <v>6.2</v>
      </c>
      <c r="W49" s="9" t="s">
        <v>120</v>
      </c>
      <c r="X49" s="11">
        <v>1490</v>
      </c>
      <c r="Y49" s="11">
        <v>6120</v>
      </c>
      <c r="Z49" s="11">
        <v>1500</v>
      </c>
      <c r="AA49" s="11">
        <v>1520</v>
      </c>
      <c r="AB49" s="11">
        <v>1540</v>
      </c>
      <c r="AC49" s="11">
        <v>1560</v>
      </c>
      <c r="AD49" s="12"/>
      <c r="AE49" s="12"/>
      <c r="AF49" s="12">
        <v>13042784</v>
      </c>
      <c r="AG49" s="12"/>
      <c r="AH49" s="12"/>
      <c r="AI49" s="12"/>
      <c r="AJ49" s="12"/>
      <c r="AK49" s="12"/>
      <c r="AL49" s="12"/>
      <c r="AM49" s="12"/>
      <c r="AN49" s="12"/>
      <c r="AO49" s="12"/>
      <c r="AP49" s="12"/>
      <c r="AQ49" s="12"/>
      <c r="AR49" s="12"/>
      <c r="AS49" s="12">
        <v>60840081</v>
      </c>
      <c r="AT49" s="12"/>
      <c r="AU49" s="12"/>
      <c r="AV49" s="12"/>
      <c r="AW49" s="12"/>
      <c r="AX49" s="12"/>
      <c r="AY49" s="12"/>
      <c r="AZ49" s="12"/>
      <c r="BA49" s="12"/>
      <c r="BB49" s="12">
        <v>46000000</v>
      </c>
      <c r="BC49" s="12"/>
      <c r="BD49" s="12"/>
      <c r="BE49" s="12"/>
      <c r="BF49" s="12"/>
      <c r="BG49" s="12"/>
      <c r="BH49" s="12"/>
      <c r="BI49" s="12"/>
      <c r="BJ49" s="12"/>
      <c r="BK49" s="12"/>
      <c r="BL49" s="7"/>
    </row>
    <row r="50" spans="1:64" ht="15" customHeight="1" x14ac:dyDescent="0.35">
      <c r="A50" s="9" t="s">
        <v>371</v>
      </c>
      <c r="B50" s="9">
        <v>40</v>
      </c>
      <c r="C50" s="9" t="s">
        <v>112</v>
      </c>
      <c r="D50" s="9">
        <v>30010006</v>
      </c>
      <c r="E50" s="9" t="s">
        <v>337</v>
      </c>
      <c r="F50" s="9" t="s">
        <v>342</v>
      </c>
      <c r="G50" s="9" t="s">
        <v>390</v>
      </c>
      <c r="H50" s="14">
        <v>64.2774</v>
      </c>
      <c r="I50" s="15">
        <v>2018</v>
      </c>
      <c r="J50" s="15">
        <v>75</v>
      </c>
      <c r="K50" s="15">
        <v>4003</v>
      </c>
      <c r="L50" s="9" t="s">
        <v>115</v>
      </c>
      <c r="M50" s="9" t="s">
        <v>433</v>
      </c>
      <c r="N50" s="17">
        <v>2025050360011</v>
      </c>
      <c r="O50" s="15">
        <v>4003022</v>
      </c>
      <c r="P50" s="9" t="s">
        <v>333</v>
      </c>
      <c r="Q50" s="9" t="s">
        <v>334</v>
      </c>
      <c r="R50" s="9" t="s">
        <v>176</v>
      </c>
      <c r="S50" s="15">
        <v>400302200</v>
      </c>
      <c r="T50" s="9" t="s">
        <v>314</v>
      </c>
      <c r="U50" s="9" t="s">
        <v>14</v>
      </c>
      <c r="V50" s="15">
        <v>11.6</v>
      </c>
      <c r="W50" s="9" t="s">
        <v>120</v>
      </c>
      <c r="X50" s="11">
        <v>1</v>
      </c>
      <c r="Y50" s="11">
        <v>4</v>
      </c>
      <c r="Z50" s="11">
        <v>1</v>
      </c>
      <c r="AA50" s="11">
        <v>1</v>
      </c>
      <c r="AB50" s="11">
        <v>1</v>
      </c>
      <c r="AC50" s="11">
        <v>1</v>
      </c>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4">
        <v>35118121.5</v>
      </c>
      <c r="BC50" s="12"/>
      <c r="BD50" s="12"/>
      <c r="BE50" s="12"/>
      <c r="BF50" s="12"/>
      <c r="BG50" s="12"/>
      <c r="BH50" s="12"/>
      <c r="BI50" s="12"/>
      <c r="BJ50" s="12"/>
      <c r="BK50" s="12"/>
      <c r="BL50" s="7"/>
    </row>
    <row r="51" spans="1:64" ht="15" customHeight="1" x14ac:dyDescent="0.35">
      <c r="A51" s="9" t="s">
        <v>371</v>
      </c>
      <c r="B51" s="9">
        <v>43</v>
      </c>
      <c r="C51" s="9" t="s">
        <v>94</v>
      </c>
      <c r="D51" s="9">
        <v>270030003</v>
      </c>
      <c r="E51" s="9" t="s">
        <v>357</v>
      </c>
      <c r="F51" s="9" t="s">
        <v>408</v>
      </c>
      <c r="G51" s="9" t="s">
        <v>409</v>
      </c>
      <c r="H51" s="14" t="s">
        <v>412</v>
      </c>
      <c r="I51" s="15" t="s">
        <v>412</v>
      </c>
      <c r="J51" s="15">
        <v>480</v>
      </c>
      <c r="K51" s="15">
        <v>4301</v>
      </c>
      <c r="L51" s="9" t="s">
        <v>95</v>
      </c>
      <c r="M51" s="9" t="s">
        <v>424</v>
      </c>
      <c r="N51" s="17">
        <v>2025050360008</v>
      </c>
      <c r="O51" s="15">
        <v>4301004</v>
      </c>
      <c r="P51" s="9" t="s">
        <v>99</v>
      </c>
      <c r="Q51" s="9" t="s">
        <v>100</v>
      </c>
      <c r="R51" s="9" t="s">
        <v>101</v>
      </c>
      <c r="S51" s="15">
        <v>430100400</v>
      </c>
      <c r="T51" s="9" t="s">
        <v>102</v>
      </c>
      <c r="U51" s="9" t="s">
        <v>14</v>
      </c>
      <c r="V51" s="15">
        <v>11.7</v>
      </c>
      <c r="W51" s="9" t="s">
        <v>16</v>
      </c>
      <c r="X51" s="11">
        <v>11</v>
      </c>
      <c r="Y51" s="11">
        <v>11</v>
      </c>
      <c r="Z51" s="11">
        <v>2</v>
      </c>
      <c r="AA51" s="11">
        <v>3</v>
      </c>
      <c r="AB51" s="11">
        <v>3</v>
      </c>
      <c r="AC51" s="11">
        <v>3</v>
      </c>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4">
        <v>27141633</v>
      </c>
      <c r="BH51" s="14"/>
      <c r="BI51" s="12"/>
      <c r="BJ51" s="12"/>
      <c r="BK51" s="12"/>
      <c r="BL51" s="7"/>
    </row>
    <row r="52" spans="1:64" ht="15" customHeight="1" x14ac:dyDescent="0.35">
      <c r="A52" s="9" t="s">
        <v>371</v>
      </c>
      <c r="B52" s="9">
        <v>21</v>
      </c>
      <c r="C52" s="9" t="s">
        <v>40</v>
      </c>
      <c r="D52" s="10">
        <v>110130003</v>
      </c>
      <c r="E52" s="10" t="s">
        <v>362</v>
      </c>
      <c r="F52" s="9" t="s">
        <v>363</v>
      </c>
      <c r="G52" s="9" t="s">
        <v>400</v>
      </c>
      <c r="H52" s="14">
        <v>27626016</v>
      </c>
      <c r="I52" s="15">
        <v>2020</v>
      </c>
      <c r="J52" s="15">
        <v>812000000</v>
      </c>
      <c r="K52" s="15">
        <v>2102</v>
      </c>
      <c r="L52" s="9" t="s">
        <v>41</v>
      </c>
      <c r="M52" s="9" t="s">
        <v>423</v>
      </c>
      <c r="N52" s="17">
        <v>2025050360012</v>
      </c>
      <c r="O52" s="15">
        <v>2102011</v>
      </c>
      <c r="P52" s="9" t="s">
        <v>44</v>
      </c>
      <c r="Q52" s="9" t="s">
        <v>45</v>
      </c>
      <c r="R52" s="9" t="s">
        <v>42</v>
      </c>
      <c r="S52" s="15">
        <v>210201100</v>
      </c>
      <c r="T52" s="9" t="s">
        <v>44</v>
      </c>
      <c r="U52" s="9" t="s">
        <v>43</v>
      </c>
      <c r="V52" s="15" t="s">
        <v>309</v>
      </c>
      <c r="W52" s="9" t="s">
        <v>16</v>
      </c>
      <c r="X52" s="11">
        <v>120</v>
      </c>
      <c r="Y52" s="11">
        <v>550</v>
      </c>
      <c r="Z52" s="11">
        <v>0</v>
      </c>
      <c r="AA52" s="11">
        <v>0</v>
      </c>
      <c r="AB52" s="11">
        <v>250</v>
      </c>
      <c r="AC52" s="11">
        <v>300</v>
      </c>
      <c r="AD52" s="12"/>
      <c r="AE52" s="12"/>
      <c r="AF52" s="12"/>
      <c r="AG52" s="12"/>
      <c r="AH52" s="12"/>
      <c r="AI52" s="12"/>
      <c r="AJ52" s="12"/>
      <c r="AK52" s="12"/>
      <c r="AL52" s="12"/>
      <c r="AM52" s="12"/>
      <c r="AN52" s="12"/>
      <c r="AO52" s="12"/>
      <c r="AP52" s="12"/>
      <c r="AQ52" s="12">
        <v>242837729</v>
      </c>
      <c r="AR52" s="12"/>
      <c r="AS52" s="12"/>
      <c r="AT52" s="12"/>
      <c r="AU52" s="12"/>
      <c r="AV52" s="12"/>
      <c r="AW52" s="12"/>
      <c r="AX52" s="12"/>
      <c r="AY52" s="12"/>
      <c r="AZ52" s="12"/>
      <c r="BA52" s="12"/>
      <c r="BB52" s="12"/>
      <c r="BC52" s="12"/>
      <c r="BD52" s="12"/>
      <c r="BE52" s="12"/>
      <c r="BF52" s="12"/>
      <c r="BG52" s="12"/>
      <c r="BH52" s="12"/>
      <c r="BI52" s="12"/>
      <c r="BJ52" s="12"/>
      <c r="BK52" s="12"/>
      <c r="BL52" s="7"/>
    </row>
    <row r="53" spans="1:64" ht="15" customHeight="1" x14ac:dyDescent="0.35">
      <c r="A53" s="9" t="s">
        <v>371</v>
      </c>
      <c r="B53" s="9">
        <v>32</v>
      </c>
      <c r="C53" s="9" t="s">
        <v>129</v>
      </c>
      <c r="D53" s="9">
        <v>110030011</v>
      </c>
      <c r="E53" s="9" t="s">
        <v>350</v>
      </c>
      <c r="F53" s="9" t="s">
        <v>410</v>
      </c>
      <c r="G53" s="9" t="s">
        <v>411</v>
      </c>
      <c r="H53" s="14" t="s">
        <v>412</v>
      </c>
      <c r="I53" s="15" t="s">
        <v>412</v>
      </c>
      <c r="J53" s="15">
        <v>5</v>
      </c>
      <c r="K53" s="15">
        <v>3202</v>
      </c>
      <c r="L53" s="9" t="s">
        <v>130</v>
      </c>
      <c r="M53" s="9" t="s">
        <v>417</v>
      </c>
      <c r="N53" s="17">
        <v>2025050360020</v>
      </c>
      <c r="O53" s="15">
        <v>3202033</v>
      </c>
      <c r="P53" s="9" t="s">
        <v>167</v>
      </c>
      <c r="Q53" s="9" t="s">
        <v>168</v>
      </c>
      <c r="R53" s="9" t="s">
        <v>169</v>
      </c>
      <c r="S53" s="15">
        <v>320203300</v>
      </c>
      <c r="T53" s="9" t="s">
        <v>170</v>
      </c>
      <c r="U53" s="9" t="s">
        <v>14</v>
      </c>
      <c r="V53" s="15">
        <v>8.9</v>
      </c>
      <c r="W53" s="9" t="s">
        <v>16</v>
      </c>
      <c r="X53" s="11">
        <v>0</v>
      </c>
      <c r="Y53" s="11">
        <v>3</v>
      </c>
      <c r="Z53" s="11">
        <v>0</v>
      </c>
      <c r="AA53" s="11">
        <v>0</v>
      </c>
      <c r="AB53" s="11">
        <v>1</v>
      </c>
      <c r="AC53" s="11">
        <v>2</v>
      </c>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4">
        <v>12000000</v>
      </c>
      <c r="BC53" s="12"/>
      <c r="BD53" s="12"/>
      <c r="BE53" s="12"/>
      <c r="BF53" s="12"/>
      <c r="BG53" s="12"/>
      <c r="BH53" s="12"/>
      <c r="BI53" s="12"/>
      <c r="BJ53" s="12"/>
      <c r="BK53" s="12"/>
      <c r="BL53" s="7"/>
    </row>
    <row r="54" spans="1:64" ht="15" customHeight="1" x14ac:dyDescent="0.35">
      <c r="A54" s="9" t="s">
        <v>371</v>
      </c>
      <c r="B54" s="9">
        <v>24</v>
      </c>
      <c r="C54" s="9" t="s">
        <v>80</v>
      </c>
      <c r="D54" s="9">
        <v>120040010</v>
      </c>
      <c r="E54" s="9" t="s">
        <v>343</v>
      </c>
      <c r="F54" s="9" t="s">
        <v>14</v>
      </c>
      <c r="G54" s="9" t="s">
        <v>398</v>
      </c>
      <c r="H54" s="14">
        <v>615</v>
      </c>
      <c r="I54" s="15">
        <v>2014</v>
      </c>
      <c r="J54" s="15">
        <v>680</v>
      </c>
      <c r="K54" s="15">
        <v>2402</v>
      </c>
      <c r="L54" s="9" t="s">
        <v>81</v>
      </c>
      <c r="M54" s="9" t="s">
        <v>435</v>
      </c>
      <c r="N54" s="17">
        <v>2025050360010</v>
      </c>
      <c r="O54" s="15">
        <v>2402041</v>
      </c>
      <c r="P54" s="9" t="s">
        <v>85</v>
      </c>
      <c r="Q54" s="9" t="s">
        <v>86</v>
      </c>
      <c r="R54" s="9" t="s">
        <v>83</v>
      </c>
      <c r="S54" s="15">
        <v>240204100</v>
      </c>
      <c r="T54" s="9" t="s">
        <v>85</v>
      </c>
      <c r="U54" s="9" t="s">
        <v>84</v>
      </c>
      <c r="V54" s="15">
        <v>9.1</v>
      </c>
      <c r="W54" s="9" t="s">
        <v>16</v>
      </c>
      <c r="X54" s="11">
        <v>41.3</v>
      </c>
      <c r="Y54" s="11">
        <v>10</v>
      </c>
      <c r="Z54" s="11">
        <v>2.5</v>
      </c>
      <c r="AA54" s="11">
        <v>2.5</v>
      </c>
      <c r="AB54" s="11">
        <v>2.5</v>
      </c>
      <c r="AC54" s="11">
        <v>2.5</v>
      </c>
      <c r="AD54" s="12"/>
      <c r="AE54" s="12"/>
      <c r="AF54" s="12"/>
      <c r="AG54" s="12"/>
      <c r="AH54" s="12"/>
      <c r="AI54" s="12">
        <v>640000</v>
      </c>
      <c r="AJ54" s="12">
        <v>800000</v>
      </c>
      <c r="AK54" s="12"/>
      <c r="AL54" s="12"/>
      <c r="AM54" s="12"/>
      <c r="AN54" s="12"/>
      <c r="AO54" s="12"/>
      <c r="AP54" s="12"/>
      <c r="AQ54" s="12"/>
      <c r="AR54" s="12"/>
      <c r="AS54" s="12"/>
      <c r="AT54" s="12"/>
      <c r="AU54" s="12"/>
      <c r="AV54" s="12"/>
      <c r="AW54" s="12"/>
      <c r="AX54" s="12"/>
      <c r="AY54" s="12"/>
      <c r="AZ54" s="12"/>
      <c r="BA54" s="12"/>
      <c r="BB54" s="14">
        <v>124840000</v>
      </c>
      <c r="BC54" s="12"/>
      <c r="BD54" s="12"/>
      <c r="BE54" s="12"/>
      <c r="BF54" s="12"/>
      <c r="BG54" s="12"/>
      <c r="BH54" s="12"/>
      <c r="BI54" s="12"/>
      <c r="BJ54" s="12"/>
      <c r="BK54" s="12"/>
      <c r="BL54" s="7"/>
    </row>
    <row r="55" spans="1:64" ht="15" customHeight="1" x14ac:dyDescent="0.35">
      <c r="A55" s="9" t="s">
        <v>371</v>
      </c>
      <c r="B55" s="9">
        <v>24</v>
      </c>
      <c r="C55" s="9" t="s">
        <v>80</v>
      </c>
      <c r="D55" s="9">
        <v>120040010</v>
      </c>
      <c r="E55" s="9" t="s">
        <v>343</v>
      </c>
      <c r="F55" s="9" t="s">
        <v>14</v>
      </c>
      <c r="G55" s="9" t="s">
        <v>398</v>
      </c>
      <c r="H55" s="14">
        <v>615</v>
      </c>
      <c r="I55" s="15">
        <v>2014</v>
      </c>
      <c r="J55" s="15">
        <v>680</v>
      </c>
      <c r="K55" s="15">
        <v>2402</v>
      </c>
      <c r="L55" s="9" t="s">
        <v>81</v>
      </c>
      <c r="M55" s="9" t="s">
        <v>435</v>
      </c>
      <c r="N55" s="17">
        <v>2025050360010</v>
      </c>
      <c r="O55" s="15">
        <v>2402042</v>
      </c>
      <c r="P55" s="9" t="s">
        <v>87</v>
      </c>
      <c r="Q55" s="9" t="s">
        <v>88</v>
      </c>
      <c r="R55" s="9" t="s">
        <v>89</v>
      </c>
      <c r="S55" s="15">
        <v>240204200</v>
      </c>
      <c r="T55" s="9" t="s">
        <v>85</v>
      </c>
      <c r="U55" s="9" t="s">
        <v>90</v>
      </c>
      <c r="V55" s="15">
        <v>9.1</v>
      </c>
      <c r="W55" s="9" t="s">
        <v>16</v>
      </c>
      <c r="X55" s="11">
        <v>41.3</v>
      </c>
      <c r="Y55" s="11">
        <v>5000</v>
      </c>
      <c r="Z55" s="11">
        <v>1000</v>
      </c>
      <c r="AA55" s="11">
        <v>1000</v>
      </c>
      <c r="AB55" s="11">
        <v>2000</v>
      </c>
      <c r="AC55" s="11">
        <v>1000</v>
      </c>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4">
        <v>150946708</v>
      </c>
      <c r="BC55" s="12"/>
      <c r="BD55" s="12"/>
      <c r="BE55" s="12"/>
      <c r="BF55" s="12"/>
      <c r="BG55" s="12"/>
      <c r="BH55" s="12"/>
      <c r="BI55" s="12"/>
      <c r="BJ55" s="12"/>
      <c r="BK55" s="12"/>
      <c r="BL55" s="7"/>
    </row>
    <row r="56" spans="1:64" ht="15" customHeight="1" x14ac:dyDescent="0.35">
      <c r="A56" s="9" t="s">
        <v>371</v>
      </c>
      <c r="B56" s="9">
        <v>24</v>
      </c>
      <c r="C56" s="9" t="s">
        <v>80</v>
      </c>
      <c r="D56" s="9">
        <v>120040010</v>
      </c>
      <c r="E56" s="9" t="s">
        <v>343</v>
      </c>
      <c r="F56" s="9" t="s">
        <v>14</v>
      </c>
      <c r="G56" s="9" t="s">
        <v>398</v>
      </c>
      <c r="H56" s="14">
        <v>615</v>
      </c>
      <c r="I56" s="15">
        <v>2014</v>
      </c>
      <c r="J56" s="15">
        <v>680</v>
      </c>
      <c r="K56" s="15">
        <v>2402</v>
      </c>
      <c r="L56" s="9" t="s">
        <v>81</v>
      </c>
      <c r="M56" s="9" t="s">
        <v>435</v>
      </c>
      <c r="N56" s="17">
        <v>2025050360010</v>
      </c>
      <c r="O56" s="15">
        <v>2402055</v>
      </c>
      <c r="P56" s="9" t="s">
        <v>91</v>
      </c>
      <c r="Q56" s="9" t="s">
        <v>82</v>
      </c>
      <c r="R56" s="9" t="s">
        <v>92</v>
      </c>
      <c r="S56" s="15">
        <v>240205500</v>
      </c>
      <c r="T56" s="9" t="s">
        <v>93</v>
      </c>
      <c r="U56" s="9" t="s">
        <v>84</v>
      </c>
      <c r="V56" s="15">
        <v>9.1</v>
      </c>
      <c r="W56" s="9" t="s">
        <v>16</v>
      </c>
      <c r="X56" s="11">
        <v>0</v>
      </c>
      <c r="Y56" s="11">
        <v>2</v>
      </c>
      <c r="Z56" s="11">
        <v>0</v>
      </c>
      <c r="AA56" s="11">
        <v>1</v>
      </c>
      <c r="AB56" s="11">
        <v>1</v>
      </c>
      <c r="AC56" s="11">
        <v>0</v>
      </c>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4">
        <v>8000000</v>
      </c>
      <c r="BC56" s="12"/>
      <c r="BD56" s="12"/>
      <c r="BE56" s="12"/>
      <c r="BF56" s="12"/>
      <c r="BG56" s="12"/>
      <c r="BH56" s="12"/>
      <c r="BI56" s="12"/>
      <c r="BJ56" s="12"/>
      <c r="BK56" s="12"/>
      <c r="BL56" s="7"/>
    </row>
    <row r="57" spans="1:64" ht="15" customHeight="1" x14ac:dyDescent="0.35">
      <c r="A57" s="9" t="s">
        <v>371</v>
      </c>
      <c r="B57" s="9">
        <v>40</v>
      </c>
      <c r="C57" s="9" t="s">
        <v>112</v>
      </c>
      <c r="D57" s="9">
        <v>30010004</v>
      </c>
      <c r="E57" s="9" t="s">
        <v>336</v>
      </c>
      <c r="F57" s="9" t="s">
        <v>342</v>
      </c>
      <c r="G57" s="9" t="s">
        <v>390</v>
      </c>
      <c r="H57" s="14">
        <v>88.578100000000006</v>
      </c>
      <c r="I57" s="15">
        <v>2018</v>
      </c>
      <c r="J57" s="15">
        <v>91</v>
      </c>
      <c r="K57" s="15">
        <v>4003</v>
      </c>
      <c r="L57" s="9" t="s">
        <v>115</v>
      </c>
      <c r="M57" s="18" t="s">
        <v>433</v>
      </c>
      <c r="N57" s="17">
        <v>2025050360011</v>
      </c>
      <c r="O57" s="15">
        <v>4003015</v>
      </c>
      <c r="P57" s="9" t="s">
        <v>147</v>
      </c>
      <c r="Q57" s="9" t="s">
        <v>148</v>
      </c>
      <c r="R57" s="9" t="s">
        <v>149</v>
      </c>
      <c r="S57" s="15">
        <v>400301500</v>
      </c>
      <c r="T57" s="9" t="s">
        <v>147</v>
      </c>
      <c r="U57" s="9" t="s">
        <v>14</v>
      </c>
      <c r="V57" s="15">
        <v>6.1</v>
      </c>
      <c r="W57" s="9" t="s">
        <v>16</v>
      </c>
      <c r="X57" s="11">
        <v>4</v>
      </c>
      <c r="Y57" s="11">
        <v>2</v>
      </c>
      <c r="Z57" s="11">
        <v>0</v>
      </c>
      <c r="AA57" s="11">
        <v>0</v>
      </c>
      <c r="AB57" s="11">
        <v>1</v>
      </c>
      <c r="AC57" s="11">
        <v>1</v>
      </c>
      <c r="AD57" s="12"/>
      <c r="AE57" s="12"/>
      <c r="AF57" s="12"/>
      <c r="AG57" s="12"/>
      <c r="AH57" s="12"/>
      <c r="AI57" s="12"/>
      <c r="AJ57" s="12"/>
      <c r="AK57" s="12"/>
      <c r="AL57" s="12"/>
      <c r="AM57" s="12"/>
      <c r="AN57" s="12"/>
      <c r="AO57" s="12"/>
      <c r="AP57" s="12"/>
      <c r="AQ57" s="12"/>
      <c r="AR57" s="12"/>
      <c r="AS57" s="12"/>
      <c r="AT57" s="14">
        <v>160428451</v>
      </c>
      <c r="AU57" s="12"/>
      <c r="AV57" s="12"/>
      <c r="AW57" s="12"/>
      <c r="AX57" s="12"/>
      <c r="AY57" s="12"/>
      <c r="AZ57" s="12"/>
      <c r="BA57" s="12"/>
      <c r="BB57" s="12"/>
      <c r="BC57" s="12"/>
      <c r="BD57" s="12"/>
      <c r="BE57" s="12"/>
      <c r="BF57" s="12"/>
      <c r="BG57" s="12"/>
      <c r="BH57" s="12"/>
      <c r="BI57" s="12"/>
      <c r="BJ57" s="12"/>
      <c r="BK57" s="12"/>
      <c r="BL57" s="7"/>
    </row>
    <row r="58" spans="1:64" ht="15" customHeight="1" x14ac:dyDescent="0.35">
      <c r="A58" s="9" t="s">
        <v>371</v>
      </c>
      <c r="B58" s="9">
        <v>40</v>
      </c>
      <c r="C58" s="9" t="s">
        <v>112</v>
      </c>
      <c r="D58" s="9">
        <v>30010004</v>
      </c>
      <c r="E58" s="9" t="s">
        <v>336</v>
      </c>
      <c r="F58" s="9" t="s">
        <v>342</v>
      </c>
      <c r="G58" s="9" t="s">
        <v>390</v>
      </c>
      <c r="H58" s="14">
        <v>88.578100000000006</v>
      </c>
      <c r="I58" s="15">
        <v>2018</v>
      </c>
      <c r="J58" s="15">
        <v>91</v>
      </c>
      <c r="K58" s="15">
        <v>4003</v>
      </c>
      <c r="L58" s="9" t="s">
        <v>115</v>
      </c>
      <c r="M58" s="9" t="s">
        <v>433</v>
      </c>
      <c r="N58" s="17">
        <v>2025050360011</v>
      </c>
      <c r="O58" s="15">
        <v>4003017</v>
      </c>
      <c r="P58" s="9" t="s">
        <v>150</v>
      </c>
      <c r="Q58" s="9" t="s">
        <v>444</v>
      </c>
      <c r="R58" s="9" t="s">
        <v>149</v>
      </c>
      <c r="S58" s="15">
        <v>400301700</v>
      </c>
      <c r="T58" s="9" t="s">
        <v>150</v>
      </c>
      <c r="U58" s="9" t="s">
        <v>14</v>
      </c>
      <c r="V58" s="15">
        <v>6.1</v>
      </c>
      <c r="W58" s="9" t="s">
        <v>16</v>
      </c>
      <c r="X58" s="11">
        <v>6</v>
      </c>
      <c r="Y58" s="11">
        <v>6</v>
      </c>
      <c r="Z58" s="11">
        <v>0</v>
      </c>
      <c r="AA58" s="11">
        <v>0</v>
      </c>
      <c r="AB58" s="11">
        <v>3</v>
      </c>
      <c r="AC58" s="11">
        <v>3</v>
      </c>
      <c r="AD58" s="12"/>
      <c r="AE58" s="12"/>
      <c r="AF58" s="12"/>
      <c r="AG58" s="12"/>
      <c r="AH58" s="12"/>
      <c r="AI58" s="12"/>
      <c r="AJ58" s="12"/>
      <c r="AK58" s="12"/>
      <c r="AL58" s="12"/>
      <c r="AM58" s="12"/>
      <c r="AN58" s="12"/>
      <c r="AO58" s="12"/>
      <c r="AP58" s="12"/>
      <c r="AQ58" s="12"/>
      <c r="AR58" s="12"/>
      <c r="AS58" s="12"/>
      <c r="AT58" s="14">
        <v>460000000.32049596</v>
      </c>
      <c r="AU58" s="12"/>
      <c r="AV58" s="12"/>
      <c r="AW58" s="12"/>
      <c r="AX58" s="12"/>
      <c r="AY58" s="12"/>
      <c r="AZ58" s="12"/>
      <c r="BA58" s="12"/>
      <c r="BB58" s="12"/>
      <c r="BC58" s="12"/>
      <c r="BD58" s="12"/>
      <c r="BE58" s="12"/>
      <c r="BF58" s="12"/>
      <c r="BG58" s="12"/>
      <c r="BH58" s="12"/>
      <c r="BI58" s="12"/>
      <c r="BJ58" s="12"/>
      <c r="BK58" s="12"/>
      <c r="BL58" s="7"/>
    </row>
    <row r="59" spans="1:64" ht="15" customHeight="1" x14ac:dyDescent="0.35">
      <c r="A59" s="9" t="s">
        <v>371</v>
      </c>
      <c r="B59" s="9">
        <v>40</v>
      </c>
      <c r="C59" s="9" t="s">
        <v>112</v>
      </c>
      <c r="D59" s="9">
        <v>30010006</v>
      </c>
      <c r="E59" s="9" t="s">
        <v>337</v>
      </c>
      <c r="F59" s="9" t="s">
        <v>342</v>
      </c>
      <c r="G59" s="9" t="s">
        <v>390</v>
      </c>
      <c r="H59" s="14">
        <v>64.2774</v>
      </c>
      <c r="I59" s="15">
        <v>2018</v>
      </c>
      <c r="J59" s="15">
        <v>75</v>
      </c>
      <c r="K59" s="15">
        <v>4003</v>
      </c>
      <c r="L59" s="9" t="s">
        <v>115</v>
      </c>
      <c r="M59" s="9" t="s">
        <v>433</v>
      </c>
      <c r="N59" s="17">
        <v>2025050360011</v>
      </c>
      <c r="O59" s="15">
        <v>4003018</v>
      </c>
      <c r="P59" s="9" t="s">
        <v>151</v>
      </c>
      <c r="Q59" s="9" t="s">
        <v>152</v>
      </c>
      <c r="R59" s="9" t="s">
        <v>153</v>
      </c>
      <c r="S59" s="15">
        <v>400301800</v>
      </c>
      <c r="T59" s="9" t="s">
        <v>151</v>
      </c>
      <c r="U59" s="9" t="s">
        <v>14</v>
      </c>
      <c r="V59" s="15">
        <v>6.2</v>
      </c>
      <c r="W59" s="9" t="s">
        <v>16</v>
      </c>
      <c r="X59" s="11">
        <v>2</v>
      </c>
      <c r="Y59" s="11">
        <v>2</v>
      </c>
      <c r="Z59" s="11">
        <v>0</v>
      </c>
      <c r="AA59" s="11">
        <v>0</v>
      </c>
      <c r="AB59" s="11">
        <v>1</v>
      </c>
      <c r="AC59" s="11">
        <v>1</v>
      </c>
      <c r="AD59" s="12"/>
      <c r="AE59" s="12"/>
      <c r="AF59" s="12"/>
      <c r="AG59" s="12"/>
      <c r="AH59" s="12"/>
      <c r="AI59" s="12"/>
      <c r="AJ59" s="12"/>
      <c r="AK59" s="12"/>
      <c r="AL59" s="12"/>
      <c r="AM59" s="12"/>
      <c r="AN59" s="12"/>
      <c r="AO59" s="12"/>
      <c r="AP59" s="12"/>
      <c r="AQ59" s="12"/>
      <c r="AR59" s="12"/>
      <c r="AS59" s="12"/>
      <c r="AT59" s="14">
        <v>150000000</v>
      </c>
      <c r="AU59" s="12"/>
      <c r="AV59" s="12"/>
      <c r="AW59" s="12"/>
      <c r="AX59" s="12"/>
      <c r="AY59" s="12"/>
      <c r="AZ59" s="12"/>
      <c r="BA59" s="12"/>
      <c r="BB59" s="12"/>
      <c r="BC59" s="12"/>
      <c r="BD59" s="12"/>
      <c r="BE59" s="12"/>
      <c r="BF59" s="12"/>
      <c r="BG59" s="12"/>
      <c r="BH59" s="12"/>
      <c r="BI59" s="12"/>
      <c r="BJ59" s="12"/>
      <c r="BK59" s="12"/>
      <c r="BL59" s="7"/>
    </row>
    <row r="60" spans="1:64" ht="15" customHeight="1" x14ac:dyDescent="0.35">
      <c r="A60" s="9" t="s">
        <v>371</v>
      </c>
      <c r="B60" s="9">
        <v>40</v>
      </c>
      <c r="C60" s="9" t="s">
        <v>112</v>
      </c>
      <c r="D60" s="10">
        <v>30010044</v>
      </c>
      <c r="E60" s="10" t="s">
        <v>366</v>
      </c>
      <c r="F60" s="9" t="s">
        <v>259</v>
      </c>
      <c r="G60" s="9" t="s">
        <v>401</v>
      </c>
      <c r="H60" s="14" t="s">
        <v>412</v>
      </c>
      <c r="I60" s="15" t="s">
        <v>412</v>
      </c>
      <c r="J60" s="15">
        <v>10</v>
      </c>
      <c r="K60" s="15">
        <v>4002</v>
      </c>
      <c r="L60" s="9" t="s">
        <v>114</v>
      </c>
      <c r="M60" s="9" t="s">
        <v>434</v>
      </c>
      <c r="N60" s="17">
        <v>2025050360022</v>
      </c>
      <c r="O60" s="15">
        <v>4002019</v>
      </c>
      <c r="P60" s="9" t="s">
        <v>160</v>
      </c>
      <c r="Q60" s="9" t="s">
        <v>161</v>
      </c>
      <c r="R60" s="9" t="s">
        <v>162</v>
      </c>
      <c r="S60" s="15">
        <v>400201900</v>
      </c>
      <c r="T60" s="9" t="s">
        <v>160</v>
      </c>
      <c r="U60" s="9" t="s">
        <v>154</v>
      </c>
      <c r="V60" s="15">
        <v>11.7</v>
      </c>
      <c r="W60" s="9" t="s">
        <v>16</v>
      </c>
      <c r="X60" s="11" t="s">
        <v>324</v>
      </c>
      <c r="Y60" s="11">
        <v>850</v>
      </c>
      <c r="Z60" s="11">
        <v>0</v>
      </c>
      <c r="AA60" s="11">
        <v>850</v>
      </c>
      <c r="AB60" s="11">
        <v>0</v>
      </c>
      <c r="AC60" s="11">
        <v>0</v>
      </c>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4">
        <v>30000000</v>
      </c>
      <c r="BC60" s="12"/>
      <c r="BD60" s="12"/>
      <c r="BE60" s="12"/>
      <c r="BF60" s="12"/>
      <c r="BG60" s="12"/>
      <c r="BH60" s="12"/>
      <c r="BI60" s="12"/>
      <c r="BJ60" s="12"/>
      <c r="BK60" s="12"/>
      <c r="BL60" s="7"/>
    </row>
    <row r="61" spans="1:64" ht="15" customHeight="1" x14ac:dyDescent="0.35">
      <c r="A61" s="9" t="s">
        <v>371</v>
      </c>
      <c r="B61" s="9">
        <v>40</v>
      </c>
      <c r="C61" s="9" t="s">
        <v>112</v>
      </c>
      <c r="D61" s="9">
        <v>30010004</v>
      </c>
      <c r="E61" s="9" t="s">
        <v>336</v>
      </c>
      <c r="F61" s="9" t="s">
        <v>342</v>
      </c>
      <c r="G61" s="9" t="s">
        <v>390</v>
      </c>
      <c r="H61" s="14">
        <v>88.578100000000006</v>
      </c>
      <c r="I61" s="15">
        <v>2018</v>
      </c>
      <c r="J61" s="15">
        <v>91</v>
      </c>
      <c r="K61" s="15">
        <v>4003</v>
      </c>
      <c r="L61" s="9" t="s">
        <v>115</v>
      </c>
      <c r="M61" s="9" t="s">
        <v>433</v>
      </c>
      <c r="N61" s="17">
        <v>2025050360011</v>
      </c>
      <c r="O61" s="15">
        <v>4003047</v>
      </c>
      <c r="P61" s="9" t="s">
        <v>187</v>
      </c>
      <c r="Q61" s="9" t="s">
        <v>188</v>
      </c>
      <c r="R61" s="9" t="s">
        <v>118</v>
      </c>
      <c r="S61" s="15">
        <v>400304700</v>
      </c>
      <c r="T61" s="9" t="s">
        <v>189</v>
      </c>
      <c r="U61" s="9" t="s">
        <v>14</v>
      </c>
      <c r="V61" s="15">
        <v>6.4</v>
      </c>
      <c r="W61" s="9" t="s">
        <v>120</v>
      </c>
      <c r="X61" s="11">
        <v>1490</v>
      </c>
      <c r="Y61" s="11">
        <v>6120</v>
      </c>
      <c r="Z61" s="11">
        <v>1500</v>
      </c>
      <c r="AA61" s="11">
        <v>1520</v>
      </c>
      <c r="AB61" s="11">
        <v>1540</v>
      </c>
      <c r="AC61" s="11">
        <v>1560</v>
      </c>
      <c r="AD61" s="12"/>
      <c r="AE61" s="12"/>
      <c r="AF61" s="12"/>
      <c r="AG61" s="12"/>
      <c r="AH61" s="12"/>
      <c r="AI61" s="12"/>
      <c r="AJ61" s="12"/>
      <c r="AK61" s="12"/>
      <c r="AL61" s="12"/>
      <c r="AM61" s="12"/>
      <c r="AN61" s="12"/>
      <c r="AO61" s="12"/>
      <c r="AP61" s="12"/>
      <c r="AQ61" s="12"/>
      <c r="AR61" s="12"/>
      <c r="AS61" s="12"/>
      <c r="AT61" s="12"/>
      <c r="AU61" s="14">
        <v>204174575</v>
      </c>
      <c r="AV61" s="12"/>
      <c r="AW61" s="12"/>
      <c r="AX61" s="12"/>
      <c r="AY61" s="12"/>
      <c r="AZ61" s="12"/>
      <c r="BA61" s="12"/>
      <c r="BB61" s="12"/>
      <c r="BC61" s="12"/>
      <c r="BD61" s="12"/>
      <c r="BE61" s="12"/>
      <c r="BF61" s="12"/>
      <c r="BG61" s="12"/>
      <c r="BH61" s="12"/>
      <c r="BI61" s="12"/>
      <c r="BJ61" s="12"/>
      <c r="BK61" s="12"/>
      <c r="BL61" s="7"/>
    </row>
    <row r="62" spans="1:64" ht="15" customHeight="1" x14ac:dyDescent="0.35">
      <c r="A62" s="9" t="s">
        <v>371</v>
      </c>
      <c r="B62" s="9">
        <v>40</v>
      </c>
      <c r="C62" s="9" t="s">
        <v>112</v>
      </c>
      <c r="D62" s="9">
        <v>30010009</v>
      </c>
      <c r="E62" s="9" t="s">
        <v>338</v>
      </c>
      <c r="F62" s="9" t="s">
        <v>342</v>
      </c>
      <c r="G62" s="9" t="s">
        <v>390</v>
      </c>
      <c r="H62" s="14">
        <v>3.4843000000000002</v>
      </c>
      <c r="I62" s="15">
        <v>2018</v>
      </c>
      <c r="J62" s="15">
        <v>2</v>
      </c>
      <c r="K62" s="15">
        <v>4001</v>
      </c>
      <c r="L62" s="9" t="s">
        <v>113</v>
      </c>
      <c r="M62" s="9" t="s">
        <v>432</v>
      </c>
      <c r="N62" s="17">
        <v>2025050360009</v>
      </c>
      <c r="O62" s="15">
        <v>4001044</v>
      </c>
      <c r="P62" s="9" t="s">
        <v>209</v>
      </c>
      <c r="Q62" s="9" t="s">
        <v>210</v>
      </c>
      <c r="R62" s="9" t="s">
        <v>208</v>
      </c>
      <c r="S62" s="15">
        <v>400104400</v>
      </c>
      <c r="T62" s="9" t="s">
        <v>209</v>
      </c>
      <c r="U62" s="9" t="s">
        <v>14</v>
      </c>
      <c r="V62" s="15">
        <v>11.1</v>
      </c>
      <c r="W62" s="9" t="s">
        <v>16</v>
      </c>
      <c r="X62" s="11">
        <v>78</v>
      </c>
      <c r="Y62" s="11">
        <v>100</v>
      </c>
      <c r="Z62" s="11">
        <v>0</v>
      </c>
      <c r="AA62" s="11">
        <v>0</v>
      </c>
      <c r="AB62" s="11">
        <v>50</v>
      </c>
      <c r="AC62" s="11">
        <v>50</v>
      </c>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4">
        <v>60000000</v>
      </c>
      <c r="BC62" s="12"/>
      <c r="BD62" s="12"/>
      <c r="BE62" s="12"/>
      <c r="BF62" s="12"/>
      <c r="BG62" s="12"/>
      <c r="BH62" s="12"/>
      <c r="BI62" s="12"/>
      <c r="BJ62" s="12"/>
      <c r="BK62" s="12"/>
      <c r="BL62" s="7"/>
    </row>
    <row r="63" spans="1:64" ht="15" customHeight="1" x14ac:dyDescent="0.35">
      <c r="A63" s="9" t="s">
        <v>371</v>
      </c>
      <c r="B63" s="9">
        <v>45</v>
      </c>
      <c r="C63" s="9" t="s">
        <v>211</v>
      </c>
      <c r="D63" s="9">
        <v>80010008</v>
      </c>
      <c r="E63" s="9" t="s">
        <v>358</v>
      </c>
      <c r="F63" s="9" t="s">
        <v>354</v>
      </c>
      <c r="G63" s="9" t="s">
        <v>392</v>
      </c>
      <c r="H63" s="14">
        <v>55.990099999999998</v>
      </c>
      <c r="I63" s="15">
        <v>2022</v>
      </c>
      <c r="J63" s="15">
        <v>75</v>
      </c>
      <c r="K63" s="15">
        <v>4599</v>
      </c>
      <c r="L63" s="9" t="s">
        <v>230</v>
      </c>
      <c r="M63" s="9" t="s">
        <v>420</v>
      </c>
      <c r="N63" s="17">
        <v>2025050360016</v>
      </c>
      <c r="O63" s="15">
        <v>4599011</v>
      </c>
      <c r="P63" s="8" t="s">
        <v>232</v>
      </c>
      <c r="Q63" s="9" t="s">
        <v>233</v>
      </c>
      <c r="R63" s="9" t="s">
        <v>177</v>
      </c>
      <c r="S63" s="15">
        <v>459901100</v>
      </c>
      <c r="T63" s="9" t="s">
        <v>232</v>
      </c>
      <c r="U63" s="9" t="s">
        <v>14</v>
      </c>
      <c r="V63" s="15">
        <v>16.600000000000001</v>
      </c>
      <c r="W63" s="9" t="s">
        <v>16</v>
      </c>
      <c r="X63" s="11">
        <v>1</v>
      </c>
      <c r="Y63" s="11">
        <v>1</v>
      </c>
      <c r="Z63" s="11">
        <v>1</v>
      </c>
      <c r="AA63" s="11">
        <v>0</v>
      </c>
      <c r="AB63" s="11">
        <v>0</v>
      </c>
      <c r="AC63" s="11">
        <v>0</v>
      </c>
      <c r="AD63" s="12"/>
      <c r="AE63" s="12"/>
      <c r="AF63" s="12"/>
      <c r="AG63" s="12"/>
      <c r="AH63" s="12"/>
      <c r="AI63" s="12"/>
      <c r="AJ63" s="12"/>
      <c r="AK63" s="12"/>
      <c r="AL63" s="12"/>
      <c r="AM63" s="12"/>
      <c r="AN63" s="12"/>
      <c r="AO63" s="12"/>
      <c r="AP63" s="12"/>
      <c r="AQ63" s="12"/>
      <c r="AR63" s="12"/>
      <c r="AS63" s="12">
        <v>19950000</v>
      </c>
      <c r="AT63" s="12"/>
      <c r="AU63" s="12"/>
      <c r="AV63" s="12"/>
      <c r="AW63" s="12"/>
      <c r="AX63" s="12"/>
      <c r="AY63" s="12"/>
      <c r="AZ63" s="12"/>
      <c r="BA63" s="12"/>
      <c r="BB63" s="12">
        <v>40000000</v>
      </c>
      <c r="BC63" s="12"/>
      <c r="BD63" s="12"/>
      <c r="BE63" s="12"/>
      <c r="BF63" s="12"/>
      <c r="BG63" s="12"/>
      <c r="BH63" s="12"/>
      <c r="BI63" s="12"/>
      <c r="BJ63" s="12"/>
      <c r="BK63" s="12"/>
      <c r="BL63" s="7"/>
    </row>
    <row r="64" spans="1:64" ht="15" customHeight="1" x14ac:dyDescent="0.35">
      <c r="A64" s="9" t="s">
        <v>371</v>
      </c>
      <c r="B64" s="9">
        <v>40</v>
      </c>
      <c r="C64" s="9" t="s">
        <v>112</v>
      </c>
      <c r="D64" s="9">
        <v>30010006</v>
      </c>
      <c r="E64" s="9" t="s">
        <v>337</v>
      </c>
      <c r="F64" s="9" t="s">
        <v>342</v>
      </c>
      <c r="G64" s="9" t="s">
        <v>390</v>
      </c>
      <c r="H64" s="14">
        <v>64.2774</v>
      </c>
      <c r="I64" s="15">
        <v>2018</v>
      </c>
      <c r="J64" s="15">
        <v>75</v>
      </c>
      <c r="K64" s="15">
        <v>4003</v>
      </c>
      <c r="L64" s="9" t="s">
        <v>115</v>
      </c>
      <c r="M64" s="18" t="s">
        <v>433</v>
      </c>
      <c r="N64" s="17">
        <v>2025050360011</v>
      </c>
      <c r="O64" s="15">
        <v>4003020</v>
      </c>
      <c r="P64" s="9" t="s">
        <v>311</v>
      </c>
      <c r="Q64" s="9" t="s">
        <v>331</v>
      </c>
      <c r="R64" s="9" t="s">
        <v>153</v>
      </c>
      <c r="S64" s="15">
        <v>400302002</v>
      </c>
      <c r="T64" s="9" t="s">
        <v>332</v>
      </c>
      <c r="U64" s="9" t="s">
        <v>14</v>
      </c>
      <c r="V64" s="15">
        <v>6.2</v>
      </c>
      <c r="W64" s="9" t="s">
        <v>16</v>
      </c>
      <c r="X64" s="11">
        <v>6</v>
      </c>
      <c r="Y64" s="11">
        <v>12</v>
      </c>
      <c r="Z64" s="11">
        <v>3</v>
      </c>
      <c r="AA64" s="11">
        <v>3</v>
      </c>
      <c r="AB64" s="11">
        <v>3</v>
      </c>
      <c r="AC64" s="11">
        <v>3</v>
      </c>
      <c r="AD64" s="12"/>
      <c r="AE64" s="12"/>
      <c r="AF64" s="12"/>
      <c r="AG64" s="12"/>
      <c r="AH64" s="12"/>
      <c r="AI64" s="12"/>
      <c r="AJ64" s="12"/>
      <c r="AK64" s="12"/>
      <c r="AL64" s="12"/>
      <c r="AM64" s="12"/>
      <c r="AN64" s="12"/>
      <c r="AO64" s="12"/>
      <c r="AP64" s="12"/>
      <c r="AQ64" s="12"/>
      <c r="AR64" s="12"/>
      <c r="AS64" s="12"/>
      <c r="AT64" s="14">
        <v>50000000</v>
      </c>
      <c r="AU64" s="12"/>
      <c r="AV64" s="12"/>
      <c r="AW64" s="12"/>
      <c r="AX64" s="12"/>
      <c r="AY64" s="12"/>
      <c r="AZ64" s="12"/>
      <c r="BA64" s="12"/>
      <c r="BB64" s="12"/>
      <c r="BC64" s="12"/>
      <c r="BD64" s="12"/>
      <c r="BE64" s="12"/>
      <c r="BF64" s="12"/>
      <c r="BG64" s="12"/>
      <c r="BH64" s="12"/>
      <c r="BI64" s="12"/>
      <c r="BJ64" s="12"/>
      <c r="BK64" s="12"/>
      <c r="BL64" s="7"/>
    </row>
    <row r="65" spans="1:65" ht="15" customHeight="1" x14ac:dyDescent="0.35">
      <c r="A65" s="9" t="s">
        <v>371</v>
      </c>
      <c r="B65" s="9">
        <v>40</v>
      </c>
      <c r="C65" s="9" t="s">
        <v>112</v>
      </c>
      <c r="D65" s="9">
        <v>30010006</v>
      </c>
      <c r="E65" s="9" t="s">
        <v>337</v>
      </c>
      <c r="F65" s="9" t="s">
        <v>342</v>
      </c>
      <c r="G65" s="9" t="s">
        <v>390</v>
      </c>
      <c r="H65" s="14">
        <v>64.2774</v>
      </c>
      <c r="I65" s="15">
        <v>2018</v>
      </c>
      <c r="J65" s="15">
        <v>75</v>
      </c>
      <c r="K65" s="15">
        <v>4003</v>
      </c>
      <c r="L65" s="9" t="s">
        <v>115</v>
      </c>
      <c r="M65" s="18" t="s">
        <v>433</v>
      </c>
      <c r="N65" s="17">
        <v>2025050360011</v>
      </c>
      <c r="O65" s="15">
        <v>4003012</v>
      </c>
      <c r="P65" s="9" t="s">
        <v>313</v>
      </c>
      <c r="Q65" s="9" t="s">
        <v>335</v>
      </c>
      <c r="R65" s="9" t="s">
        <v>298</v>
      </c>
      <c r="S65" s="15">
        <v>400301200</v>
      </c>
      <c r="T65" s="9" t="s">
        <v>313</v>
      </c>
      <c r="U65" s="9" t="s">
        <v>14</v>
      </c>
      <c r="V65" s="15">
        <v>16.600000000000001</v>
      </c>
      <c r="W65" s="9" t="s">
        <v>16</v>
      </c>
      <c r="X65" s="11">
        <v>1</v>
      </c>
      <c r="Y65" s="11">
        <v>1</v>
      </c>
      <c r="Z65" s="11">
        <v>0</v>
      </c>
      <c r="AA65" s="11">
        <v>0</v>
      </c>
      <c r="AB65" s="11">
        <v>1</v>
      </c>
      <c r="AC65" s="11">
        <v>0</v>
      </c>
      <c r="AD65" s="12"/>
      <c r="AE65" s="12"/>
      <c r="AF65" s="12"/>
      <c r="AG65" s="12"/>
      <c r="AH65" s="12"/>
      <c r="AI65" s="12"/>
      <c r="AJ65" s="12"/>
      <c r="AK65" s="12"/>
      <c r="AL65" s="12"/>
      <c r="AM65" s="12"/>
      <c r="AN65" s="12"/>
      <c r="AO65" s="12"/>
      <c r="AP65" s="12"/>
      <c r="AQ65" s="12"/>
      <c r="AR65" s="12"/>
      <c r="AS65" s="12"/>
      <c r="AT65" s="14">
        <v>50000000</v>
      </c>
      <c r="AU65" s="12"/>
      <c r="AV65" s="12"/>
      <c r="AW65" s="12"/>
      <c r="AX65" s="12"/>
      <c r="AY65" s="12"/>
      <c r="AZ65" s="12"/>
      <c r="BA65" s="12"/>
      <c r="BB65" s="12"/>
      <c r="BC65" s="12"/>
      <c r="BD65" s="12"/>
      <c r="BE65" s="12"/>
      <c r="BF65" s="12"/>
      <c r="BG65" s="12"/>
      <c r="BH65" s="12"/>
      <c r="BI65" s="12"/>
      <c r="BJ65" s="12"/>
      <c r="BK65" s="12"/>
      <c r="BL65" s="7"/>
    </row>
    <row r="66" spans="1:65" ht="15" customHeight="1" x14ac:dyDescent="0.35">
      <c r="A66" s="9" t="s">
        <v>372</v>
      </c>
      <c r="B66" s="9">
        <v>23</v>
      </c>
      <c r="C66" s="9" t="s">
        <v>140</v>
      </c>
      <c r="D66" s="9">
        <v>290030001</v>
      </c>
      <c r="E66" s="9" t="s">
        <v>356</v>
      </c>
      <c r="F66" s="9" t="s">
        <v>312</v>
      </c>
      <c r="G66" s="9" t="s">
        <v>404</v>
      </c>
      <c r="H66" s="14">
        <v>54.529000000000003</v>
      </c>
      <c r="I66" s="15">
        <v>2021</v>
      </c>
      <c r="J66" s="15">
        <v>70</v>
      </c>
      <c r="K66" s="15">
        <v>2301</v>
      </c>
      <c r="L66" s="9" t="s">
        <v>141</v>
      </c>
      <c r="M66" s="9" t="s">
        <v>436</v>
      </c>
      <c r="N66" s="17">
        <v>2025050360021</v>
      </c>
      <c r="O66" s="15">
        <v>2301030</v>
      </c>
      <c r="P66" s="9" t="s">
        <v>142</v>
      </c>
      <c r="Q66" s="9" t="s">
        <v>143</v>
      </c>
      <c r="R66" s="9" t="s">
        <v>28</v>
      </c>
      <c r="S66" s="15">
        <v>230103000</v>
      </c>
      <c r="T66" s="9" t="s">
        <v>144</v>
      </c>
      <c r="U66" s="9" t="s">
        <v>14</v>
      </c>
      <c r="V66" s="15" t="s">
        <v>303</v>
      </c>
      <c r="W66" s="9" t="s">
        <v>15</v>
      </c>
      <c r="X66" s="11">
        <v>100</v>
      </c>
      <c r="Y66" s="11">
        <v>300</v>
      </c>
      <c r="Z66" s="11">
        <v>75</v>
      </c>
      <c r="AA66" s="11">
        <v>75</v>
      </c>
      <c r="AB66" s="11">
        <v>75</v>
      </c>
      <c r="AC66" s="11">
        <v>75</v>
      </c>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4">
        <v>45045000</v>
      </c>
      <c r="BC66" s="12"/>
      <c r="BD66" s="12"/>
      <c r="BE66" s="12"/>
      <c r="BF66" s="12"/>
      <c r="BG66" s="12"/>
      <c r="BH66" s="12"/>
      <c r="BI66" s="12"/>
      <c r="BJ66" s="12"/>
      <c r="BK66" s="12"/>
      <c r="BL66" s="7"/>
    </row>
    <row r="67" spans="1:65" ht="15" customHeight="1" x14ac:dyDescent="0.35">
      <c r="A67" s="9" t="s">
        <v>372</v>
      </c>
      <c r="B67" s="9">
        <v>45</v>
      </c>
      <c r="C67" s="9" t="s">
        <v>211</v>
      </c>
      <c r="D67" s="9">
        <v>20100040</v>
      </c>
      <c r="E67" s="9" t="s">
        <v>385</v>
      </c>
      <c r="F67" s="9" t="s">
        <v>354</v>
      </c>
      <c r="G67" s="9" t="s">
        <v>394</v>
      </c>
      <c r="H67" s="14">
        <v>0</v>
      </c>
      <c r="I67" s="15">
        <v>2021</v>
      </c>
      <c r="J67" s="15">
        <v>0</v>
      </c>
      <c r="K67" s="15">
        <v>4502</v>
      </c>
      <c r="L67" s="9" t="s">
        <v>213</v>
      </c>
      <c r="M67" s="18" t="s">
        <v>441</v>
      </c>
      <c r="N67" s="17">
        <v>2025050360030</v>
      </c>
      <c r="O67" s="15">
        <v>4502001</v>
      </c>
      <c r="P67" s="9" t="s">
        <v>214</v>
      </c>
      <c r="Q67" s="9" t="s">
        <v>215</v>
      </c>
      <c r="R67" s="9" t="s">
        <v>20</v>
      </c>
      <c r="S67" s="15">
        <v>450200101</v>
      </c>
      <c r="T67" s="9" t="s">
        <v>216</v>
      </c>
      <c r="U67" s="9" t="s">
        <v>14</v>
      </c>
      <c r="V67" s="15">
        <v>16.7</v>
      </c>
      <c r="W67" s="9" t="s">
        <v>15</v>
      </c>
      <c r="X67" s="11">
        <v>1</v>
      </c>
      <c r="Y67" s="11">
        <v>4</v>
      </c>
      <c r="Z67" s="11">
        <v>1</v>
      </c>
      <c r="AA67" s="11">
        <v>1</v>
      </c>
      <c r="AB67" s="11">
        <v>1</v>
      </c>
      <c r="AC67" s="11">
        <v>1</v>
      </c>
      <c r="AD67" s="12"/>
      <c r="AE67" s="12"/>
      <c r="AF67" s="12"/>
      <c r="AG67" s="12"/>
      <c r="AH67" s="12"/>
      <c r="AI67" s="12"/>
      <c r="AJ67" s="12"/>
      <c r="AK67" s="12"/>
      <c r="AL67" s="12"/>
      <c r="AM67" s="12"/>
      <c r="AN67" s="12"/>
      <c r="AO67" s="12"/>
      <c r="AP67" s="12"/>
      <c r="AQ67" s="12"/>
      <c r="AR67" s="12"/>
      <c r="AS67" s="12">
        <v>37800000</v>
      </c>
      <c r="AT67" s="12"/>
      <c r="AU67" s="12"/>
      <c r="AV67" s="12"/>
      <c r="AW67" s="12"/>
      <c r="AX67" s="12"/>
      <c r="AY67" s="12"/>
      <c r="AZ67" s="12"/>
      <c r="BA67" s="12"/>
      <c r="BB67" s="12">
        <v>4000000</v>
      </c>
      <c r="BC67" s="12"/>
      <c r="BD67" s="12"/>
      <c r="BE67" s="12"/>
      <c r="BF67" s="12"/>
      <c r="BG67" s="12"/>
      <c r="BH67" s="12"/>
      <c r="BI67" s="12"/>
      <c r="BJ67" s="12"/>
      <c r="BK67" s="12"/>
      <c r="BL67" s="7"/>
    </row>
    <row r="68" spans="1:65" ht="15" customHeight="1" x14ac:dyDescent="0.35">
      <c r="A68" s="9" t="s">
        <v>372</v>
      </c>
      <c r="B68" s="9">
        <v>45</v>
      </c>
      <c r="C68" s="9" t="s">
        <v>211</v>
      </c>
      <c r="D68" s="9">
        <v>20100040</v>
      </c>
      <c r="E68" s="9" t="s">
        <v>385</v>
      </c>
      <c r="F68" s="9" t="s">
        <v>354</v>
      </c>
      <c r="G68" s="9" t="s">
        <v>394</v>
      </c>
      <c r="H68" s="14">
        <v>0</v>
      </c>
      <c r="I68" s="15">
        <v>2021</v>
      </c>
      <c r="J68" s="15">
        <v>0</v>
      </c>
      <c r="K68" s="15">
        <v>4502</v>
      </c>
      <c r="L68" s="9" t="s">
        <v>213</v>
      </c>
      <c r="M68" s="18" t="s">
        <v>441</v>
      </c>
      <c r="N68" s="17">
        <v>2025050360030</v>
      </c>
      <c r="O68" s="15">
        <v>4502008</v>
      </c>
      <c r="P68" s="9" t="s">
        <v>218</v>
      </c>
      <c r="Q68" s="9" t="s">
        <v>219</v>
      </c>
      <c r="R68" s="9" t="s">
        <v>217</v>
      </c>
      <c r="S68" s="15">
        <v>450200800</v>
      </c>
      <c r="T68" s="9" t="s">
        <v>220</v>
      </c>
      <c r="U68" s="9" t="s">
        <v>14</v>
      </c>
      <c r="V68" s="15">
        <v>16.7</v>
      </c>
      <c r="W68" s="9" t="s">
        <v>386</v>
      </c>
      <c r="X68" s="11">
        <v>4</v>
      </c>
      <c r="Y68" s="11">
        <v>4</v>
      </c>
      <c r="Z68" s="11">
        <v>0</v>
      </c>
      <c r="AA68" s="11">
        <v>1</v>
      </c>
      <c r="AB68" s="11">
        <v>1</v>
      </c>
      <c r="AC68" s="11">
        <v>2</v>
      </c>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4">
        <v>15000000</v>
      </c>
      <c r="BC68" s="12"/>
      <c r="BD68" s="12"/>
      <c r="BE68" s="12"/>
      <c r="BF68" s="12"/>
      <c r="BG68" s="12"/>
      <c r="BH68" s="12"/>
      <c r="BI68" s="12"/>
      <c r="BJ68" s="12"/>
      <c r="BK68" s="12"/>
      <c r="BL68" s="7"/>
    </row>
    <row r="69" spans="1:65" ht="15" customHeight="1" x14ac:dyDescent="0.35">
      <c r="A69" s="9" t="s">
        <v>372</v>
      </c>
      <c r="B69" s="9">
        <v>45</v>
      </c>
      <c r="C69" s="9" t="s">
        <v>211</v>
      </c>
      <c r="D69" s="9">
        <v>110070002</v>
      </c>
      <c r="E69" s="9" t="s">
        <v>364</v>
      </c>
      <c r="F69" s="9" t="s">
        <v>365</v>
      </c>
      <c r="G69" s="9" t="s">
        <v>402</v>
      </c>
      <c r="H69" s="14">
        <v>0</v>
      </c>
      <c r="I69" s="15">
        <v>2020</v>
      </c>
      <c r="J69" s="15">
        <v>88000</v>
      </c>
      <c r="K69" s="15">
        <v>4503</v>
      </c>
      <c r="L69" s="9" t="s">
        <v>221</v>
      </c>
      <c r="M69" s="18" t="s">
        <v>421</v>
      </c>
      <c r="N69" s="17">
        <v>2025050360015</v>
      </c>
      <c r="O69" s="15">
        <v>4503004</v>
      </c>
      <c r="P69" s="9" t="s">
        <v>222</v>
      </c>
      <c r="Q69" s="9" t="s">
        <v>223</v>
      </c>
      <c r="R69" s="9" t="s">
        <v>224</v>
      </c>
      <c r="S69" s="15">
        <v>450300400</v>
      </c>
      <c r="T69" s="9" t="s">
        <v>225</v>
      </c>
      <c r="U69" s="9" t="s">
        <v>14</v>
      </c>
      <c r="V69" s="15" t="s">
        <v>300</v>
      </c>
      <c r="W69" s="9" t="s">
        <v>16</v>
      </c>
      <c r="X69" s="11">
        <v>8</v>
      </c>
      <c r="Y69" s="11">
        <v>20</v>
      </c>
      <c r="Z69" s="11">
        <v>5</v>
      </c>
      <c r="AA69" s="11">
        <v>5</v>
      </c>
      <c r="AB69" s="11">
        <v>5</v>
      </c>
      <c r="AC69" s="11">
        <v>5</v>
      </c>
      <c r="AD69" s="12"/>
      <c r="AE69" s="12"/>
      <c r="AF69" s="12"/>
      <c r="AG69" s="12"/>
      <c r="AH69" s="12"/>
      <c r="AI69" s="12"/>
      <c r="AJ69" s="12"/>
      <c r="AK69" s="12"/>
      <c r="AL69" s="12"/>
      <c r="AM69" s="12"/>
      <c r="AN69" s="12"/>
      <c r="AO69" s="12"/>
      <c r="AP69" s="12"/>
      <c r="AQ69" s="12"/>
      <c r="AR69" s="12">
        <v>2035658</v>
      </c>
      <c r="AS69" s="14">
        <v>20000000</v>
      </c>
      <c r="AT69" s="12"/>
      <c r="AU69" s="12"/>
      <c r="AV69" s="12"/>
      <c r="AW69" s="12"/>
      <c r="AX69" s="12"/>
      <c r="AY69" s="12"/>
      <c r="AZ69" s="12"/>
      <c r="BA69" s="12"/>
      <c r="BB69" s="12"/>
      <c r="BC69" s="12"/>
      <c r="BD69" s="12"/>
      <c r="BE69" s="12"/>
      <c r="BF69" s="12"/>
      <c r="BG69" s="12"/>
      <c r="BH69" s="12"/>
      <c r="BI69" s="12"/>
      <c r="BJ69" s="12"/>
      <c r="BK69" s="12"/>
      <c r="BL69" s="7"/>
    </row>
    <row r="70" spans="1:65" ht="15" customHeight="1" x14ac:dyDescent="0.35">
      <c r="A70" s="9" t="s">
        <v>372</v>
      </c>
      <c r="B70" s="9">
        <v>45</v>
      </c>
      <c r="C70" s="9" t="s">
        <v>211</v>
      </c>
      <c r="D70" s="9">
        <v>110070002</v>
      </c>
      <c r="E70" s="9" t="s">
        <v>364</v>
      </c>
      <c r="F70" s="9" t="s">
        <v>365</v>
      </c>
      <c r="G70" s="9" t="s">
        <v>402</v>
      </c>
      <c r="H70" s="14">
        <v>0</v>
      </c>
      <c r="I70" s="15">
        <v>2020</v>
      </c>
      <c r="J70" s="15">
        <v>88000</v>
      </c>
      <c r="K70" s="15">
        <v>4503</v>
      </c>
      <c r="L70" s="9" t="s">
        <v>221</v>
      </c>
      <c r="M70" s="9" t="s">
        <v>421</v>
      </c>
      <c r="N70" s="17">
        <v>2025050360015</v>
      </c>
      <c r="O70" s="15">
        <v>4503018</v>
      </c>
      <c r="P70" s="9" t="s">
        <v>226</v>
      </c>
      <c r="Q70" s="9" t="s">
        <v>227</v>
      </c>
      <c r="R70" s="9" t="s">
        <v>228</v>
      </c>
      <c r="S70" s="15">
        <v>450301800</v>
      </c>
      <c r="T70" s="9" t="s">
        <v>229</v>
      </c>
      <c r="U70" s="9" t="s">
        <v>14</v>
      </c>
      <c r="V70" s="15" t="s">
        <v>300</v>
      </c>
      <c r="W70" s="9" t="s">
        <v>16</v>
      </c>
      <c r="X70" s="11">
        <v>0</v>
      </c>
      <c r="Y70" s="11">
        <v>1</v>
      </c>
      <c r="Z70" s="11">
        <v>0</v>
      </c>
      <c r="AA70" s="11">
        <v>0</v>
      </c>
      <c r="AB70" s="11">
        <v>1</v>
      </c>
      <c r="AC70" s="11">
        <v>0</v>
      </c>
      <c r="AD70" s="12"/>
      <c r="AE70" s="12"/>
      <c r="AF70" s="12"/>
      <c r="AG70" s="12"/>
      <c r="AH70" s="12"/>
      <c r="AI70" s="12"/>
      <c r="AJ70" s="12"/>
      <c r="AK70" s="12"/>
      <c r="AL70" s="12"/>
      <c r="AM70" s="12"/>
      <c r="AN70" s="12"/>
      <c r="AO70" s="12"/>
      <c r="AP70" s="12"/>
      <c r="AQ70" s="12"/>
      <c r="AR70" s="12">
        <v>14890762</v>
      </c>
      <c r="AS70" s="12"/>
      <c r="AT70" s="12"/>
      <c r="AU70" s="12"/>
      <c r="AV70" s="12"/>
      <c r="AW70" s="12"/>
      <c r="AX70" s="12"/>
      <c r="AY70" s="12"/>
      <c r="AZ70" s="12"/>
      <c r="BA70" s="12"/>
      <c r="BB70" s="12">
        <v>31729238</v>
      </c>
      <c r="BC70" s="12"/>
      <c r="BD70" s="12"/>
      <c r="BE70" s="12"/>
      <c r="BF70" s="12"/>
      <c r="BG70" s="12"/>
      <c r="BH70" s="12"/>
      <c r="BI70" s="12"/>
      <c r="BJ70" s="12"/>
      <c r="BK70" s="12"/>
      <c r="BL70" s="7"/>
    </row>
    <row r="71" spans="1:65" ht="15" customHeight="1" x14ac:dyDescent="0.35">
      <c r="A71" s="9" t="s">
        <v>372</v>
      </c>
      <c r="B71" s="9">
        <v>45</v>
      </c>
      <c r="C71" s="9" t="s">
        <v>211</v>
      </c>
      <c r="D71" s="9">
        <v>80010008</v>
      </c>
      <c r="E71" s="9" t="s">
        <v>358</v>
      </c>
      <c r="F71" s="9" t="s">
        <v>354</v>
      </c>
      <c r="G71" s="9" t="s">
        <v>392</v>
      </c>
      <c r="H71" s="14">
        <v>55.990099999999998</v>
      </c>
      <c r="I71" s="15">
        <v>2022</v>
      </c>
      <c r="J71" s="15">
        <v>75</v>
      </c>
      <c r="K71" s="15">
        <v>4599</v>
      </c>
      <c r="L71" s="9" t="s">
        <v>230</v>
      </c>
      <c r="M71" s="9" t="s">
        <v>420</v>
      </c>
      <c r="N71" s="17">
        <v>2025050360016</v>
      </c>
      <c r="O71" s="15">
        <v>4599023</v>
      </c>
      <c r="P71" s="9" t="s">
        <v>234</v>
      </c>
      <c r="Q71" s="9" t="s">
        <v>235</v>
      </c>
      <c r="R71" s="9" t="s">
        <v>228</v>
      </c>
      <c r="S71" s="15">
        <v>459902300</v>
      </c>
      <c r="T71" s="9" t="s">
        <v>236</v>
      </c>
      <c r="U71" s="9" t="s">
        <v>14</v>
      </c>
      <c r="V71" s="15">
        <v>16.600000000000001</v>
      </c>
      <c r="W71" s="9" t="s">
        <v>16</v>
      </c>
      <c r="X71" s="11">
        <v>1</v>
      </c>
      <c r="Y71" s="11">
        <v>1</v>
      </c>
      <c r="Z71" s="11">
        <v>1</v>
      </c>
      <c r="AA71" s="11">
        <v>1</v>
      </c>
      <c r="AB71" s="11">
        <v>1</v>
      </c>
      <c r="AC71" s="11">
        <v>1</v>
      </c>
      <c r="AD71" s="12"/>
      <c r="AE71" s="12"/>
      <c r="AF71" s="12"/>
      <c r="AG71" s="12"/>
      <c r="AH71" s="12"/>
      <c r="AI71" s="12"/>
      <c r="AJ71" s="12"/>
      <c r="AK71" s="12"/>
      <c r="AL71" s="12"/>
      <c r="AM71" s="12"/>
      <c r="AN71" s="12"/>
      <c r="AO71" s="12"/>
      <c r="AP71" s="12"/>
      <c r="AQ71" s="12"/>
      <c r="AR71" s="12"/>
      <c r="AS71" s="12">
        <v>32760000</v>
      </c>
      <c r="AT71" s="12"/>
      <c r="AU71" s="12"/>
      <c r="AV71" s="12"/>
      <c r="AW71" s="12"/>
      <c r="AX71" s="12"/>
      <c r="AY71" s="12"/>
      <c r="AZ71" s="12"/>
      <c r="BA71" s="12"/>
      <c r="BB71" s="12">
        <v>78650000</v>
      </c>
      <c r="BC71" s="12"/>
      <c r="BD71" s="12"/>
      <c r="BE71" s="12"/>
      <c r="BF71" s="12"/>
      <c r="BG71" s="12"/>
      <c r="BH71" s="12"/>
      <c r="BI71" s="12"/>
      <c r="BJ71" s="12"/>
      <c r="BK71" s="12"/>
      <c r="BL71" s="7"/>
    </row>
    <row r="72" spans="1:65" ht="15" customHeight="1" x14ac:dyDescent="0.35">
      <c r="A72" s="9" t="s">
        <v>372</v>
      </c>
      <c r="B72" s="9">
        <v>45</v>
      </c>
      <c r="C72" s="9" t="s">
        <v>211</v>
      </c>
      <c r="D72" s="9">
        <v>60010001</v>
      </c>
      <c r="E72" s="9" t="s">
        <v>361</v>
      </c>
      <c r="F72" s="9" t="s">
        <v>360</v>
      </c>
      <c r="G72" s="9" t="s">
        <v>403</v>
      </c>
      <c r="H72" s="14">
        <v>132.82419999999999</v>
      </c>
      <c r="I72" s="15">
        <v>2022</v>
      </c>
      <c r="J72" s="15">
        <v>90</v>
      </c>
      <c r="K72" s="15">
        <v>4501</v>
      </c>
      <c r="L72" s="9" t="s">
        <v>212</v>
      </c>
      <c r="M72" s="9" t="s">
        <v>418</v>
      </c>
      <c r="N72" s="17">
        <v>2025050360019</v>
      </c>
      <c r="O72" s="15">
        <v>4501048</v>
      </c>
      <c r="P72" s="9" t="s">
        <v>237</v>
      </c>
      <c r="Q72" s="9" t="s">
        <v>238</v>
      </c>
      <c r="R72" s="9" t="s">
        <v>239</v>
      </c>
      <c r="S72" s="15">
        <v>450104800</v>
      </c>
      <c r="T72" s="9" t="s">
        <v>240</v>
      </c>
      <c r="U72" s="9" t="s">
        <v>14</v>
      </c>
      <c r="V72" s="15">
        <v>16.3</v>
      </c>
      <c r="W72" s="9" t="s">
        <v>15</v>
      </c>
      <c r="X72" s="11">
        <v>0</v>
      </c>
      <c r="Y72" s="11">
        <v>4</v>
      </c>
      <c r="Z72" s="11">
        <v>1</v>
      </c>
      <c r="AA72" s="11">
        <v>1</v>
      </c>
      <c r="AB72" s="11">
        <v>1</v>
      </c>
      <c r="AC72" s="11">
        <v>1</v>
      </c>
      <c r="AD72" s="12"/>
      <c r="AE72" s="12">
        <v>38000000</v>
      </c>
      <c r="AF72" s="12"/>
      <c r="AG72" s="12">
        <v>300000</v>
      </c>
      <c r="AH72" s="12">
        <v>250000</v>
      </c>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7"/>
    </row>
    <row r="73" spans="1:65" ht="15" customHeight="1" x14ac:dyDescent="0.35">
      <c r="A73" s="9" t="s">
        <v>372</v>
      </c>
      <c r="B73" s="9">
        <v>45</v>
      </c>
      <c r="C73" s="9" t="s">
        <v>211</v>
      </c>
      <c r="D73" s="9">
        <v>20100040</v>
      </c>
      <c r="E73" s="9" t="s">
        <v>385</v>
      </c>
      <c r="F73" s="9" t="s">
        <v>354</v>
      </c>
      <c r="G73" s="9" t="s">
        <v>394</v>
      </c>
      <c r="H73" s="14">
        <v>0</v>
      </c>
      <c r="I73" s="15">
        <v>2021</v>
      </c>
      <c r="J73" s="15">
        <v>0</v>
      </c>
      <c r="K73" s="15">
        <v>4501</v>
      </c>
      <c r="L73" s="9" t="s">
        <v>212</v>
      </c>
      <c r="M73" s="9" t="s">
        <v>418</v>
      </c>
      <c r="N73" s="17">
        <v>2025050360019</v>
      </c>
      <c r="O73" s="15">
        <v>4501061</v>
      </c>
      <c r="P73" s="9" t="s">
        <v>281</v>
      </c>
      <c r="Q73" s="9" t="s">
        <v>282</v>
      </c>
      <c r="R73" s="9" t="s">
        <v>163</v>
      </c>
      <c r="S73" s="15">
        <v>450106100</v>
      </c>
      <c r="T73" s="9" t="s">
        <v>283</v>
      </c>
      <c r="U73" s="9" t="s">
        <v>14</v>
      </c>
      <c r="V73" s="15" t="s">
        <v>306</v>
      </c>
      <c r="W73" s="9" t="s">
        <v>123</v>
      </c>
      <c r="X73" s="11">
        <v>750</v>
      </c>
      <c r="Y73" s="11">
        <v>2250</v>
      </c>
      <c r="Z73" s="11">
        <v>450</v>
      </c>
      <c r="AA73" s="11">
        <v>600</v>
      </c>
      <c r="AB73" s="11">
        <v>600</v>
      </c>
      <c r="AC73" s="11">
        <v>600</v>
      </c>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4">
        <v>15000000</v>
      </c>
      <c r="BC73" s="12"/>
      <c r="BD73" s="12"/>
      <c r="BE73" s="12"/>
      <c r="BF73" s="12"/>
      <c r="BG73" s="12"/>
      <c r="BH73" s="12"/>
      <c r="BI73" s="12"/>
      <c r="BJ73" s="12"/>
      <c r="BK73" s="12"/>
      <c r="BL73" s="7"/>
    </row>
    <row r="74" spans="1:65" ht="15" customHeight="1" x14ac:dyDescent="0.35">
      <c r="A74" s="9" t="s">
        <v>372</v>
      </c>
      <c r="B74" s="9">
        <v>12</v>
      </c>
      <c r="C74" s="9" t="s">
        <v>59</v>
      </c>
      <c r="D74" s="9">
        <v>190050001</v>
      </c>
      <c r="E74" s="9" t="s">
        <v>383</v>
      </c>
      <c r="F74" s="9" t="s">
        <v>384</v>
      </c>
      <c r="G74" s="9" t="s">
        <v>405</v>
      </c>
      <c r="H74" s="14">
        <v>0</v>
      </c>
      <c r="I74" s="15">
        <v>2017</v>
      </c>
      <c r="J74" s="15">
        <v>0</v>
      </c>
      <c r="K74" s="15">
        <v>1206</v>
      </c>
      <c r="L74" s="9" t="s">
        <v>60</v>
      </c>
      <c r="M74" s="19" t="s">
        <v>442</v>
      </c>
      <c r="N74" s="17">
        <v>2025050360018</v>
      </c>
      <c r="O74" s="15">
        <v>1206007</v>
      </c>
      <c r="P74" s="9" t="s">
        <v>61</v>
      </c>
      <c r="Q74" s="9" t="s">
        <v>62</v>
      </c>
      <c r="R74" s="9" t="s">
        <v>28</v>
      </c>
      <c r="S74" s="15">
        <v>120600702</v>
      </c>
      <c r="T74" s="9" t="s">
        <v>326</v>
      </c>
      <c r="U74" s="9" t="s">
        <v>14</v>
      </c>
      <c r="V74" s="15">
        <v>10.199999999999999</v>
      </c>
      <c r="W74" s="9" t="s">
        <v>15</v>
      </c>
      <c r="X74" s="11">
        <v>4</v>
      </c>
      <c r="Y74" s="11">
        <v>20</v>
      </c>
      <c r="Z74" s="11">
        <v>5</v>
      </c>
      <c r="AA74" s="11">
        <v>5</v>
      </c>
      <c r="AB74" s="11">
        <v>5</v>
      </c>
      <c r="AC74" s="11">
        <v>5</v>
      </c>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4">
        <v>60000000</v>
      </c>
      <c r="BC74" s="12"/>
      <c r="BD74" s="12"/>
      <c r="BE74" s="12"/>
      <c r="BF74" s="12"/>
      <c r="BG74" s="12"/>
      <c r="BH74" s="12"/>
      <c r="BI74" s="12"/>
      <c r="BJ74" s="12"/>
      <c r="BK74" s="12"/>
      <c r="BL74" s="7"/>
    </row>
    <row r="75" spans="1:65" ht="15" customHeight="1" x14ac:dyDescent="0.35">
      <c r="A75" s="9" t="s">
        <v>372</v>
      </c>
      <c r="B75" s="9">
        <v>12</v>
      </c>
      <c r="C75" s="9" t="s">
        <v>59</v>
      </c>
      <c r="D75" s="9">
        <v>190010038</v>
      </c>
      <c r="E75" s="9" t="s">
        <v>380</v>
      </c>
      <c r="F75" s="9" t="s">
        <v>381</v>
      </c>
      <c r="G75" s="9" t="s">
        <v>405</v>
      </c>
      <c r="H75" s="14">
        <v>0</v>
      </c>
      <c r="I75" s="15">
        <v>2021</v>
      </c>
      <c r="J75" s="15">
        <v>50</v>
      </c>
      <c r="K75" s="15">
        <v>1203</v>
      </c>
      <c r="L75" s="9" t="s">
        <v>437</v>
      </c>
      <c r="M75" s="19" t="s">
        <v>443</v>
      </c>
      <c r="N75" s="17">
        <v>2025050360036</v>
      </c>
      <c r="O75" s="15">
        <v>1203011</v>
      </c>
      <c r="P75" s="9" t="s">
        <v>327</v>
      </c>
      <c r="Q75" s="9" t="s">
        <v>328</v>
      </c>
      <c r="R75" s="9" t="s">
        <v>38</v>
      </c>
      <c r="S75" s="15">
        <v>120301100</v>
      </c>
      <c r="T75" s="9" t="s">
        <v>299</v>
      </c>
      <c r="U75" s="9" t="s">
        <v>14</v>
      </c>
      <c r="V75" s="15">
        <v>16.600000000000001</v>
      </c>
      <c r="W75" s="9" t="s">
        <v>15</v>
      </c>
      <c r="X75" s="11" t="s">
        <v>324</v>
      </c>
      <c r="Y75" s="11">
        <v>15</v>
      </c>
      <c r="Z75" s="11">
        <v>0</v>
      </c>
      <c r="AA75" s="11">
        <v>5</v>
      </c>
      <c r="AB75" s="11">
        <v>5</v>
      </c>
      <c r="AC75" s="11">
        <v>5</v>
      </c>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4">
        <v>208351583</v>
      </c>
      <c r="BC75" s="12"/>
      <c r="BD75" s="12"/>
      <c r="BE75" s="12"/>
      <c r="BF75" s="12"/>
      <c r="BG75" s="12"/>
      <c r="BH75" s="12"/>
      <c r="BI75" s="12"/>
      <c r="BJ75" s="12"/>
      <c r="BK75" s="12"/>
      <c r="BL75" s="7"/>
    </row>
    <row r="76" spans="1:65" ht="15" customHeight="1" x14ac:dyDescent="0.35">
      <c r="A76" s="9" t="s">
        <v>372</v>
      </c>
      <c r="B76" s="9">
        <v>45</v>
      </c>
      <c r="C76" s="9" t="s">
        <v>211</v>
      </c>
      <c r="D76" s="9">
        <v>60010003</v>
      </c>
      <c r="E76" s="9" t="s">
        <v>359</v>
      </c>
      <c r="F76" s="9" t="s">
        <v>360</v>
      </c>
      <c r="G76" s="9" t="s">
        <v>403</v>
      </c>
      <c r="H76" s="14">
        <v>49.81</v>
      </c>
      <c r="I76" s="15">
        <v>2022</v>
      </c>
      <c r="J76" s="15">
        <v>30</v>
      </c>
      <c r="K76" s="15">
        <v>4501</v>
      </c>
      <c r="L76" s="9" t="s">
        <v>212</v>
      </c>
      <c r="M76" s="9" t="s">
        <v>418</v>
      </c>
      <c r="N76" s="17">
        <v>2025050360019</v>
      </c>
      <c r="O76" s="15">
        <v>4501077</v>
      </c>
      <c r="P76" s="9" t="s">
        <v>329</v>
      </c>
      <c r="Q76" s="9" t="s">
        <v>330</v>
      </c>
      <c r="R76" s="9" t="s">
        <v>166</v>
      </c>
      <c r="S76" s="15">
        <v>450107700</v>
      </c>
      <c r="T76" s="9" t="s">
        <v>305</v>
      </c>
      <c r="U76" s="9" t="s">
        <v>14</v>
      </c>
      <c r="V76" s="15">
        <v>16.600000000000001</v>
      </c>
      <c r="W76" s="9" t="s">
        <v>15</v>
      </c>
      <c r="X76" s="11">
        <v>4</v>
      </c>
      <c r="Y76" s="11">
        <v>4</v>
      </c>
      <c r="Z76" s="11">
        <v>1</v>
      </c>
      <c r="AA76" s="11">
        <v>1</v>
      </c>
      <c r="AB76" s="11">
        <v>1</v>
      </c>
      <c r="AC76" s="11">
        <v>1</v>
      </c>
      <c r="AD76" s="12"/>
      <c r="AE76" s="14">
        <v>70960528.789999992</v>
      </c>
      <c r="AF76" s="14"/>
      <c r="AG76" s="14"/>
      <c r="AH76" s="14"/>
      <c r="AI76" s="14"/>
      <c r="AJ76" s="14"/>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7"/>
    </row>
    <row r="77" spans="1:65" x14ac:dyDescent="0.35">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row>
    <row r="78" spans="1:65" s="2" customFormat="1" x14ac:dyDescent="0.35">
      <c r="A78"/>
      <c r="B78"/>
      <c r="C78"/>
      <c r="D78"/>
      <c r="E78"/>
      <c r="F78"/>
      <c r="G78"/>
      <c r="H78"/>
      <c r="I78"/>
      <c r="J78"/>
      <c r="K78"/>
      <c r="L78"/>
      <c r="M78"/>
      <c r="N78"/>
      <c r="P78"/>
      <c r="Q78"/>
      <c r="R78"/>
      <c r="S78"/>
      <c r="T78"/>
      <c r="U78"/>
      <c r="V78" s="3"/>
      <c r="W78"/>
      <c r="X78" s="4"/>
      <c r="Y78" s="4"/>
      <c r="Z78" s="4"/>
      <c r="AA78" s="4"/>
      <c r="AB78" s="4"/>
      <c r="AC78" s="4"/>
      <c r="AD78" s="7">
        <f t="shared" ref="AD78:BK78" si="0">SUBTOTAL(9,AD3:AD76)</f>
        <v>13042784</v>
      </c>
      <c r="AE78" s="7">
        <f t="shared" si="0"/>
        <v>108960528.78999999</v>
      </c>
      <c r="AF78" s="7">
        <f t="shared" si="0"/>
        <v>13042784</v>
      </c>
      <c r="AG78" s="7">
        <f t="shared" si="0"/>
        <v>300000</v>
      </c>
      <c r="AH78" s="7">
        <f t="shared" si="0"/>
        <v>250000</v>
      </c>
      <c r="AI78" s="7">
        <f t="shared" si="0"/>
        <v>640000</v>
      </c>
      <c r="AJ78" s="7">
        <f t="shared" si="0"/>
        <v>800000</v>
      </c>
      <c r="AK78" s="7">
        <f t="shared" si="0"/>
        <v>37547622</v>
      </c>
      <c r="AL78" s="7">
        <f t="shared" si="0"/>
        <v>87611117</v>
      </c>
      <c r="AM78" s="7">
        <f t="shared" si="0"/>
        <v>5866815.7999999998</v>
      </c>
      <c r="AN78" s="7">
        <f t="shared" si="0"/>
        <v>5866815.8600000003</v>
      </c>
      <c r="AO78" s="7">
        <f t="shared" si="0"/>
        <v>35200895</v>
      </c>
      <c r="AP78" s="7">
        <f t="shared" si="0"/>
        <v>33852840.259999998</v>
      </c>
      <c r="AQ78" s="7">
        <f t="shared" si="0"/>
        <v>242837729</v>
      </c>
      <c r="AR78" s="7">
        <f t="shared" si="0"/>
        <v>16926420</v>
      </c>
      <c r="AS78" s="7">
        <f t="shared" si="0"/>
        <v>253221581</v>
      </c>
      <c r="AT78" s="7">
        <f t="shared" si="0"/>
        <v>870428451.32049596</v>
      </c>
      <c r="AU78" s="7">
        <f t="shared" si="0"/>
        <v>204174575</v>
      </c>
      <c r="AV78" s="7">
        <f t="shared" si="0"/>
        <v>90936586</v>
      </c>
      <c r="AW78" s="7">
        <f t="shared" si="0"/>
        <v>77294724</v>
      </c>
      <c r="AX78" s="7">
        <f t="shared" si="0"/>
        <v>33915676</v>
      </c>
      <c r="AY78" s="7">
        <f t="shared" si="0"/>
        <v>72949423</v>
      </c>
      <c r="AZ78" s="7">
        <f t="shared" si="0"/>
        <v>97265896</v>
      </c>
      <c r="BA78" s="7">
        <f t="shared" si="0"/>
        <v>55781973.239999995</v>
      </c>
      <c r="BB78" s="7">
        <f t="shared" si="0"/>
        <v>1583691361.5</v>
      </c>
      <c r="BC78" s="7">
        <f t="shared" si="0"/>
        <v>83780315</v>
      </c>
      <c r="BD78" s="7">
        <f t="shared" si="0"/>
        <v>125670473</v>
      </c>
      <c r="BE78" s="7">
        <f t="shared" si="0"/>
        <v>241640574.84999999</v>
      </c>
      <c r="BF78" s="7">
        <f t="shared" si="0"/>
        <v>3019153741</v>
      </c>
      <c r="BG78" s="7">
        <f t="shared" si="0"/>
        <v>86046633</v>
      </c>
      <c r="BH78" s="7">
        <f t="shared" si="0"/>
        <v>21511658</v>
      </c>
      <c r="BI78" s="7">
        <f t="shared" si="0"/>
        <v>73123059</v>
      </c>
      <c r="BJ78" s="7">
        <f t="shared" si="0"/>
        <v>1422531705</v>
      </c>
      <c r="BK78" s="7">
        <f t="shared" si="0"/>
        <v>403214303</v>
      </c>
      <c r="BM78" s="2">
        <f>+BK78+BJ78+BI78+BH78+BG78+BF78+BE78+BD78+BC78+BB78+BA78+AZ78+AY78+AX78+AW78+AV78+AU78+AT78+AS78+AR78+AQ78+AP78+AN78+AM78+AK78+AH78+AG78+AF78+AE78+AD78+AO78+AL78+AJ78+AI78</f>
        <v>9419079060.6204967</v>
      </c>
    </row>
    <row r="81" spans="45:50" x14ac:dyDescent="0.35">
      <c r="AS81" s="2"/>
      <c r="AT81" s="2"/>
      <c r="AU81" s="2"/>
      <c r="AV81" s="2"/>
      <c r="AW81" s="2"/>
      <c r="AX81" s="2"/>
    </row>
    <row r="82" spans="45:50" x14ac:dyDescent="0.35">
      <c r="AW82" s="2"/>
      <c r="AX82" s="2"/>
    </row>
  </sheetData>
  <sheetProtection formatCells="0" formatColumns="0" formatRows="0" insertColumns="0" insertRows="0" insertHyperlinks="0" deleteColumns="0" deleteRows="0" sort="0" autoFilter="0" pivotTables="0"/>
  <autoFilter ref="A1:BM76" xr:uid="{00000000-0009-0000-0000-000000000000}">
    <filterColumn colId="3" showButton="0"/>
    <filterColumn colId="4" showButton="0"/>
    <filterColumn colId="5" showButton="0"/>
    <filterColumn colId="6" showButton="0"/>
    <filterColumn colId="7" showButton="0"/>
    <filterColumn colId="8" showButton="0"/>
  </autoFilter>
  <mergeCells count="57">
    <mergeCell ref="BI1:BI2"/>
    <mergeCell ref="BJ1:BJ2"/>
    <mergeCell ref="BK1:BK2"/>
    <mergeCell ref="BD1:BD2"/>
    <mergeCell ref="BE1:BE2"/>
    <mergeCell ref="BF1:BF2"/>
    <mergeCell ref="BG1:BG2"/>
    <mergeCell ref="BH1:BH2"/>
    <mergeCell ref="AY1:AY2"/>
    <mergeCell ref="AZ1:AZ2"/>
    <mergeCell ref="BA1:BA2"/>
    <mergeCell ref="BB1:BB2"/>
    <mergeCell ref="BC1:BC2"/>
    <mergeCell ref="AT1:AT2"/>
    <mergeCell ref="AU1:AU2"/>
    <mergeCell ref="AV1:AV2"/>
    <mergeCell ref="AW1:AW2"/>
    <mergeCell ref="AX1:AX2"/>
    <mergeCell ref="AO1:AO2"/>
    <mergeCell ref="AP1:AP2"/>
    <mergeCell ref="AQ1:AQ2"/>
    <mergeCell ref="AR1:AR2"/>
    <mergeCell ref="AS1:AS2"/>
    <mergeCell ref="AJ1:AJ2"/>
    <mergeCell ref="AK1:AK2"/>
    <mergeCell ref="AL1:AL2"/>
    <mergeCell ref="AM1:AM2"/>
    <mergeCell ref="AN1:AN2"/>
    <mergeCell ref="Y1:Y2"/>
    <mergeCell ref="Z1:Z2"/>
    <mergeCell ref="AA1:AA2"/>
    <mergeCell ref="AB1:AB2"/>
    <mergeCell ref="AC1:AC2"/>
    <mergeCell ref="AI1:AI2"/>
    <mergeCell ref="X1:X2"/>
    <mergeCell ref="O1:O2"/>
    <mergeCell ref="P1:P2"/>
    <mergeCell ref="Q1:Q2"/>
    <mergeCell ref="R1:R2"/>
    <mergeCell ref="S1:S2"/>
    <mergeCell ref="T1:T2"/>
    <mergeCell ref="U1:U2"/>
    <mergeCell ref="V1:V2"/>
    <mergeCell ref="W1:W2"/>
    <mergeCell ref="AD1:AD2"/>
    <mergeCell ref="AE1:AE2"/>
    <mergeCell ref="AF1:AF2"/>
    <mergeCell ref="AG1:AG2"/>
    <mergeCell ref="AH1:AH2"/>
    <mergeCell ref="M1:M2"/>
    <mergeCell ref="N1:N2"/>
    <mergeCell ref="A1:A2"/>
    <mergeCell ref="B1:B2"/>
    <mergeCell ref="C1:C2"/>
    <mergeCell ref="K1:K2"/>
    <mergeCell ref="L1:L2"/>
    <mergeCell ref="D1:J1"/>
  </mergeCells>
  <conditionalFormatting sqref="AD1:AE1 BL1:BM1">
    <cfRule type="duplicateValues" dxfId="2" priority="6"/>
  </conditionalFormatting>
  <conditionalFormatting sqref="AF1">
    <cfRule type="duplicateValues" dxfId="1" priority="2"/>
  </conditionalFormatting>
  <conditionalFormatting sqref="AG1:BK1">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POAI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restrepo</dc:creator>
  <cp:lastModifiedBy>asus</cp:lastModifiedBy>
  <cp:lastPrinted>2024-05-25T16:50:08Z</cp:lastPrinted>
  <dcterms:created xsi:type="dcterms:W3CDTF">2024-04-07T14:01:14Z</dcterms:created>
  <dcterms:modified xsi:type="dcterms:W3CDTF">2024-10-24T21:38:56Z</dcterms:modified>
</cp:coreProperties>
</file>