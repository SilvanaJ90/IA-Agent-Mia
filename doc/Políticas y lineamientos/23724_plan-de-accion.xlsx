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89D507B-A5A7-424B-95CC-5DC08372042C}" xr6:coauthVersionLast="41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 Indicativo" sheetId="2" r:id="rId1"/>
  </sheets>
  <definedNames>
    <definedName name="_xlnm._FilterDatabase" localSheetId="0" hidden="1">'Plan Indicativo'!$A$1:$U$61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</calcChain>
</file>

<file path=xl/sharedStrings.xml><?xml version="1.0" encoding="utf-8"?>
<sst xmlns="http://schemas.openxmlformats.org/spreadsheetml/2006/main" count="2322" uniqueCount="271">
  <si>
    <t>Entidad_Territorial</t>
  </si>
  <si>
    <t>DANE</t>
  </si>
  <si>
    <t>Plan_de_Desarrollo</t>
  </si>
  <si>
    <t>Nombre_Linea_Estrategica</t>
  </si>
  <si>
    <t>Codigo_Indicador_Bienestar</t>
  </si>
  <si>
    <t>Nombre_Indicador_Bienestar</t>
  </si>
  <si>
    <t>Año_Linea_Base</t>
  </si>
  <si>
    <t>Valor_Linea_Base</t>
  </si>
  <si>
    <t>Unidad_Medida</t>
  </si>
  <si>
    <t>Meta_Cuatrenio</t>
  </si>
  <si>
    <t>Codigo_Sector</t>
  </si>
  <si>
    <t>Nombre_Sector</t>
  </si>
  <si>
    <t>Codigo_Programa_Presupuestal</t>
  </si>
  <si>
    <t>Nombre_Programa_Presupuestal</t>
  </si>
  <si>
    <t>Nombre_Programa_Presupuestal_del_Catalogo</t>
  </si>
  <si>
    <t>Codigo_Producto</t>
  </si>
  <si>
    <t>Nombre_Producto</t>
  </si>
  <si>
    <t>Codigo_Indicador_Producto</t>
  </si>
  <si>
    <t>Nombre_Indicador_Producto</t>
  </si>
  <si>
    <t>Unidad_Medida_Indicador_Producto</t>
  </si>
  <si>
    <t>Angelópolis/Antioquia</t>
  </si>
  <si>
    <t>Creemos en Angelópolis 2020-2023</t>
  </si>
  <si>
    <t>Creemos en Angelópolis Equitativo, Incluyente y con Bienestar</t>
  </si>
  <si>
    <t>CR464</t>
  </si>
  <si>
    <t>cobertura bruta  en la educación media</t>
  </si>
  <si>
    <t>Porcentaje</t>
  </si>
  <si>
    <t>Educación</t>
  </si>
  <si>
    <t>Calidad, cobertura y fortalecimiento de la educación inicial, prescolar, básica y media</t>
  </si>
  <si>
    <t>Número</t>
  </si>
  <si>
    <t>Servicio de fomento para el acceso a la educación inicial, preescolar, básica y media.</t>
  </si>
  <si>
    <t xml:space="preserve">Personas beneficiadas con estrategias de fomento para el acceso a la educación inicial, preescolar, básica y media. </t>
  </si>
  <si>
    <t>CR37</t>
  </si>
  <si>
    <t>cobertura bruta en la educación inicial, preescolar, básica y media</t>
  </si>
  <si>
    <t>Sistemas de reporte de información operando</t>
  </si>
  <si>
    <t>Servicio de apoyo a la permanencia con alimentación escolar</t>
  </si>
  <si>
    <t>Raciones contratadas</t>
  </si>
  <si>
    <t>Servicio de apoyo a la permanencia con transporte escolar</t>
  </si>
  <si>
    <t>Beneficiarios de transporte escolar</t>
  </si>
  <si>
    <t>05036|22IB64505</t>
  </si>
  <si>
    <t>Cobertura neta en la educación inicial, preescolar, básica y media</t>
  </si>
  <si>
    <t>Infraestructura educativa mantenida</t>
  </si>
  <si>
    <t>Sedes mantenidas</t>
  </si>
  <si>
    <t>Servicio educativo de promoción del bilingüismo para docentes</t>
  </si>
  <si>
    <t>Docentes beneficiados con estrategias de promoción del bilingüismo</t>
  </si>
  <si>
    <t>CR468</t>
  </si>
  <si>
    <t>cobertura neta  en la educación media</t>
  </si>
  <si>
    <t>Servicio educativos de promoción del bilingüismo</t>
  </si>
  <si>
    <t>Estudiantes beneficiados con estrategias de promoción del bilingüismo</t>
  </si>
  <si>
    <t>CR323</t>
  </si>
  <si>
    <t>tasa de analfabetismo para población de 15 años y más</t>
  </si>
  <si>
    <t>Servicio de alfabetización</t>
  </si>
  <si>
    <t xml:space="preserve">Personas beneficiarias con modelos de alfabetización </t>
  </si>
  <si>
    <t>CR328</t>
  </si>
  <si>
    <t>tasa de deserción intra-anual de educación preescolar, básica y media</t>
  </si>
  <si>
    <t>Servicio de apoyo para el fortalecimiento de escuelas de padres</t>
  </si>
  <si>
    <t>Escuelas de padres apoyadas</t>
  </si>
  <si>
    <t>Servicios de atención psicosocial a estudiantes y docentes</t>
  </si>
  <si>
    <t xml:space="preserve">Personas atendidas </t>
  </si>
  <si>
    <t>CR326</t>
  </si>
  <si>
    <t>tasa de cobertura en educación superior</t>
  </si>
  <si>
    <t>Calidad y fomento de la educación superior</t>
  </si>
  <si>
    <t>Servicio de fomento para el acceso a la educación superior o terciaria</t>
  </si>
  <si>
    <t>Beneficiarios de estrategias o programas de  fomento para el acceso a la educación superior o terciaria</t>
  </si>
  <si>
    <t>CR262</t>
  </si>
  <si>
    <t xml:space="preserve">porcentaje de población afiliada al sistema de salud </t>
  </si>
  <si>
    <t xml:space="preserve">Salud y Protección Social </t>
  </si>
  <si>
    <t>Salud pública</t>
  </si>
  <si>
    <t>Servicio de suministro de insumos para el manejo de eventos de interés en salud pública</t>
  </si>
  <si>
    <t>Entidades territoriales con servicio de suministro de insumos para el manejo de eventos de interés en salud pública</t>
  </si>
  <si>
    <t>Aseguramiento y prestación integral de servicios de salud</t>
  </si>
  <si>
    <t>Servicio de atención en salud a la población</t>
  </si>
  <si>
    <t>Personas atendidas con servicio de salud</t>
  </si>
  <si>
    <t>Inspección, vigilancia y control</t>
  </si>
  <si>
    <t>Servicio de inspección, vigilancia y control</t>
  </si>
  <si>
    <t xml:space="preserve">Informes de los resultados obtenidos en la vigilancia sanitaria </t>
  </si>
  <si>
    <t>Servicio de promoción de la salud y prevención de riesgos asociados a condiciones no transmisibles</t>
  </si>
  <si>
    <t>Campañas de promoción de la salud  y prevención de riesgos asociados a condiciones no transmisibles implementadas</t>
  </si>
  <si>
    <t>Servicio de apoyo para la dotación hospitalaria</t>
  </si>
  <si>
    <t>Sedes dotadas</t>
  </si>
  <si>
    <t>CR334</t>
  </si>
  <si>
    <t>tasa de mortalidad en menores de 5 años (ajustada)</t>
  </si>
  <si>
    <t>Tasa</t>
  </si>
  <si>
    <t>Servicio de educación informal en temas de salud pública</t>
  </si>
  <si>
    <t>Personas capacitadas</t>
  </si>
  <si>
    <t>Servicio de gestión del riesgo en temas de salud sexual y reproductiva</t>
  </si>
  <si>
    <t>Campañas de gestión del riesgo en temas de salud sexual y reproductiva implementadas</t>
  </si>
  <si>
    <t>CR333</t>
  </si>
  <si>
    <t>tasa de mortalidad</t>
  </si>
  <si>
    <t>Muertes/1.000 habitantes</t>
  </si>
  <si>
    <t>Servicio de gestión del riesgo en temas de consumo de sustancias psicoactivas</t>
  </si>
  <si>
    <t>Campañas de gestión del riesgo en temas de consumo de sustancias psicoactivas implementadas</t>
  </si>
  <si>
    <t>Minutos</t>
  </si>
  <si>
    <t>Servicio de gestión del riesgo en temas de trastornos mentales</t>
  </si>
  <si>
    <t>Campañas de gestión del riesgo en temas de trastornos mentales implementadas</t>
  </si>
  <si>
    <t>CR486</t>
  </si>
  <si>
    <t xml:space="preserve">Continuidad del servicio urbano de agua (hr/día) </t>
  </si>
  <si>
    <t>Horas</t>
  </si>
  <si>
    <t>Vivienda</t>
  </si>
  <si>
    <t>Acceso de la población a los servicios de agua potable y saneamiento básico</t>
  </si>
  <si>
    <t>Servicio de apoyo financiero para subsidios al consumo en los servicios públicos domiciliarios</t>
  </si>
  <si>
    <t>Usuarios beneficiados con subsidios al consumo</t>
  </si>
  <si>
    <t>Servicio de Acueducto</t>
  </si>
  <si>
    <t>Usuarios conectados a la red de servicio de acueducto</t>
  </si>
  <si>
    <t>Acueductos optimizados</t>
  </si>
  <si>
    <t>05036|19IB64508</t>
  </si>
  <si>
    <t>Porcentaje de población con sistema de tratamiento de aguas residuales</t>
  </si>
  <si>
    <t>Servicio de Aseo</t>
  </si>
  <si>
    <t>Usuarios con acceso al servicio de aseo</t>
  </si>
  <si>
    <t>CR1</t>
  </si>
  <si>
    <t>acceso de la población colombiana a espacios culturales</t>
  </si>
  <si>
    <t>Cultura</t>
  </si>
  <si>
    <t>Promoción y acceso efectivo a procesos culturales y artísticos</t>
  </si>
  <si>
    <t>Servicio de fomento para el acceso de la oferta cultural</t>
  </si>
  <si>
    <t>Personas beneficiadas</t>
  </si>
  <si>
    <t>Servicio de promoción de actividades culturales</t>
  </si>
  <si>
    <t>Eventos de promoción de actividades culturales realizados</t>
  </si>
  <si>
    <t>Servicio de mantenimiento de infraestructura cultural</t>
  </si>
  <si>
    <t>Infraestructura cultural intervenida</t>
  </si>
  <si>
    <t>Escuelas de música adecuadas y dotadas</t>
  </si>
  <si>
    <t>CR292</t>
  </si>
  <si>
    <t>promedio de libros leídos al año por la población colombianas de 12 años y más </t>
  </si>
  <si>
    <t>Servicio de acceso a materiales de lectura</t>
  </si>
  <si>
    <t>Materiales de lectura disponibles en bibliotecas públicas y espacios no convencionales</t>
  </si>
  <si>
    <t>05036|43IB64510</t>
  </si>
  <si>
    <t>Municipio con al menos una disciplina en escuelas deportiva</t>
  </si>
  <si>
    <t>Deporte y Recreación</t>
  </si>
  <si>
    <t>Fomento a la recreación, la actividad física y el deporte para desarrollar entornos de convivencia y paz</t>
  </si>
  <si>
    <t>Servicio de apoyo a la actividad física, la recreación y el deporte</t>
  </si>
  <si>
    <t>Servicio de mantenimiento a la infraestructura deportiva</t>
  </si>
  <si>
    <t>Infraestructura deportiva mantenida</t>
  </si>
  <si>
    <t>Servicio de organización de eventos deportivos comunitarios</t>
  </si>
  <si>
    <t>Eventos deportivos comunitarios realizados</t>
  </si>
  <si>
    <t>CR211</t>
  </si>
  <si>
    <t>población que realiza actividad física en su tiempo libre</t>
  </si>
  <si>
    <t>Servicio de Escuelas Deportivas</t>
  </si>
  <si>
    <t>Niños, niñas, adolescentes y jóvenes inscritos en Escuelas Deportivas</t>
  </si>
  <si>
    <t>CR62</t>
  </si>
  <si>
    <t xml:space="preserve">deportistas que participan en eventos deportivos de alto rendimiento </t>
  </si>
  <si>
    <t>Formación y preparación de deportistas</t>
  </si>
  <si>
    <t>Gimnasios mantenidos</t>
  </si>
  <si>
    <t>Inclusión social</t>
  </si>
  <si>
    <t>Atención, asistencia  y reparación integral a las víctimas</t>
  </si>
  <si>
    <t>CR384</t>
  </si>
  <si>
    <t>víctimas reparadas administrativamente </t>
  </si>
  <si>
    <t>Servicio de ayuda y atención humanitaria</t>
  </si>
  <si>
    <t>Personas con asistencia humanitaria</t>
  </si>
  <si>
    <t>CR385</t>
  </si>
  <si>
    <t>víctimas retornadas, reubicadas o integradas localmente </t>
  </si>
  <si>
    <t>Servicios de implementaciónde medidas de satisfacción y acompañamiento a las víctimas del conflicto armado</t>
  </si>
  <si>
    <t>Víctimas reconocidas, recordadas y dignificadas por el Estado.</t>
  </si>
  <si>
    <t>CR329</t>
  </si>
  <si>
    <t>tasa de desnutrición</t>
  </si>
  <si>
    <t>Desarrollo integral de la primera infancia a la juventud, y fortalecimiento de las capacidades de las familias de niñas, niños y adolescentes</t>
  </si>
  <si>
    <t>Servicio de atención integral a la primera infancia</t>
  </si>
  <si>
    <t>Niños y niñas atendidos en Servicio integrales</t>
  </si>
  <si>
    <t>Índice</t>
  </si>
  <si>
    <t>CR428</t>
  </si>
  <si>
    <t>índice de pobreza multidimensional (ipm)</t>
  </si>
  <si>
    <t>Atención integral de población en situación permanente de desprotección social y/o familiar</t>
  </si>
  <si>
    <t>CR71</t>
  </si>
  <si>
    <t>déficit de vivienda cualitativo</t>
  </si>
  <si>
    <t>Acceso a soluciones de vivienda</t>
  </si>
  <si>
    <t>Vivienda de Interés Social mejoradas</t>
  </si>
  <si>
    <t>Minas y energía</t>
  </si>
  <si>
    <t>Kilómetros</t>
  </si>
  <si>
    <t>Consolidación productiva del sector de energía eléctrica</t>
  </si>
  <si>
    <t>05036|40IB64514</t>
  </si>
  <si>
    <t>hogares con acceso a internet</t>
  </si>
  <si>
    <t>Redes de alumbrado público con mantenimiento</t>
  </si>
  <si>
    <t xml:space="preserve">Metros </t>
  </si>
  <si>
    <t>CR365</t>
  </si>
  <si>
    <t>tasa de violencia intrafamiliar</t>
  </si>
  <si>
    <t>Trabajo</t>
  </si>
  <si>
    <t>Derechos fundamentales del trabajo y fortalecimiento del diálogo social</t>
  </si>
  <si>
    <t>Servicio de protección para el restablecimiento de derechos de niños, niñas, adolescentes y jóvenes</t>
  </si>
  <si>
    <t>Niños, niñas, adolescentes y jóvenes atendidos con servicio de protección para el restablecimiento de derechos</t>
  </si>
  <si>
    <t>Creemos en Angelópolis Emprendedor, Productivo y con Competitividad</t>
  </si>
  <si>
    <t>05209|35IB21526</t>
  </si>
  <si>
    <t>Participación de pequeños productores en cadenas de transformación agro-industrial</t>
  </si>
  <si>
    <t>Agricultura y Desarrollo Rural</t>
  </si>
  <si>
    <t>Inclusión productiva de pequeños productores rurales</t>
  </si>
  <si>
    <t>Servicio de asistencia técnica agropecuaria dirigida a pequeños productores</t>
  </si>
  <si>
    <t>Pequeños productores rurales asistidos técnicamente</t>
  </si>
  <si>
    <t>Sanidad agropecuaria e inocuidad agroalimentaria</t>
  </si>
  <si>
    <t>Servicios de vacunación para especies animales de interés agropecuario</t>
  </si>
  <si>
    <t>Animales vacunados</t>
  </si>
  <si>
    <t>Infraestructura productiva y comercialización</t>
  </si>
  <si>
    <t>Transporte</t>
  </si>
  <si>
    <t>Infraestructura red vial regional</t>
  </si>
  <si>
    <t>CR332</t>
  </si>
  <si>
    <t xml:space="preserve">tasa de informalidad laboral </t>
  </si>
  <si>
    <t xml:space="preserve">Porcentaje </t>
  </si>
  <si>
    <t>Servicio de educación informal para la prevención integral del trabajo infantil</t>
  </si>
  <si>
    <t>Servicio de divulgación para la aplicación del enfoque de género</t>
  </si>
  <si>
    <t>Personas sensibilizadas</t>
  </si>
  <si>
    <t>05642|21IB17039</t>
  </si>
  <si>
    <t>Índice de mejores prácticas de potencial mineral</t>
  </si>
  <si>
    <t>Consolidación productiva del sector minero</t>
  </si>
  <si>
    <t>Personas asistidas técnicamente</t>
  </si>
  <si>
    <t>Desarrollo ambiental sostenible del sector minero energético</t>
  </si>
  <si>
    <t>Servicio de asistencia técnica en el manejo socio ambiental en las actividades mineras</t>
  </si>
  <si>
    <t>Servicio de asistencia técnica en actividades de explotación minera de pequeña y mediana escala</t>
  </si>
  <si>
    <t>Unidades de producción minera asistidas técnicamente</t>
  </si>
  <si>
    <t>05467|24IB37127</t>
  </si>
  <si>
    <t>Red vial urbana en buen estado</t>
  </si>
  <si>
    <t>Vía terciaria con mantenimiento periódico o rutinario</t>
  </si>
  <si>
    <t xml:space="preserve">Vía terciaria con mantenimiento </t>
  </si>
  <si>
    <t>Vía urbana con mantenimiento periódico o rutinario</t>
  </si>
  <si>
    <t xml:space="preserve">Vía urbana con mantenimiento  </t>
  </si>
  <si>
    <t>CR476</t>
  </si>
  <si>
    <t>Puntaje índice de competitividad</t>
  </si>
  <si>
    <t>Servicio de apoyo a la producción de las cadenas agrícolas, forestales, pecuarias, pesqueras y acuícolas</t>
  </si>
  <si>
    <t>Cadenas productivas apoyadas</t>
  </si>
  <si>
    <t>Creemos en Angelópolis Sostenible, Resiliente y con Gestión del Riesgo</t>
  </si>
  <si>
    <t>CR320</t>
  </si>
  <si>
    <t>sistemas de información ambiental interoperables</t>
  </si>
  <si>
    <t>Ambiente y Desarrollo Sostenible</t>
  </si>
  <si>
    <t>Servicios de seguimiento al Plan de Gestión Integral de Residuos Solidos PGIRS</t>
  </si>
  <si>
    <t>Plan de Gestión Integral de Residuos Solidos con seguimiento</t>
  </si>
  <si>
    <t>Conservación de la biodiversidad y sus servicios ecosistémicos</t>
  </si>
  <si>
    <t>Servicio de educación informal en el marco de la conservación de la biodiversidad y los Servicio ecostémicos</t>
  </si>
  <si>
    <t>Ordenamiento ambiental territorial</t>
  </si>
  <si>
    <t>Obras de infraestructura para mitigación y atención a desastres</t>
  </si>
  <si>
    <t xml:space="preserve">Obras de infraestructura para mitigación y atención a desastres realizadas </t>
  </si>
  <si>
    <t>Gobierno Territorial</t>
  </si>
  <si>
    <t>Gestión del riesgo de desastres y emergencias</t>
  </si>
  <si>
    <t>CR325</t>
  </si>
  <si>
    <t>tasa de bomberos por habitante</t>
  </si>
  <si>
    <t>Servicio de atención a emergencias y desastres</t>
  </si>
  <si>
    <t>Emergencias y desastres atendidas</t>
  </si>
  <si>
    <t>Creemos en Angelópolis Institucional, Buen Gobierno, Seguridad y con Participacion Ciudada</t>
  </si>
  <si>
    <t>05036|45IB64494</t>
  </si>
  <si>
    <t>Índice de Gini</t>
  </si>
  <si>
    <t>Justicia y del Derecho</t>
  </si>
  <si>
    <t>05036|12IB64497</t>
  </si>
  <si>
    <t>Índice de violaciones a DDHH</t>
  </si>
  <si>
    <t>Sistema penitenciario y carcelario en el marco de los derechos humanos</t>
  </si>
  <si>
    <t>Servicio de bienestar a la población privada de libertad</t>
  </si>
  <si>
    <t>Personas privadas de la libertad con Servicio de bienestar</t>
  </si>
  <si>
    <t>Información Estadística</t>
  </si>
  <si>
    <t>Generación de la información geográfica del territorio nacional</t>
  </si>
  <si>
    <t>Ordenamiento territorial y desarrollo urbano</t>
  </si>
  <si>
    <t>Espacio publico adecuado</t>
  </si>
  <si>
    <t>Metros cuadrados</t>
  </si>
  <si>
    <t>Parques mantenidos</t>
  </si>
  <si>
    <t>Servicio de conservación catastral</t>
  </si>
  <si>
    <t>Trámites de conservación catastral realizados</t>
  </si>
  <si>
    <t>Servicio de información para la gestión de la educación inicial y preescolar en condiciones de calidad (simat)</t>
  </si>
  <si>
    <t>Atencion integral a la poblacion adulta mayor</t>
  </si>
  <si>
    <t>atencion integral a la poblacion en situacion de dispacidad</t>
  </si>
  <si>
    <t>Personas atendidas</t>
  </si>
  <si>
    <t>Personas atendias</t>
  </si>
  <si>
    <t>Cofinanciacion_Departamento</t>
  </si>
  <si>
    <t>Cofinanciacion_Nacion</t>
  </si>
  <si>
    <t>Credito</t>
  </si>
  <si>
    <t>Otros</t>
  </si>
  <si>
    <t>Recursos_Propios</t>
  </si>
  <si>
    <t>Regalias</t>
  </si>
  <si>
    <t>SGP_Agua_Potable_y_Saneamiento_Basico</t>
  </si>
  <si>
    <t>SGP_Alimentación_Escolar</t>
  </si>
  <si>
    <t>SGP_Cultura</t>
  </si>
  <si>
    <t>SGP_Deporte</t>
  </si>
  <si>
    <t>SGP_Educacion</t>
  </si>
  <si>
    <t>SGP_Libre_Destinacion</t>
  </si>
  <si>
    <t>SGP_Libre_Inversion</t>
  </si>
  <si>
    <t>SGP_Municipios_Rio_Magdalena</t>
  </si>
  <si>
    <t>SGP_Primera_Infancia</t>
  </si>
  <si>
    <t>SGP_Salud</t>
  </si>
  <si>
    <t>??</t>
  </si>
  <si>
    <t>Total</t>
  </si>
  <si>
    <t>Meta_2024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</si>
</sst>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6"/>
  <sheetViews>
    <sheetView tabSelected="1" topLeftCell="A73" workbookViewId="0">
      <selection activeCell="U39" sqref="U39:U40"/>
    </sheetView>
  </sheetViews>
  <sheetFormatPr baseColWidth="10" defaultColWidth="8.85546875" defaultRowHeight="15" x14ac:dyDescent="0.25"/>
  <cols>
    <col min="1" max="1" width="26.7109375" customWidth="1"/>
    <col min="3" max="3" width="32.28515625" bestFit="1" customWidth="1"/>
    <col min="4" max="4" width="59.140625" customWidth="1"/>
    <col min="6" max="6" width="77.5703125" bestFit="1" customWidth="1"/>
    <col min="7" max="7" width="16.7109375" customWidth="1"/>
    <col min="9" max="9" width="16.28515625" customWidth="1"/>
    <col min="12" max="12" width="20" customWidth="1"/>
    <col min="15" max="15" width="75.85546875" customWidth="1"/>
    <col min="17" max="17" width="94.28515625" customWidth="1"/>
    <col min="18" max="18" width="15.140625" customWidth="1"/>
    <col min="19" max="19" width="79.28515625" customWidth="1"/>
    <col min="22" max="22" width="14.5703125" customWidth="1"/>
    <col min="23" max="38" width="10.28515625" style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270</v>
      </c>
      <c r="V1" t="s">
        <v>269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256</v>
      </c>
      <c r="AB1" s="1" t="s">
        <v>257</v>
      </c>
      <c r="AC1" s="1" t="s">
        <v>258</v>
      </c>
      <c r="AD1" s="1" t="s">
        <v>259</v>
      </c>
      <c r="AE1" s="1" t="s">
        <v>260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</row>
    <row r="2" spans="1:38" x14ac:dyDescent="0.25">
      <c r="A2" t="s">
        <v>20</v>
      </c>
      <c r="B2">
        <v>5036</v>
      </c>
      <c r="C2" t="s">
        <v>21</v>
      </c>
      <c r="D2" t="s">
        <v>22</v>
      </c>
      <c r="E2" t="s">
        <v>23</v>
      </c>
      <c r="F2" t="s">
        <v>24</v>
      </c>
      <c r="G2">
        <v>2019</v>
      </c>
      <c r="H2">
        <v>74.2</v>
      </c>
      <c r="I2" t="s">
        <v>25</v>
      </c>
      <c r="J2">
        <v>76.2</v>
      </c>
      <c r="K2">
        <v>22</v>
      </c>
      <c r="L2" t="s">
        <v>26</v>
      </c>
      <c r="M2">
        <v>2201</v>
      </c>
      <c r="N2" t="s">
        <v>27</v>
      </c>
      <c r="P2">
        <v>2201017</v>
      </c>
      <c r="Q2" t="s">
        <v>29</v>
      </c>
      <c r="R2">
        <v>220101700</v>
      </c>
      <c r="S2" t="s">
        <v>30</v>
      </c>
      <c r="T2" t="s">
        <v>28</v>
      </c>
      <c r="U2">
        <v>1200</v>
      </c>
      <c r="V2">
        <f t="shared" ref="V2:V26" si="0">+W2+X2+Y2+Z2+AA2+AB2+AC2+AD2+AE2+AF2+AG2+AH2+AI2+AJ2+AK2+AL2</f>
        <v>34948683</v>
      </c>
      <c r="W2" s="1">
        <v>0</v>
      </c>
      <c r="X2" s="1">
        <v>0</v>
      </c>
      <c r="Y2" s="1">
        <v>0</v>
      </c>
      <c r="Z2" s="1">
        <v>0</v>
      </c>
      <c r="AA2" s="1">
        <v>4469271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16218669</v>
      </c>
      <c r="AH2" s="1">
        <v>0</v>
      </c>
      <c r="AI2" s="1">
        <v>14260743</v>
      </c>
      <c r="AJ2" s="1">
        <v>0</v>
      </c>
      <c r="AK2" s="1">
        <v>0</v>
      </c>
      <c r="AL2" s="1">
        <v>0</v>
      </c>
    </row>
    <row r="3" spans="1:38" x14ac:dyDescent="0.25">
      <c r="A3" t="s">
        <v>20</v>
      </c>
      <c r="B3">
        <v>5036</v>
      </c>
      <c r="C3" t="s">
        <v>21</v>
      </c>
      <c r="D3" t="s">
        <v>22</v>
      </c>
      <c r="E3" t="s">
        <v>31</v>
      </c>
      <c r="F3" t="s">
        <v>32</v>
      </c>
      <c r="G3">
        <v>2019</v>
      </c>
      <c r="H3">
        <v>69.81</v>
      </c>
      <c r="I3" t="s">
        <v>25</v>
      </c>
      <c r="J3">
        <v>71.81</v>
      </c>
      <c r="K3">
        <v>22</v>
      </c>
      <c r="L3" t="s">
        <v>26</v>
      </c>
      <c r="M3">
        <v>2201</v>
      </c>
      <c r="N3" t="s">
        <v>27</v>
      </c>
      <c r="P3">
        <v>2201018</v>
      </c>
      <c r="Q3" t="s">
        <v>247</v>
      </c>
      <c r="R3">
        <v>220101800</v>
      </c>
      <c r="S3" t="s">
        <v>33</v>
      </c>
      <c r="T3" t="s">
        <v>28</v>
      </c>
      <c r="V3">
        <f t="shared" si="0"/>
        <v>34948710</v>
      </c>
      <c r="W3" s="1">
        <v>0</v>
      </c>
      <c r="X3" s="1">
        <v>0</v>
      </c>
      <c r="Y3" s="1">
        <v>0</v>
      </c>
      <c r="Z3" s="1">
        <v>0</v>
      </c>
      <c r="AA3" s="1">
        <v>4469301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16218669</v>
      </c>
      <c r="AH3" s="1">
        <v>0</v>
      </c>
      <c r="AI3" s="1">
        <v>14260740</v>
      </c>
      <c r="AJ3" s="1">
        <v>0</v>
      </c>
      <c r="AK3" s="1">
        <v>0</v>
      </c>
      <c r="AL3" s="1">
        <v>0</v>
      </c>
    </row>
    <row r="4" spans="1:38" x14ac:dyDescent="0.25">
      <c r="A4" t="s">
        <v>20</v>
      </c>
      <c r="B4">
        <v>5036</v>
      </c>
      <c r="C4" t="s">
        <v>21</v>
      </c>
      <c r="D4" t="s">
        <v>22</v>
      </c>
      <c r="E4" t="s">
        <v>31</v>
      </c>
      <c r="F4" t="s">
        <v>32</v>
      </c>
      <c r="G4">
        <v>2019</v>
      </c>
      <c r="H4">
        <v>69.81</v>
      </c>
      <c r="I4" t="s">
        <v>25</v>
      </c>
      <c r="J4">
        <v>71.81</v>
      </c>
      <c r="K4">
        <v>22</v>
      </c>
      <c r="L4" t="s">
        <v>26</v>
      </c>
      <c r="M4">
        <v>2201</v>
      </c>
      <c r="N4" t="s">
        <v>27</v>
      </c>
      <c r="P4">
        <v>2201028</v>
      </c>
      <c r="Q4" t="s">
        <v>34</v>
      </c>
      <c r="R4">
        <v>220102800</v>
      </c>
      <c r="S4" t="s">
        <v>35</v>
      </c>
      <c r="T4" t="s">
        <v>28</v>
      </c>
      <c r="U4">
        <v>37422</v>
      </c>
      <c r="V4">
        <f t="shared" si="0"/>
        <v>68061714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68061714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t="s">
        <v>20</v>
      </c>
      <c r="B5">
        <v>5036</v>
      </c>
      <c r="C5" t="s">
        <v>21</v>
      </c>
      <c r="D5" t="s">
        <v>22</v>
      </c>
      <c r="E5" t="s">
        <v>31</v>
      </c>
      <c r="F5" t="s">
        <v>32</v>
      </c>
      <c r="G5">
        <v>2019</v>
      </c>
      <c r="H5">
        <v>69.81</v>
      </c>
      <c r="I5" t="s">
        <v>25</v>
      </c>
      <c r="J5">
        <v>71.81</v>
      </c>
      <c r="K5">
        <v>22</v>
      </c>
      <c r="L5" t="s">
        <v>26</v>
      </c>
      <c r="M5">
        <v>2201</v>
      </c>
      <c r="N5" t="s">
        <v>27</v>
      </c>
      <c r="P5">
        <v>2201029</v>
      </c>
      <c r="Q5" t="s">
        <v>36</v>
      </c>
      <c r="R5">
        <v>220102900</v>
      </c>
      <c r="S5" t="s">
        <v>37</v>
      </c>
      <c r="T5" t="s">
        <v>28</v>
      </c>
      <c r="U5">
        <v>500</v>
      </c>
      <c r="V5">
        <f t="shared" si="0"/>
        <v>34948719</v>
      </c>
      <c r="W5" s="1">
        <v>0</v>
      </c>
      <c r="X5" s="1">
        <v>0</v>
      </c>
      <c r="Y5" s="1">
        <v>0</v>
      </c>
      <c r="Z5" s="1">
        <v>0</v>
      </c>
      <c r="AA5" s="1">
        <v>4469301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16218669</v>
      </c>
      <c r="AH5" s="1">
        <v>0</v>
      </c>
      <c r="AI5" s="1">
        <v>14260749</v>
      </c>
      <c r="AJ5" s="1">
        <v>0</v>
      </c>
      <c r="AK5" s="1">
        <v>0</v>
      </c>
      <c r="AL5" s="1">
        <v>0</v>
      </c>
    </row>
    <row r="6" spans="1:38" x14ac:dyDescent="0.25">
      <c r="A6" t="s">
        <v>20</v>
      </c>
      <c r="B6">
        <v>5036</v>
      </c>
      <c r="C6" t="s">
        <v>21</v>
      </c>
      <c r="D6" t="s">
        <v>22</v>
      </c>
      <c r="E6" t="s">
        <v>38</v>
      </c>
      <c r="F6" t="s">
        <v>39</v>
      </c>
      <c r="G6">
        <v>2019</v>
      </c>
      <c r="H6">
        <v>46.5</v>
      </c>
      <c r="J6">
        <v>48.5</v>
      </c>
      <c r="K6">
        <v>22</v>
      </c>
      <c r="L6" t="s">
        <v>26</v>
      </c>
      <c r="M6">
        <v>2201</v>
      </c>
      <c r="N6" t="s">
        <v>27</v>
      </c>
      <c r="P6">
        <v>2201062</v>
      </c>
      <c r="Q6" t="s">
        <v>40</v>
      </c>
      <c r="R6">
        <v>220106200</v>
      </c>
      <c r="S6" t="s">
        <v>41</v>
      </c>
      <c r="T6" t="s">
        <v>28</v>
      </c>
      <c r="U6">
        <v>6</v>
      </c>
      <c r="V6">
        <f t="shared" si="0"/>
        <v>39418017</v>
      </c>
      <c r="W6" s="1">
        <v>0</v>
      </c>
      <c r="X6" s="1">
        <v>0</v>
      </c>
      <c r="Y6" s="1">
        <v>0</v>
      </c>
      <c r="Z6" s="1">
        <v>0</v>
      </c>
      <c r="AA6" s="1">
        <v>8938599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16218669</v>
      </c>
      <c r="AH6" s="1">
        <v>0</v>
      </c>
      <c r="AI6" s="1">
        <v>14260749</v>
      </c>
      <c r="AJ6" s="1">
        <v>0</v>
      </c>
      <c r="AK6" s="1">
        <v>0</v>
      </c>
      <c r="AL6" s="1">
        <v>0</v>
      </c>
    </row>
    <row r="7" spans="1:38" x14ac:dyDescent="0.25">
      <c r="A7" t="s">
        <v>20</v>
      </c>
      <c r="B7">
        <v>5036</v>
      </c>
      <c r="C7" t="s">
        <v>21</v>
      </c>
      <c r="D7" t="s">
        <v>22</v>
      </c>
      <c r="E7" t="s">
        <v>38</v>
      </c>
      <c r="F7" t="s">
        <v>39</v>
      </c>
      <c r="G7">
        <v>2019</v>
      </c>
      <c r="H7">
        <v>46.5</v>
      </c>
      <c r="J7">
        <v>48.5</v>
      </c>
      <c r="K7">
        <v>22</v>
      </c>
      <c r="L7" t="s">
        <v>26</v>
      </c>
      <c r="M7">
        <v>2201</v>
      </c>
      <c r="N7" t="s">
        <v>27</v>
      </c>
      <c r="P7">
        <v>2201060</v>
      </c>
      <c r="Q7" t="s">
        <v>42</v>
      </c>
      <c r="R7">
        <v>220106000</v>
      </c>
      <c r="S7" t="s">
        <v>43</v>
      </c>
      <c r="T7" t="s">
        <v>28</v>
      </c>
      <c r="U7">
        <v>4</v>
      </c>
      <c r="V7">
        <f t="shared" si="0"/>
        <v>34948719</v>
      </c>
      <c r="W7" s="1">
        <v>0</v>
      </c>
      <c r="X7" s="1">
        <v>0</v>
      </c>
      <c r="Y7" s="1">
        <v>0</v>
      </c>
      <c r="Z7" s="1">
        <v>0</v>
      </c>
      <c r="AA7" s="1">
        <v>4469301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16218669</v>
      </c>
      <c r="AH7" s="1">
        <v>0</v>
      </c>
      <c r="AI7" s="1">
        <v>14260749</v>
      </c>
      <c r="AJ7" s="1">
        <v>0</v>
      </c>
      <c r="AK7" s="1">
        <v>0</v>
      </c>
      <c r="AL7" s="1">
        <v>0</v>
      </c>
    </row>
    <row r="8" spans="1:38" x14ac:dyDescent="0.25">
      <c r="A8" t="s">
        <v>20</v>
      </c>
      <c r="B8">
        <v>5036</v>
      </c>
      <c r="C8" t="s">
        <v>21</v>
      </c>
      <c r="D8" t="s">
        <v>22</v>
      </c>
      <c r="E8" t="s">
        <v>44</v>
      </c>
      <c r="F8" t="s">
        <v>45</v>
      </c>
      <c r="G8">
        <v>2019</v>
      </c>
      <c r="H8">
        <v>35.340000000000003</v>
      </c>
      <c r="I8" t="s">
        <v>25</v>
      </c>
      <c r="J8">
        <v>37.340000000000003</v>
      </c>
      <c r="K8">
        <v>22</v>
      </c>
      <c r="L8" t="s">
        <v>26</v>
      </c>
      <c r="M8">
        <v>2201</v>
      </c>
      <c r="N8" t="s">
        <v>27</v>
      </c>
      <c r="P8">
        <v>2201034</v>
      </c>
      <c r="Q8" t="s">
        <v>46</v>
      </c>
      <c r="R8">
        <v>220103400</v>
      </c>
      <c r="S8" t="s">
        <v>47</v>
      </c>
      <c r="T8" t="s">
        <v>28</v>
      </c>
      <c r="U8">
        <v>25</v>
      </c>
      <c r="V8">
        <f t="shared" si="0"/>
        <v>34948719</v>
      </c>
      <c r="W8" s="1">
        <v>0</v>
      </c>
      <c r="X8" s="1">
        <v>0</v>
      </c>
      <c r="Y8" s="1">
        <v>0</v>
      </c>
      <c r="Z8" s="1">
        <v>0</v>
      </c>
      <c r="AA8" s="1">
        <v>4469301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16218669</v>
      </c>
      <c r="AH8" s="1">
        <v>0</v>
      </c>
      <c r="AI8" s="1">
        <v>14260749</v>
      </c>
      <c r="AJ8" s="1">
        <v>0</v>
      </c>
      <c r="AK8" s="1">
        <v>0</v>
      </c>
      <c r="AL8" s="1">
        <v>0</v>
      </c>
    </row>
    <row r="9" spans="1:38" x14ac:dyDescent="0.25">
      <c r="A9" t="s">
        <v>20</v>
      </c>
      <c r="B9">
        <v>5036</v>
      </c>
      <c r="C9" t="s">
        <v>21</v>
      </c>
      <c r="D9" t="s">
        <v>22</v>
      </c>
      <c r="E9" t="s">
        <v>48</v>
      </c>
      <c r="F9" t="s">
        <v>49</v>
      </c>
      <c r="G9">
        <v>2019</v>
      </c>
      <c r="H9">
        <v>11.7</v>
      </c>
      <c r="I9" t="s">
        <v>25</v>
      </c>
      <c r="J9">
        <v>9.6999999999999993</v>
      </c>
      <c r="K9">
        <v>22</v>
      </c>
      <c r="L9" t="s">
        <v>26</v>
      </c>
      <c r="M9">
        <v>2201</v>
      </c>
      <c r="N9" t="s">
        <v>27</v>
      </c>
      <c r="P9">
        <v>2201032</v>
      </c>
      <c r="Q9" t="s">
        <v>50</v>
      </c>
      <c r="R9">
        <v>220103200</v>
      </c>
      <c r="S9" t="s">
        <v>51</v>
      </c>
      <c r="T9" t="s">
        <v>28</v>
      </c>
      <c r="U9">
        <v>25</v>
      </c>
      <c r="V9">
        <f t="shared" si="0"/>
        <v>34948719</v>
      </c>
      <c r="W9" s="1">
        <v>0</v>
      </c>
      <c r="X9" s="1">
        <v>0</v>
      </c>
      <c r="Y9" s="1">
        <v>0</v>
      </c>
      <c r="Z9" s="1">
        <v>0</v>
      </c>
      <c r="AA9" s="1">
        <v>4469301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16218669</v>
      </c>
      <c r="AH9" s="1">
        <v>0</v>
      </c>
      <c r="AI9" s="1">
        <v>14260749</v>
      </c>
      <c r="AJ9" s="1">
        <v>0</v>
      </c>
      <c r="AK9" s="1">
        <v>0</v>
      </c>
      <c r="AL9" s="1">
        <v>0</v>
      </c>
    </row>
    <row r="10" spans="1:38" x14ac:dyDescent="0.25">
      <c r="A10" t="s">
        <v>20</v>
      </c>
      <c r="B10">
        <v>5036</v>
      </c>
      <c r="C10" t="s">
        <v>21</v>
      </c>
      <c r="D10" t="s">
        <v>22</v>
      </c>
      <c r="E10" t="s">
        <v>52</v>
      </c>
      <c r="F10" t="s">
        <v>53</v>
      </c>
      <c r="G10">
        <v>2019</v>
      </c>
      <c r="H10">
        <v>2</v>
      </c>
      <c r="I10" t="s">
        <v>25</v>
      </c>
      <c r="J10">
        <v>1.5</v>
      </c>
      <c r="K10">
        <v>22</v>
      </c>
      <c r="L10" t="s">
        <v>26</v>
      </c>
      <c r="M10">
        <v>2201</v>
      </c>
      <c r="N10" t="s">
        <v>27</v>
      </c>
      <c r="P10">
        <v>2201067</v>
      </c>
      <c r="Q10" t="s">
        <v>54</v>
      </c>
      <c r="R10">
        <v>220106700</v>
      </c>
      <c r="S10" t="s">
        <v>55</v>
      </c>
      <c r="T10" t="s">
        <v>28</v>
      </c>
      <c r="U10">
        <v>8</v>
      </c>
      <c r="V10">
        <f t="shared" si="0"/>
        <v>34948719</v>
      </c>
      <c r="W10" s="1">
        <v>0</v>
      </c>
      <c r="X10" s="1">
        <v>0</v>
      </c>
      <c r="Y10" s="1">
        <v>0</v>
      </c>
      <c r="Z10" s="1">
        <v>0</v>
      </c>
      <c r="AA10" s="1">
        <v>4469301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16218669</v>
      </c>
      <c r="AH10" s="1">
        <v>0</v>
      </c>
      <c r="AI10" s="1">
        <v>14260749</v>
      </c>
      <c r="AJ10" s="1">
        <v>0</v>
      </c>
      <c r="AK10" s="1">
        <v>0</v>
      </c>
      <c r="AL10" s="1">
        <v>0</v>
      </c>
    </row>
    <row r="11" spans="1:38" x14ac:dyDescent="0.25">
      <c r="A11" t="s">
        <v>20</v>
      </c>
      <c r="B11">
        <v>5036</v>
      </c>
      <c r="C11" t="s">
        <v>21</v>
      </c>
      <c r="D11" t="s">
        <v>22</v>
      </c>
      <c r="E11" t="s">
        <v>52</v>
      </c>
      <c r="F11" t="s">
        <v>53</v>
      </c>
      <c r="G11">
        <v>2019</v>
      </c>
      <c r="H11">
        <v>2</v>
      </c>
      <c r="I11" t="s">
        <v>25</v>
      </c>
      <c r="J11">
        <v>1.5</v>
      </c>
      <c r="K11">
        <v>22</v>
      </c>
      <c r="L11" t="s">
        <v>26</v>
      </c>
      <c r="M11">
        <v>2201</v>
      </c>
      <c r="N11" t="s">
        <v>27</v>
      </c>
      <c r="P11">
        <v>2201042</v>
      </c>
      <c r="Q11" t="s">
        <v>56</v>
      </c>
      <c r="R11">
        <v>220104200</v>
      </c>
      <c r="S11" t="s">
        <v>57</v>
      </c>
      <c r="T11" t="s">
        <v>28</v>
      </c>
      <c r="U11">
        <v>40</v>
      </c>
      <c r="V11">
        <f t="shared" si="0"/>
        <v>34948719</v>
      </c>
      <c r="W11" s="1">
        <v>0</v>
      </c>
      <c r="X11" s="1">
        <v>0</v>
      </c>
      <c r="Y11" s="1">
        <v>0</v>
      </c>
      <c r="Z11" s="1">
        <v>0</v>
      </c>
      <c r="AA11" s="1">
        <v>4469301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16218669</v>
      </c>
      <c r="AH11" s="1">
        <v>0</v>
      </c>
      <c r="AI11" s="1">
        <v>14260749</v>
      </c>
      <c r="AJ11" s="1">
        <v>0</v>
      </c>
      <c r="AK11" s="1">
        <v>0</v>
      </c>
      <c r="AL11" s="1">
        <v>0</v>
      </c>
    </row>
    <row r="12" spans="1:38" x14ac:dyDescent="0.25">
      <c r="A12" t="s">
        <v>20</v>
      </c>
      <c r="B12">
        <v>5036</v>
      </c>
      <c r="C12" t="s">
        <v>21</v>
      </c>
      <c r="D12" t="s">
        <v>22</v>
      </c>
      <c r="E12" t="s">
        <v>58</v>
      </c>
      <c r="F12" t="s">
        <v>59</v>
      </c>
      <c r="G12">
        <v>2019</v>
      </c>
      <c r="H12">
        <v>0</v>
      </c>
      <c r="I12" t="s">
        <v>25</v>
      </c>
      <c r="J12">
        <v>40</v>
      </c>
      <c r="K12">
        <v>22</v>
      </c>
      <c r="L12" t="s">
        <v>26</v>
      </c>
      <c r="M12">
        <v>2202</v>
      </c>
      <c r="N12" t="s">
        <v>60</v>
      </c>
      <c r="P12">
        <v>2202005</v>
      </c>
      <c r="Q12" t="s">
        <v>61</v>
      </c>
      <c r="R12">
        <v>220200500</v>
      </c>
      <c r="S12" t="s">
        <v>62</v>
      </c>
      <c r="T12" t="s">
        <v>28</v>
      </c>
      <c r="U12">
        <v>5</v>
      </c>
      <c r="V12">
        <f t="shared" si="0"/>
        <v>34948719</v>
      </c>
      <c r="W12" s="1">
        <v>0</v>
      </c>
      <c r="X12" s="1">
        <v>0</v>
      </c>
      <c r="Y12" s="1">
        <v>0</v>
      </c>
      <c r="Z12" s="1">
        <v>0</v>
      </c>
      <c r="AA12" s="1">
        <v>4469301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16218669</v>
      </c>
      <c r="AH12" s="1">
        <v>0</v>
      </c>
      <c r="AI12" s="1">
        <v>14260749</v>
      </c>
      <c r="AJ12" s="1">
        <v>0</v>
      </c>
      <c r="AK12" s="1">
        <v>0</v>
      </c>
      <c r="AL12" s="1">
        <v>0</v>
      </c>
    </row>
    <row r="13" spans="1:38" x14ac:dyDescent="0.25">
      <c r="A13" t="s">
        <v>20</v>
      </c>
      <c r="B13">
        <v>5036</v>
      </c>
      <c r="C13" t="s">
        <v>21</v>
      </c>
      <c r="D13" t="s">
        <v>22</v>
      </c>
      <c r="E13" t="s">
        <v>63</v>
      </c>
      <c r="F13" t="s">
        <v>64</v>
      </c>
      <c r="G13">
        <v>2019</v>
      </c>
      <c r="H13">
        <v>99.6</v>
      </c>
      <c r="I13" t="s">
        <v>25</v>
      </c>
      <c r="J13">
        <v>99.7</v>
      </c>
      <c r="K13">
        <v>19</v>
      </c>
      <c r="L13" t="s">
        <v>65</v>
      </c>
      <c r="M13">
        <v>1905</v>
      </c>
      <c r="N13" t="s">
        <v>66</v>
      </c>
      <c r="P13">
        <v>1905029</v>
      </c>
      <c r="Q13" t="s">
        <v>67</v>
      </c>
      <c r="R13">
        <v>190502900</v>
      </c>
      <c r="S13" t="s">
        <v>68</v>
      </c>
      <c r="T13" t="s">
        <v>28</v>
      </c>
      <c r="U13">
        <v>1</v>
      </c>
      <c r="V13">
        <f t="shared" si="0"/>
        <v>774343905</v>
      </c>
      <c r="W13" s="1">
        <v>0</v>
      </c>
      <c r="X13" s="1">
        <v>72983850</v>
      </c>
      <c r="Y13" s="1">
        <v>0</v>
      </c>
      <c r="Z13" s="1">
        <v>416480184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284879871</v>
      </c>
    </row>
    <row r="14" spans="1:38" x14ac:dyDescent="0.25">
      <c r="A14" t="s">
        <v>20</v>
      </c>
      <c r="B14">
        <v>5036</v>
      </c>
      <c r="C14" t="s">
        <v>21</v>
      </c>
      <c r="D14" t="s">
        <v>22</v>
      </c>
      <c r="E14" t="s">
        <v>63</v>
      </c>
      <c r="F14" t="s">
        <v>64</v>
      </c>
      <c r="G14">
        <v>2019</v>
      </c>
      <c r="H14">
        <v>99.6</v>
      </c>
      <c r="I14" t="s">
        <v>25</v>
      </c>
      <c r="J14">
        <v>99.7</v>
      </c>
      <c r="K14">
        <v>19</v>
      </c>
      <c r="L14" t="s">
        <v>65</v>
      </c>
      <c r="M14">
        <v>1906</v>
      </c>
      <c r="N14" t="s">
        <v>69</v>
      </c>
      <c r="P14">
        <v>1906004</v>
      </c>
      <c r="Q14" t="s">
        <v>70</v>
      </c>
      <c r="R14">
        <v>190600400</v>
      </c>
      <c r="S14" t="s">
        <v>71</v>
      </c>
      <c r="T14" t="s">
        <v>28</v>
      </c>
      <c r="U14">
        <v>2500</v>
      </c>
      <c r="V14">
        <f t="shared" si="0"/>
        <v>774343905</v>
      </c>
      <c r="W14" s="1">
        <v>0</v>
      </c>
      <c r="X14" s="1">
        <v>72983850</v>
      </c>
      <c r="Y14" s="1">
        <v>0</v>
      </c>
      <c r="Z14" s="1">
        <v>416480184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284879871</v>
      </c>
    </row>
    <row r="15" spans="1:38" x14ac:dyDescent="0.25">
      <c r="A15" t="s">
        <v>20</v>
      </c>
      <c r="B15">
        <v>5036</v>
      </c>
      <c r="C15" t="s">
        <v>21</v>
      </c>
      <c r="D15" t="s">
        <v>22</v>
      </c>
      <c r="E15" t="s">
        <v>63</v>
      </c>
      <c r="F15" t="s">
        <v>64</v>
      </c>
      <c r="G15">
        <v>2019</v>
      </c>
      <c r="H15">
        <v>99.6</v>
      </c>
      <c r="I15" t="s">
        <v>25</v>
      </c>
      <c r="J15">
        <v>99.7</v>
      </c>
      <c r="K15">
        <v>19</v>
      </c>
      <c r="L15" t="s">
        <v>65</v>
      </c>
      <c r="M15">
        <v>1903</v>
      </c>
      <c r="N15" t="s">
        <v>72</v>
      </c>
      <c r="P15">
        <v>1903011</v>
      </c>
      <c r="Q15" t="s">
        <v>73</v>
      </c>
      <c r="R15">
        <v>190301101</v>
      </c>
      <c r="S15" t="s">
        <v>74</v>
      </c>
      <c r="T15" t="s">
        <v>28</v>
      </c>
      <c r="U15">
        <v>1</v>
      </c>
      <c r="V15">
        <f t="shared" si="0"/>
        <v>774343905</v>
      </c>
      <c r="W15" s="1">
        <v>0</v>
      </c>
      <c r="X15" s="1">
        <v>72983850</v>
      </c>
      <c r="Y15" s="1">
        <v>0</v>
      </c>
      <c r="Z15" s="1">
        <v>416480184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284879871</v>
      </c>
    </row>
    <row r="16" spans="1:38" x14ac:dyDescent="0.25">
      <c r="A16" t="s">
        <v>20</v>
      </c>
      <c r="B16">
        <v>5036</v>
      </c>
      <c r="C16" t="s">
        <v>21</v>
      </c>
      <c r="D16" t="s">
        <v>22</v>
      </c>
      <c r="E16" t="s">
        <v>63</v>
      </c>
      <c r="F16" t="s">
        <v>64</v>
      </c>
      <c r="G16">
        <v>2019</v>
      </c>
      <c r="H16">
        <v>99.6</v>
      </c>
      <c r="I16" t="s">
        <v>25</v>
      </c>
      <c r="J16">
        <v>99.7</v>
      </c>
      <c r="K16">
        <v>19</v>
      </c>
      <c r="L16" t="s">
        <v>65</v>
      </c>
      <c r="M16">
        <v>1905</v>
      </c>
      <c r="N16" t="s">
        <v>66</v>
      </c>
      <c r="P16">
        <v>1905031</v>
      </c>
      <c r="Q16" t="s">
        <v>75</v>
      </c>
      <c r="R16">
        <v>190503100</v>
      </c>
      <c r="S16" t="s">
        <v>76</v>
      </c>
      <c r="T16" t="s">
        <v>28</v>
      </c>
      <c r="U16">
        <v>1</v>
      </c>
      <c r="V16">
        <f t="shared" si="0"/>
        <v>774343905</v>
      </c>
      <c r="W16" s="1">
        <v>0</v>
      </c>
      <c r="X16" s="1">
        <v>72983850</v>
      </c>
      <c r="Y16" s="1">
        <v>0</v>
      </c>
      <c r="Z16" s="1">
        <v>416480184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284879871</v>
      </c>
    </row>
    <row r="17" spans="1:38" x14ac:dyDescent="0.25">
      <c r="A17" t="s">
        <v>20</v>
      </c>
      <c r="B17">
        <v>5036</v>
      </c>
      <c r="C17" t="s">
        <v>21</v>
      </c>
      <c r="D17" t="s">
        <v>22</v>
      </c>
      <c r="E17" t="s">
        <v>63</v>
      </c>
      <c r="F17" t="s">
        <v>64</v>
      </c>
      <c r="G17">
        <v>2019</v>
      </c>
      <c r="H17">
        <v>99.6</v>
      </c>
      <c r="I17" t="s">
        <v>25</v>
      </c>
      <c r="J17">
        <v>99.7</v>
      </c>
      <c r="K17">
        <v>19</v>
      </c>
      <c r="L17" t="s">
        <v>65</v>
      </c>
      <c r="M17">
        <v>1906</v>
      </c>
      <c r="N17" t="s">
        <v>69</v>
      </c>
      <c r="P17">
        <v>1906026</v>
      </c>
      <c r="Q17" t="s">
        <v>77</v>
      </c>
      <c r="R17">
        <v>190602601</v>
      </c>
      <c r="S17" t="s">
        <v>78</v>
      </c>
      <c r="T17" t="s">
        <v>28</v>
      </c>
      <c r="U17">
        <v>1</v>
      </c>
      <c r="V17">
        <f t="shared" si="0"/>
        <v>774343905</v>
      </c>
      <c r="W17" s="1">
        <v>0</v>
      </c>
      <c r="X17" s="1">
        <v>72983850</v>
      </c>
      <c r="Y17" s="1">
        <v>0</v>
      </c>
      <c r="Z17" s="1">
        <v>416480184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284879871</v>
      </c>
    </row>
    <row r="18" spans="1:38" x14ac:dyDescent="0.25">
      <c r="A18" t="s">
        <v>20</v>
      </c>
      <c r="B18">
        <v>5036</v>
      </c>
      <c r="C18" t="s">
        <v>21</v>
      </c>
      <c r="D18" t="s">
        <v>22</v>
      </c>
      <c r="E18" t="s">
        <v>79</v>
      </c>
      <c r="F18" t="s">
        <v>80</v>
      </c>
      <c r="G18">
        <v>2019</v>
      </c>
      <c r="H18">
        <v>14.49</v>
      </c>
      <c r="I18" t="s">
        <v>81</v>
      </c>
      <c r="J18">
        <v>12.49</v>
      </c>
      <c r="K18">
        <v>19</v>
      </c>
      <c r="L18" t="s">
        <v>65</v>
      </c>
      <c r="M18">
        <v>1905</v>
      </c>
      <c r="N18" t="s">
        <v>66</v>
      </c>
      <c r="P18">
        <v>1905019</v>
      </c>
      <c r="Q18" t="s">
        <v>82</v>
      </c>
      <c r="R18">
        <v>190501900</v>
      </c>
      <c r="S18" t="s">
        <v>83</v>
      </c>
      <c r="T18" t="s">
        <v>28</v>
      </c>
      <c r="U18">
        <v>100</v>
      </c>
      <c r="V18">
        <f t="shared" si="0"/>
        <v>23969979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23969979</v>
      </c>
    </row>
    <row r="19" spans="1:38" x14ac:dyDescent="0.25">
      <c r="A19" t="s">
        <v>20</v>
      </c>
      <c r="B19">
        <v>5036</v>
      </c>
      <c r="C19" t="s">
        <v>21</v>
      </c>
      <c r="D19" t="s">
        <v>22</v>
      </c>
      <c r="E19" t="s">
        <v>79</v>
      </c>
      <c r="F19" t="s">
        <v>80</v>
      </c>
      <c r="G19">
        <v>2019</v>
      </c>
      <c r="H19">
        <v>14.49</v>
      </c>
      <c r="I19" t="s">
        <v>81</v>
      </c>
      <c r="J19">
        <v>12.49</v>
      </c>
      <c r="K19">
        <v>19</v>
      </c>
      <c r="L19" t="s">
        <v>65</v>
      </c>
      <c r="M19">
        <v>1905</v>
      </c>
      <c r="N19" t="s">
        <v>66</v>
      </c>
      <c r="P19">
        <v>1905021</v>
      </c>
      <c r="Q19" t="s">
        <v>84</v>
      </c>
      <c r="R19">
        <v>190502100</v>
      </c>
      <c r="S19" t="s">
        <v>85</v>
      </c>
      <c r="T19" t="s">
        <v>28</v>
      </c>
      <c r="U19">
        <v>1</v>
      </c>
      <c r="V19">
        <f t="shared" si="0"/>
        <v>23969979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23969979</v>
      </c>
    </row>
    <row r="20" spans="1:38" x14ac:dyDescent="0.25">
      <c r="A20" t="s">
        <v>20</v>
      </c>
      <c r="B20">
        <v>5036</v>
      </c>
      <c r="C20" t="s">
        <v>21</v>
      </c>
      <c r="D20" t="s">
        <v>22</v>
      </c>
      <c r="E20" t="s">
        <v>86</v>
      </c>
      <c r="F20" t="s">
        <v>87</v>
      </c>
      <c r="G20">
        <v>2019</v>
      </c>
      <c r="H20">
        <v>5.53</v>
      </c>
      <c r="I20" t="s">
        <v>88</v>
      </c>
      <c r="J20">
        <v>4.53</v>
      </c>
      <c r="K20">
        <v>19</v>
      </c>
      <c r="L20" t="s">
        <v>65</v>
      </c>
      <c r="M20">
        <v>1905</v>
      </c>
      <c r="N20" t="s">
        <v>66</v>
      </c>
      <c r="P20">
        <v>1905020</v>
      </c>
      <c r="Q20" t="s">
        <v>89</v>
      </c>
      <c r="R20">
        <v>190502000</v>
      </c>
      <c r="S20" t="s">
        <v>90</v>
      </c>
      <c r="T20" t="s">
        <v>91</v>
      </c>
      <c r="U20">
        <v>1</v>
      </c>
      <c r="V20">
        <f t="shared" si="0"/>
        <v>23969979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23969979</v>
      </c>
    </row>
    <row r="21" spans="1:38" x14ac:dyDescent="0.25">
      <c r="A21" t="s">
        <v>20</v>
      </c>
      <c r="B21">
        <v>5036</v>
      </c>
      <c r="C21" t="s">
        <v>21</v>
      </c>
      <c r="D21" t="s">
        <v>22</v>
      </c>
      <c r="E21" t="s">
        <v>86</v>
      </c>
      <c r="F21" t="s">
        <v>87</v>
      </c>
      <c r="G21">
        <v>2019</v>
      </c>
      <c r="H21">
        <v>5.53</v>
      </c>
      <c r="I21" t="s">
        <v>88</v>
      </c>
      <c r="J21">
        <v>4.53</v>
      </c>
      <c r="K21">
        <v>19</v>
      </c>
      <c r="L21" t="s">
        <v>65</v>
      </c>
      <c r="M21">
        <v>1905</v>
      </c>
      <c r="N21" t="s">
        <v>66</v>
      </c>
      <c r="P21">
        <v>1905022</v>
      </c>
      <c r="Q21" t="s">
        <v>92</v>
      </c>
      <c r="R21">
        <v>190502200</v>
      </c>
      <c r="S21" t="s">
        <v>93</v>
      </c>
      <c r="T21" t="s">
        <v>28</v>
      </c>
      <c r="U21">
        <v>1</v>
      </c>
      <c r="V21">
        <f t="shared" si="0"/>
        <v>23969979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23969979</v>
      </c>
    </row>
    <row r="22" spans="1:38" x14ac:dyDescent="0.25">
      <c r="A22" t="s">
        <v>20</v>
      </c>
      <c r="B22">
        <v>5036</v>
      </c>
      <c r="C22" t="s">
        <v>21</v>
      </c>
      <c r="D22" t="s">
        <v>22</v>
      </c>
      <c r="E22" t="s">
        <v>94</v>
      </c>
      <c r="F22" t="s">
        <v>95</v>
      </c>
      <c r="G22">
        <v>2019</v>
      </c>
      <c r="H22">
        <v>24</v>
      </c>
      <c r="I22" t="s">
        <v>96</v>
      </c>
      <c r="J22">
        <v>24</v>
      </c>
      <c r="K22">
        <v>40</v>
      </c>
      <c r="L22" t="s">
        <v>97</v>
      </c>
      <c r="M22">
        <v>4003</v>
      </c>
      <c r="N22" t="s">
        <v>98</v>
      </c>
      <c r="P22">
        <v>4003047</v>
      </c>
      <c r="Q22" t="s">
        <v>99</v>
      </c>
      <c r="R22">
        <v>400304700</v>
      </c>
      <c r="S22" t="s">
        <v>100</v>
      </c>
      <c r="T22" t="s">
        <v>28</v>
      </c>
      <c r="U22">
        <v>1273</v>
      </c>
      <c r="V22">
        <f t="shared" si="0"/>
        <v>142473126</v>
      </c>
      <c r="W22" s="1">
        <v>0</v>
      </c>
      <c r="X22" s="1">
        <v>0</v>
      </c>
      <c r="Y22" s="1">
        <v>0</v>
      </c>
      <c r="Z22" s="1">
        <v>0</v>
      </c>
      <c r="AA22" s="1">
        <v>51475248</v>
      </c>
      <c r="AB22" s="1">
        <v>0</v>
      </c>
      <c r="AC22" s="1">
        <v>90997878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</row>
    <row r="23" spans="1:38" x14ac:dyDescent="0.25">
      <c r="A23" t="s">
        <v>20</v>
      </c>
      <c r="B23">
        <v>5036</v>
      </c>
      <c r="C23" t="s">
        <v>21</v>
      </c>
      <c r="D23" t="s">
        <v>22</v>
      </c>
      <c r="E23" t="s">
        <v>94</v>
      </c>
      <c r="F23" t="s">
        <v>95</v>
      </c>
      <c r="G23">
        <v>2019</v>
      </c>
      <c r="H23">
        <v>24</v>
      </c>
      <c r="I23" t="s">
        <v>96</v>
      </c>
      <c r="J23">
        <v>24</v>
      </c>
      <c r="K23">
        <v>40</v>
      </c>
      <c r="L23" t="s">
        <v>97</v>
      </c>
      <c r="M23">
        <v>4003</v>
      </c>
      <c r="N23" t="s">
        <v>98</v>
      </c>
      <c r="P23">
        <v>4003009</v>
      </c>
      <c r="Q23" t="s">
        <v>101</v>
      </c>
      <c r="R23">
        <v>400300900</v>
      </c>
      <c r="S23" t="s">
        <v>102</v>
      </c>
      <c r="T23" t="s">
        <v>28</v>
      </c>
      <c r="U23">
        <v>1339</v>
      </c>
      <c r="V23">
        <f t="shared" si="0"/>
        <v>142473126</v>
      </c>
      <c r="W23" s="1">
        <v>0</v>
      </c>
      <c r="X23" s="1">
        <v>0</v>
      </c>
      <c r="Y23" s="1">
        <v>0</v>
      </c>
      <c r="Z23" s="1">
        <v>0</v>
      </c>
      <c r="AA23" s="1">
        <v>51475248</v>
      </c>
      <c r="AB23" s="1">
        <v>0</v>
      </c>
      <c r="AC23" s="1">
        <v>90997878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</row>
    <row r="24" spans="1:38" x14ac:dyDescent="0.25">
      <c r="A24" t="s">
        <v>20</v>
      </c>
      <c r="B24">
        <v>5036</v>
      </c>
      <c r="C24" t="s">
        <v>21</v>
      </c>
      <c r="D24" t="s">
        <v>22</v>
      </c>
      <c r="E24" t="s">
        <v>94</v>
      </c>
      <c r="F24" t="s">
        <v>95</v>
      </c>
      <c r="G24">
        <v>2019</v>
      </c>
      <c r="H24">
        <v>24</v>
      </c>
      <c r="I24" t="s">
        <v>96</v>
      </c>
      <c r="J24">
        <v>24</v>
      </c>
      <c r="K24">
        <v>40</v>
      </c>
      <c r="L24" t="s">
        <v>97</v>
      </c>
      <c r="M24">
        <v>4003</v>
      </c>
      <c r="N24" t="s">
        <v>98</v>
      </c>
      <c r="P24">
        <v>4003017</v>
      </c>
      <c r="Q24" t="s">
        <v>103</v>
      </c>
      <c r="R24">
        <v>400301700</v>
      </c>
      <c r="S24" t="s">
        <v>103</v>
      </c>
      <c r="T24" t="s">
        <v>28</v>
      </c>
      <c r="U24">
        <v>1</v>
      </c>
      <c r="V24">
        <f t="shared" si="0"/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 x14ac:dyDescent="0.25">
      <c r="A25" t="s">
        <v>20</v>
      </c>
      <c r="B25">
        <v>5036</v>
      </c>
      <c r="C25" t="s">
        <v>21</v>
      </c>
      <c r="D25" t="s">
        <v>22</v>
      </c>
      <c r="E25" t="s">
        <v>104</v>
      </c>
      <c r="F25" t="s">
        <v>105</v>
      </c>
      <c r="G25">
        <v>2019</v>
      </c>
      <c r="H25">
        <v>80</v>
      </c>
      <c r="J25">
        <v>85</v>
      </c>
      <c r="K25">
        <v>40</v>
      </c>
      <c r="L25" t="s">
        <v>97</v>
      </c>
      <c r="M25">
        <v>4003</v>
      </c>
      <c r="N25" t="s">
        <v>98</v>
      </c>
      <c r="P25">
        <v>4003010</v>
      </c>
      <c r="Q25" t="s">
        <v>106</v>
      </c>
      <c r="R25">
        <v>400301000</v>
      </c>
      <c r="S25" t="s">
        <v>107</v>
      </c>
      <c r="T25" t="s">
        <v>28</v>
      </c>
      <c r="U25">
        <v>1339</v>
      </c>
      <c r="V25">
        <f t="shared" si="0"/>
        <v>142473126</v>
      </c>
      <c r="W25" s="1">
        <v>0</v>
      </c>
      <c r="X25" s="1">
        <v>0</v>
      </c>
      <c r="Y25" s="1">
        <v>0</v>
      </c>
      <c r="Z25" s="1">
        <v>0</v>
      </c>
      <c r="AA25" s="1">
        <v>51475248</v>
      </c>
      <c r="AB25" s="1">
        <v>0</v>
      </c>
      <c r="AC25" s="1">
        <v>90997878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 x14ac:dyDescent="0.25">
      <c r="A26" t="s">
        <v>20</v>
      </c>
      <c r="B26">
        <v>5036</v>
      </c>
      <c r="C26" t="s">
        <v>21</v>
      </c>
      <c r="D26" t="s">
        <v>22</v>
      </c>
      <c r="E26" t="s">
        <v>108</v>
      </c>
      <c r="F26" t="s">
        <v>109</v>
      </c>
      <c r="G26">
        <v>2019</v>
      </c>
      <c r="H26">
        <v>32.200000000000003</v>
      </c>
      <c r="I26" t="s">
        <v>25</v>
      </c>
      <c r="J26">
        <v>34.200000000000003</v>
      </c>
      <c r="K26">
        <v>33</v>
      </c>
      <c r="L26" t="s">
        <v>110</v>
      </c>
      <c r="M26">
        <v>3301</v>
      </c>
      <c r="N26" t="s">
        <v>111</v>
      </c>
      <c r="P26">
        <v>3301122</v>
      </c>
      <c r="Q26" t="s">
        <v>112</v>
      </c>
      <c r="R26">
        <v>330112200</v>
      </c>
      <c r="S26" t="s">
        <v>113</v>
      </c>
      <c r="T26" t="s">
        <v>28</v>
      </c>
      <c r="U26">
        <v>800</v>
      </c>
      <c r="V26">
        <f t="shared" si="0"/>
        <v>43736976</v>
      </c>
      <c r="W26" s="1">
        <v>0</v>
      </c>
      <c r="X26" s="1">
        <v>0</v>
      </c>
      <c r="Y26" s="1">
        <v>0</v>
      </c>
      <c r="Z26" s="1">
        <v>0</v>
      </c>
      <c r="AA26" s="1">
        <v>18063960</v>
      </c>
      <c r="AB26" s="1">
        <v>0</v>
      </c>
      <c r="AC26" s="1">
        <v>0</v>
      </c>
      <c r="AD26" s="1">
        <v>0</v>
      </c>
      <c r="AE26" s="1">
        <v>25673016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 x14ac:dyDescent="0.25">
      <c r="A27" t="s">
        <v>20</v>
      </c>
      <c r="B27">
        <v>5036</v>
      </c>
      <c r="C27" t="s">
        <v>21</v>
      </c>
      <c r="D27" t="s">
        <v>22</v>
      </c>
      <c r="E27" t="s">
        <v>108</v>
      </c>
      <c r="F27" t="s">
        <v>109</v>
      </c>
      <c r="G27">
        <v>2019</v>
      </c>
      <c r="H27">
        <v>32.200000000000003</v>
      </c>
      <c r="I27" t="s">
        <v>25</v>
      </c>
      <c r="J27">
        <v>34.200000000000003</v>
      </c>
      <c r="K27">
        <v>33</v>
      </c>
      <c r="L27" t="s">
        <v>110</v>
      </c>
      <c r="M27">
        <v>3301</v>
      </c>
      <c r="N27" t="s">
        <v>111</v>
      </c>
      <c r="P27">
        <v>3301053</v>
      </c>
      <c r="Q27" t="s">
        <v>114</v>
      </c>
      <c r="R27">
        <v>330105300</v>
      </c>
      <c r="S27" t="s">
        <v>115</v>
      </c>
      <c r="T27" t="s">
        <v>28</v>
      </c>
      <c r="U27">
        <v>20</v>
      </c>
      <c r="V27">
        <f t="shared" ref="V27:V44" si="1">+W27+X27+Y27+Z27+AA27+AB27+AC27+AD27+AE27+AF27+AG27+AH27+AI27+AJ27+AK27+AL27</f>
        <v>43736976</v>
      </c>
      <c r="W27" s="1">
        <v>0</v>
      </c>
      <c r="X27" s="1">
        <v>0</v>
      </c>
      <c r="Y27" s="1">
        <v>0</v>
      </c>
      <c r="Z27" s="1">
        <v>0</v>
      </c>
      <c r="AA27" s="1">
        <v>18063960</v>
      </c>
      <c r="AB27" s="1">
        <v>0</v>
      </c>
      <c r="AC27" s="1">
        <v>0</v>
      </c>
      <c r="AD27" s="1">
        <v>0</v>
      </c>
      <c r="AE27" s="1">
        <v>25673016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 x14ac:dyDescent="0.25">
      <c r="A28" t="s">
        <v>20</v>
      </c>
      <c r="B28">
        <v>5036</v>
      </c>
      <c r="C28" t="s">
        <v>21</v>
      </c>
      <c r="D28" t="s">
        <v>22</v>
      </c>
      <c r="E28" t="s">
        <v>108</v>
      </c>
      <c r="F28" t="s">
        <v>109</v>
      </c>
      <c r="G28">
        <v>2019</v>
      </c>
      <c r="H28">
        <v>32.200000000000003</v>
      </c>
      <c r="I28" t="s">
        <v>25</v>
      </c>
      <c r="J28">
        <v>34.200000000000003</v>
      </c>
      <c r="K28">
        <v>33</v>
      </c>
      <c r="L28" t="s">
        <v>110</v>
      </c>
      <c r="M28">
        <v>3301</v>
      </c>
      <c r="N28" t="s">
        <v>111</v>
      </c>
      <c r="P28">
        <v>3301068</v>
      </c>
      <c r="Q28" t="s">
        <v>116</v>
      </c>
      <c r="R28">
        <v>330106800</v>
      </c>
      <c r="S28" t="s">
        <v>117</v>
      </c>
      <c r="T28" t="s">
        <v>28</v>
      </c>
      <c r="U28">
        <v>1</v>
      </c>
      <c r="V28">
        <f t="shared" si="1"/>
        <v>43736976</v>
      </c>
      <c r="W28" s="1">
        <v>0</v>
      </c>
      <c r="X28" s="1">
        <v>0</v>
      </c>
      <c r="Y28" s="1">
        <v>0</v>
      </c>
      <c r="Z28" s="1">
        <v>0</v>
      </c>
      <c r="AA28" s="1">
        <v>18063960</v>
      </c>
      <c r="AB28" s="1">
        <v>0</v>
      </c>
      <c r="AC28" s="1">
        <v>0</v>
      </c>
      <c r="AD28" s="1">
        <v>0</v>
      </c>
      <c r="AE28" s="1">
        <v>25673016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 x14ac:dyDescent="0.25">
      <c r="A29" t="s">
        <v>20</v>
      </c>
      <c r="B29">
        <v>5036</v>
      </c>
      <c r="C29" t="s">
        <v>21</v>
      </c>
      <c r="D29" t="s">
        <v>22</v>
      </c>
      <c r="E29" t="s">
        <v>108</v>
      </c>
      <c r="F29" t="s">
        <v>109</v>
      </c>
      <c r="G29">
        <v>2019</v>
      </c>
      <c r="H29">
        <v>32.200000000000003</v>
      </c>
      <c r="I29" t="s">
        <v>25</v>
      </c>
      <c r="J29">
        <v>34.200000000000003</v>
      </c>
      <c r="K29">
        <v>33</v>
      </c>
      <c r="L29" t="s">
        <v>110</v>
      </c>
      <c r="M29">
        <v>3301</v>
      </c>
      <c r="N29" t="s">
        <v>111</v>
      </c>
      <c r="P29">
        <v>3301096</v>
      </c>
      <c r="Q29" t="s">
        <v>118</v>
      </c>
      <c r="R29">
        <v>330109600</v>
      </c>
      <c r="S29" t="s">
        <v>118</v>
      </c>
      <c r="T29" t="s">
        <v>28</v>
      </c>
      <c r="U29">
        <v>1</v>
      </c>
      <c r="V29">
        <f t="shared" si="1"/>
        <v>43736976</v>
      </c>
      <c r="W29" s="1">
        <v>0</v>
      </c>
      <c r="X29" s="1">
        <v>0</v>
      </c>
      <c r="Y29" s="1">
        <v>0</v>
      </c>
      <c r="Z29" s="1">
        <v>0</v>
      </c>
      <c r="AA29" s="1">
        <v>18063960</v>
      </c>
      <c r="AB29" s="1">
        <v>0</v>
      </c>
      <c r="AC29" s="1">
        <v>0</v>
      </c>
      <c r="AD29" s="1">
        <v>0</v>
      </c>
      <c r="AE29" s="1">
        <v>25673016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 x14ac:dyDescent="0.25">
      <c r="A30" t="s">
        <v>20</v>
      </c>
      <c r="B30">
        <v>5036</v>
      </c>
      <c r="C30" t="s">
        <v>21</v>
      </c>
      <c r="D30" t="s">
        <v>22</v>
      </c>
      <c r="E30" t="s">
        <v>119</v>
      </c>
      <c r="F30" t="s">
        <v>120</v>
      </c>
      <c r="G30">
        <v>2019</v>
      </c>
      <c r="H30">
        <v>3.32</v>
      </c>
      <c r="I30" t="s">
        <v>28</v>
      </c>
      <c r="J30">
        <v>4.32</v>
      </c>
      <c r="K30">
        <v>33</v>
      </c>
      <c r="L30" t="s">
        <v>110</v>
      </c>
      <c r="M30">
        <v>3301</v>
      </c>
      <c r="N30" t="s">
        <v>111</v>
      </c>
      <c r="P30">
        <v>3301098</v>
      </c>
      <c r="Q30" t="s">
        <v>121</v>
      </c>
      <c r="R30">
        <v>330109800</v>
      </c>
      <c r="S30" t="s">
        <v>122</v>
      </c>
      <c r="T30" t="s">
        <v>28</v>
      </c>
      <c r="U30">
        <v>80</v>
      </c>
      <c r="V30">
        <f t="shared" si="1"/>
        <v>43736976</v>
      </c>
      <c r="W30" s="1">
        <v>0</v>
      </c>
      <c r="X30" s="1">
        <v>0</v>
      </c>
      <c r="Y30" s="1">
        <v>0</v>
      </c>
      <c r="Z30" s="1">
        <v>0</v>
      </c>
      <c r="AA30" s="1">
        <v>18063960</v>
      </c>
      <c r="AB30" s="1">
        <v>0</v>
      </c>
      <c r="AC30" s="1">
        <v>0</v>
      </c>
      <c r="AD30" s="1">
        <v>0</v>
      </c>
      <c r="AE30" s="1">
        <v>25673016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25">
      <c r="A31" t="s">
        <v>20</v>
      </c>
      <c r="B31">
        <v>5036</v>
      </c>
      <c r="C31" t="s">
        <v>21</v>
      </c>
      <c r="D31" t="s">
        <v>22</v>
      </c>
      <c r="E31" t="s">
        <v>123</v>
      </c>
      <c r="F31" t="s">
        <v>124</v>
      </c>
      <c r="G31">
        <v>2019</v>
      </c>
      <c r="H31">
        <v>1</v>
      </c>
      <c r="J31">
        <v>1</v>
      </c>
      <c r="K31">
        <v>43</v>
      </c>
      <c r="L31" t="s">
        <v>125</v>
      </c>
      <c r="M31">
        <v>4301</v>
      </c>
      <c r="N31" t="s">
        <v>126</v>
      </c>
      <c r="P31">
        <v>4301001</v>
      </c>
      <c r="Q31" t="s">
        <v>127</v>
      </c>
      <c r="R31">
        <v>430100100</v>
      </c>
      <c r="S31" t="s">
        <v>113</v>
      </c>
      <c r="T31" t="s">
        <v>28</v>
      </c>
      <c r="U31">
        <v>950</v>
      </c>
      <c r="V31">
        <f t="shared" si="1"/>
        <v>58131669</v>
      </c>
      <c r="W31" s="1">
        <v>0</v>
      </c>
      <c r="X31" s="1">
        <v>0</v>
      </c>
      <c r="Y31" s="1">
        <v>0</v>
      </c>
      <c r="Z31" s="1">
        <v>0</v>
      </c>
      <c r="AA31" s="1">
        <v>26250000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31881669</v>
      </c>
      <c r="AJ31" s="1">
        <v>0</v>
      </c>
      <c r="AK31" s="1">
        <v>0</v>
      </c>
      <c r="AL31" s="1">
        <v>0</v>
      </c>
    </row>
    <row r="32" spans="1:38" x14ac:dyDescent="0.25">
      <c r="A32" t="s">
        <v>20</v>
      </c>
      <c r="B32">
        <v>5036</v>
      </c>
      <c r="C32" t="s">
        <v>21</v>
      </c>
      <c r="D32" t="s">
        <v>22</v>
      </c>
      <c r="E32" t="s">
        <v>123</v>
      </c>
      <c r="F32" t="s">
        <v>124</v>
      </c>
      <c r="G32">
        <v>2019</v>
      </c>
      <c r="H32">
        <v>1</v>
      </c>
      <c r="J32">
        <v>1</v>
      </c>
      <c r="K32">
        <v>43</v>
      </c>
      <c r="L32" t="s">
        <v>125</v>
      </c>
      <c r="M32">
        <v>4301</v>
      </c>
      <c r="N32" t="s">
        <v>126</v>
      </c>
      <c r="P32">
        <v>4301004</v>
      </c>
      <c r="Q32" t="s">
        <v>128</v>
      </c>
      <c r="R32">
        <v>430100400</v>
      </c>
      <c r="S32" t="s">
        <v>129</v>
      </c>
      <c r="T32" t="s">
        <v>28</v>
      </c>
      <c r="U32">
        <v>1</v>
      </c>
      <c r="V32">
        <f t="shared" si="1"/>
        <v>58131669</v>
      </c>
      <c r="W32" s="1">
        <v>0</v>
      </c>
      <c r="X32" s="1">
        <v>0</v>
      </c>
      <c r="Y32" s="1">
        <v>0</v>
      </c>
      <c r="Z32" s="1">
        <v>0</v>
      </c>
      <c r="AA32" s="1">
        <v>26250000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31881669</v>
      </c>
      <c r="AJ32" s="1">
        <v>0</v>
      </c>
      <c r="AK32" s="1">
        <v>0</v>
      </c>
      <c r="AL32" s="1">
        <v>0</v>
      </c>
    </row>
    <row r="33" spans="1:38" x14ac:dyDescent="0.25">
      <c r="A33" t="s">
        <v>20</v>
      </c>
      <c r="B33">
        <v>5036</v>
      </c>
      <c r="C33" t="s">
        <v>21</v>
      </c>
      <c r="D33" t="s">
        <v>22</v>
      </c>
      <c r="E33" t="s">
        <v>123</v>
      </c>
      <c r="F33" t="s">
        <v>124</v>
      </c>
      <c r="G33">
        <v>2019</v>
      </c>
      <c r="H33">
        <v>1</v>
      </c>
      <c r="J33">
        <v>1</v>
      </c>
      <c r="K33">
        <v>43</v>
      </c>
      <c r="L33" t="s">
        <v>125</v>
      </c>
      <c r="M33">
        <v>4301</v>
      </c>
      <c r="N33" t="s">
        <v>126</v>
      </c>
      <c r="P33">
        <v>4301032</v>
      </c>
      <c r="Q33" t="s">
        <v>130</v>
      </c>
      <c r="R33">
        <v>430103200</v>
      </c>
      <c r="S33" t="s">
        <v>131</v>
      </c>
      <c r="T33" t="s">
        <v>28</v>
      </c>
      <c r="U33">
        <v>6</v>
      </c>
      <c r="V33">
        <f t="shared" si="1"/>
        <v>58131669</v>
      </c>
      <c r="W33" s="1">
        <v>0</v>
      </c>
      <c r="X33" s="1">
        <v>0</v>
      </c>
      <c r="Y33" s="1">
        <v>0</v>
      </c>
      <c r="Z33" s="1">
        <v>0</v>
      </c>
      <c r="AA33" s="1">
        <v>26250000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31881669</v>
      </c>
      <c r="AJ33" s="1">
        <v>0</v>
      </c>
      <c r="AK33" s="1">
        <v>0</v>
      </c>
      <c r="AL33" s="1">
        <v>0</v>
      </c>
    </row>
    <row r="34" spans="1:38" x14ac:dyDescent="0.25">
      <c r="A34" t="s">
        <v>20</v>
      </c>
      <c r="B34">
        <v>5036</v>
      </c>
      <c r="C34" t="s">
        <v>21</v>
      </c>
      <c r="D34" t="s">
        <v>22</v>
      </c>
      <c r="E34" t="s">
        <v>132</v>
      </c>
      <c r="F34" t="s">
        <v>133</v>
      </c>
      <c r="G34">
        <v>2019</v>
      </c>
      <c r="H34">
        <v>28</v>
      </c>
      <c r="I34" t="s">
        <v>25</v>
      </c>
      <c r="J34">
        <v>35</v>
      </c>
      <c r="K34">
        <v>43</v>
      </c>
      <c r="L34" t="s">
        <v>125</v>
      </c>
      <c r="M34">
        <v>4301</v>
      </c>
      <c r="N34" t="s">
        <v>126</v>
      </c>
      <c r="P34">
        <v>4301007</v>
      </c>
      <c r="Q34" t="s">
        <v>134</v>
      </c>
      <c r="R34">
        <v>430100700</v>
      </c>
      <c r="S34" t="s">
        <v>135</v>
      </c>
      <c r="T34" t="s">
        <v>28</v>
      </c>
      <c r="U34">
        <v>100</v>
      </c>
      <c r="V34">
        <f t="shared" si="1"/>
        <v>58131669</v>
      </c>
      <c r="W34" s="1">
        <v>0</v>
      </c>
      <c r="X34" s="1">
        <v>0</v>
      </c>
      <c r="Y34" s="1">
        <v>0</v>
      </c>
      <c r="Z34" s="1">
        <v>0</v>
      </c>
      <c r="AA34" s="1">
        <v>26250000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31881669</v>
      </c>
      <c r="AJ34" s="1">
        <v>0</v>
      </c>
      <c r="AK34" s="1">
        <v>0</v>
      </c>
      <c r="AL34" s="1">
        <v>0</v>
      </c>
    </row>
    <row r="35" spans="1:38" x14ac:dyDescent="0.25">
      <c r="A35" t="s">
        <v>20</v>
      </c>
      <c r="B35">
        <v>5036</v>
      </c>
      <c r="C35" t="s">
        <v>21</v>
      </c>
      <c r="D35" t="s">
        <v>22</v>
      </c>
      <c r="E35" t="s">
        <v>136</v>
      </c>
      <c r="F35" t="s">
        <v>137</v>
      </c>
      <c r="G35">
        <v>2019</v>
      </c>
      <c r="H35">
        <v>0</v>
      </c>
      <c r="I35" t="s">
        <v>28</v>
      </c>
      <c r="J35">
        <v>1</v>
      </c>
      <c r="K35">
        <v>43</v>
      </c>
      <c r="L35" t="s">
        <v>125</v>
      </c>
      <c r="M35">
        <v>4302</v>
      </c>
      <c r="N35" t="s">
        <v>138</v>
      </c>
      <c r="P35">
        <v>4302058</v>
      </c>
      <c r="Q35" t="s">
        <v>139</v>
      </c>
      <c r="R35">
        <v>430205800</v>
      </c>
      <c r="S35" t="s">
        <v>139</v>
      </c>
      <c r="T35" t="s">
        <v>28</v>
      </c>
      <c r="U35">
        <v>1</v>
      </c>
      <c r="V35">
        <f t="shared" si="1"/>
        <v>58131669</v>
      </c>
      <c r="W35" s="1">
        <v>0</v>
      </c>
      <c r="X35" s="1">
        <v>0</v>
      </c>
      <c r="Y35" s="1">
        <v>0</v>
      </c>
      <c r="Z35" s="1">
        <v>0</v>
      </c>
      <c r="AA35" s="1">
        <v>26250000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31881669</v>
      </c>
      <c r="AJ35" s="1">
        <v>0</v>
      </c>
      <c r="AK35" s="1">
        <v>0</v>
      </c>
      <c r="AL35" s="1">
        <v>0</v>
      </c>
    </row>
    <row r="36" spans="1:38" x14ac:dyDescent="0.25">
      <c r="A36" t="s">
        <v>20</v>
      </c>
      <c r="B36">
        <v>5036</v>
      </c>
      <c r="C36" t="s">
        <v>21</v>
      </c>
      <c r="D36" t="s">
        <v>22</v>
      </c>
      <c r="E36" t="s">
        <v>142</v>
      </c>
      <c r="F36" t="s">
        <v>143</v>
      </c>
      <c r="G36">
        <v>2019</v>
      </c>
      <c r="H36">
        <v>0</v>
      </c>
      <c r="I36" t="s">
        <v>28</v>
      </c>
      <c r="J36">
        <v>1</v>
      </c>
      <c r="K36">
        <v>41</v>
      </c>
      <c r="L36" t="s">
        <v>140</v>
      </c>
      <c r="M36">
        <v>4101</v>
      </c>
      <c r="N36" t="s">
        <v>141</v>
      </c>
      <c r="P36">
        <v>4101025</v>
      </c>
      <c r="Q36" t="s">
        <v>144</v>
      </c>
      <c r="R36">
        <v>410102500</v>
      </c>
      <c r="S36" t="s">
        <v>145</v>
      </c>
      <c r="T36" t="s">
        <v>28</v>
      </c>
      <c r="U36">
        <v>500</v>
      </c>
      <c r="V36">
        <f t="shared" si="1"/>
        <v>14916666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14916666</v>
      </c>
      <c r="AJ36" s="1">
        <v>0</v>
      </c>
      <c r="AK36" s="1">
        <v>0</v>
      </c>
      <c r="AL36" s="1">
        <v>0</v>
      </c>
    </row>
    <row r="37" spans="1:38" x14ac:dyDescent="0.25">
      <c r="A37" t="s">
        <v>20</v>
      </c>
      <c r="B37">
        <v>5036</v>
      </c>
      <c r="C37" t="s">
        <v>21</v>
      </c>
      <c r="D37" t="s">
        <v>22</v>
      </c>
      <c r="E37" t="s">
        <v>146</v>
      </c>
      <c r="F37" t="s">
        <v>147</v>
      </c>
      <c r="G37">
        <v>2019</v>
      </c>
      <c r="H37">
        <v>0</v>
      </c>
      <c r="I37" t="s">
        <v>28</v>
      </c>
      <c r="J37">
        <v>3</v>
      </c>
      <c r="K37">
        <v>41</v>
      </c>
      <c r="L37" t="s">
        <v>140</v>
      </c>
      <c r="M37">
        <v>4101</v>
      </c>
      <c r="N37" t="s">
        <v>141</v>
      </c>
      <c r="P37">
        <v>4101031</v>
      </c>
      <c r="Q37" t="s">
        <v>148</v>
      </c>
      <c r="R37">
        <v>410103100</v>
      </c>
      <c r="S37" t="s">
        <v>149</v>
      </c>
      <c r="T37" t="s">
        <v>28</v>
      </c>
      <c r="U37">
        <v>500</v>
      </c>
      <c r="V37">
        <f t="shared" si="1"/>
        <v>14916666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14916666</v>
      </c>
      <c r="AJ37" s="1">
        <v>0</v>
      </c>
      <c r="AK37" s="1">
        <v>0</v>
      </c>
      <c r="AL37" s="1">
        <v>0</v>
      </c>
    </row>
    <row r="38" spans="1:38" x14ac:dyDescent="0.25">
      <c r="A38" t="s">
        <v>20</v>
      </c>
      <c r="B38">
        <v>5036</v>
      </c>
      <c r="C38" t="s">
        <v>21</v>
      </c>
      <c r="D38" t="s">
        <v>22</v>
      </c>
      <c r="E38" t="s">
        <v>150</v>
      </c>
      <c r="F38" t="s">
        <v>151</v>
      </c>
      <c r="G38">
        <v>2019</v>
      </c>
      <c r="H38">
        <v>3.6</v>
      </c>
      <c r="I38" t="s">
        <v>28</v>
      </c>
      <c r="J38">
        <v>2.6</v>
      </c>
      <c r="K38">
        <v>41</v>
      </c>
      <c r="L38" t="s">
        <v>140</v>
      </c>
      <c r="M38">
        <v>4102</v>
      </c>
      <c r="N38" t="s">
        <v>152</v>
      </c>
      <c r="P38">
        <v>4102001</v>
      </c>
      <c r="Q38" t="s">
        <v>153</v>
      </c>
      <c r="R38">
        <v>410200100</v>
      </c>
      <c r="S38" t="s">
        <v>154</v>
      </c>
      <c r="T38" t="s">
        <v>28</v>
      </c>
      <c r="U38">
        <v>60</v>
      </c>
      <c r="V38">
        <f t="shared" si="1"/>
        <v>11827776</v>
      </c>
      <c r="W38" s="1">
        <v>0</v>
      </c>
      <c r="X38" s="1">
        <v>0</v>
      </c>
      <c r="Y38" s="1">
        <v>0</v>
      </c>
      <c r="Z38" s="1">
        <v>0</v>
      </c>
      <c r="AA38" s="1">
        <v>5913888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5913888</v>
      </c>
      <c r="AJ38" s="1">
        <v>0</v>
      </c>
      <c r="AK38" s="1">
        <v>0</v>
      </c>
      <c r="AL38" s="1">
        <v>0</v>
      </c>
    </row>
    <row r="39" spans="1:38" x14ac:dyDescent="0.25">
      <c r="A39" t="s">
        <v>20</v>
      </c>
      <c r="B39">
        <v>5036</v>
      </c>
      <c r="C39" t="s">
        <v>21</v>
      </c>
      <c r="D39" t="s">
        <v>22</v>
      </c>
      <c r="E39" t="s">
        <v>156</v>
      </c>
      <c r="F39" t="s">
        <v>157</v>
      </c>
      <c r="G39">
        <v>2019</v>
      </c>
      <c r="H39">
        <v>19.600000000000001</v>
      </c>
      <c r="I39" t="s">
        <v>25</v>
      </c>
      <c r="J39">
        <v>19.399999999999999</v>
      </c>
      <c r="K39">
        <v>41</v>
      </c>
      <c r="L39" t="s">
        <v>140</v>
      </c>
      <c r="M39">
        <v>4104</v>
      </c>
      <c r="N39" t="s">
        <v>158</v>
      </c>
      <c r="P39">
        <v>4104014</v>
      </c>
      <c r="Q39" t="s">
        <v>248</v>
      </c>
      <c r="R39">
        <v>410401400</v>
      </c>
      <c r="S39" t="s">
        <v>250</v>
      </c>
      <c r="T39" t="s">
        <v>28</v>
      </c>
      <c r="U39" s="2">
        <v>1</v>
      </c>
      <c r="V39">
        <f t="shared" si="1"/>
        <v>93000000</v>
      </c>
      <c r="W39" s="1">
        <v>0</v>
      </c>
      <c r="X39" s="1">
        <v>0</v>
      </c>
      <c r="Y39" s="1">
        <v>0</v>
      </c>
      <c r="Z39" s="1">
        <v>0</v>
      </c>
      <c r="AA39" s="1">
        <v>90000000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3000000</v>
      </c>
      <c r="AJ39" s="1">
        <v>0</v>
      </c>
      <c r="AK39" s="1">
        <v>0</v>
      </c>
      <c r="AL39" s="1">
        <v>0</v>
      </c>
    </row>
    <row r="40" spans="1:38" x14ac:dyDescent="0.25">
      <c r="A40" t="s">
        <v>20</v>
      </c>
      <c r="B40">
        <v>5036</v>
      </c>
      <c r="C40" t="s">
        <v>21</v>
      </c>
      <c r="D40" t="s">
        <v>22</v>
      </c>
      <c r="E40" t="s">
        <v>156</v>
      </c>
      <c r="F40" t="s">
        <v>157</v>
      </c>
      <c r="G40">
        <v>2019</v>
      </c>
      <c r="H40">
        <v>19.600000000000001</v>
      </c>
      <c r="I40" t="s">
        <v>25</v>
      </c>
      <c r="J40">
        <v>19.399999999999999</v>
      </c>
      <c r="K40">
        <v>41</v>
      </c>
      <c r="L40" t="s">
        <v>140</v>
      </c>
      <c r="M40">
        <v>4104</v>
      </c>
      <c r="N40" t="s">
        <v>158</v>
      </c>
      <c r="P40">
        <v>4104015</v>
      </c>
      <c r="Q40" t="s">
        <v>249</v>
      </c>
      <c r="R40">
        <v>410401500</v>
      </c>
      <c r="S40" t="s">
        <v>251</v>
      </c>
      <c r="T40" t="s">
        <v>28</v>
      </c>
      <c r="U40" s="2">
        <v>550</v>
      </c>
      <c r="V40">
        <f t="shared" si="1"/>
        <v>93000000</v>
      </c>
      <c r="W40" s="1">
        <v>0</v>
      </c>
      <c r="X40" s="1">
        <v>0</v>
      </c>
      <c r="Y40" s="1">
        <v>0</v>
      </c>
      <c r="Z40" s="1">
        <v>0</v>
      </c>
      <c r="AA40" s="1">
        <v>90000000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3000000</v>
      </c>
      <c r="AJ40" s="1">
        <v>0</v>
      </c>
      <c r="AK40" s="1">
        <v>0</v>
      </c>
      <c r="AL40" s="1">
        <v>0</v>
      </c>
    </row>
    <row r="41" spans="1:38" x14ac:dyDescent="0.25">
      <c r="A41" t="s">
        <v>20</v>
      </c>
      <c r="B41">
        <v>5036</v>
      </c>
      <c r="C41" t="s">
        <v>21</v>
      </c>
      <c r="D41" t="s">
        <v>22</v>
      </c>
      <c r="E41" t="s">
        <v>159</v>
      </c>
      <c r="F41" t="s">
        <v>160</v>
      </c>
      <c r="G41">
        <v>2018</v>
      </c>
      <c r="H41">
        <v>47.7</v>
      </c>
      <c r="I41" t="s">
        <v>25</v>
      </c>
      <c r="J41">
        <v>45.7</v>
      </c>
      <c r="K41">
        <v>40</v>
      </c>
      <c r="L41" t="s">
        <v>97</v>
      </c>
      <c r="M41">
        <v>4001</v>
      </c>
      <c r="N41" t="s">
        <v>161</v>
      </c>
      <c r="P41">
        <v>4001044</v>
      </c>
      <c r="Q41" t="s">
        <v>162</v>
      </c>
      <c r="R41">
        <v>400104400</v>
      </c>
      <c r="S41" t="s">
        <v>162</v>
      </c>
      <c r="T41" t="s">
        <v>28</v>
      </c>
      <c r="U41">
        <v>20</v>
      </c>
      <c r="V41">
        <f t="shared" si="1"/>
        <v>70714284</v>
      </c>
      <c r="W41" s="1">
        <v>0</v>
      </c>
      <c r="X41" s="1">
        <v>0</v>
      </c>
      <c r="Y41" s="1">
        <v>0</v>
      </c>
      <c r="Z41" s="1">
        <v>0</v>
      </c>
      <c r="AA41" s="1">
        <v>27857142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42857142</v>
      </c>
      <c r="AJ41" s="1">
        <v>0</v>
      </c>
      <c r="AK41" s="1">
        <v>0</v>
      </c>
      <c r="AL41" s="1">
        <v>0</v>
      </c>
    </row>
    <row r="42" spans="1:38" x14ac:dyDescent="0.25">
      <c r="A42" t="s">
        <v>20</v>
      </c>
      <c r="B42">
        <v>5036</v>
      </c>
      <c r="C42" t="s">
        <v>21</v>
      </c>
      <c r="D42" t="s">
        <v>22</v>
      </c>
      <c r="E42" t="s">
        <v>166</v>
      </c>
      <c r="F42" t="s">
        <v>167</v>
      </c>
      <c r="G42">
        <v>2019</v>
      </c>
      <c r="H42">
        <v>0</v>
      </c>
      <c r="J42">
        <v>40</v>
      </c>
      <c r="K42">
        <v>21</v>
      </c>
      <c r="L42" t="s">
        <v>163</v>
      </c>
      <c r="M42">
        <v>2102</v>
      </c>
      <c r="N42" t="s">
        <v>165</v>
      </c>
      <c r="P42">
        <v>2102011</v>
      </c>
      <c r="Q42" t="s">
        <v>168</v>
      </c>
      <c r="R42">
        <v>210201100</v>
      </c>
      <c r="S42" t="s">
        <v>168</v>
      </c>
      <c r="T42" t="s">
        <v>169</v>
      </c>
      <c r="U42">
        <v>150</v>
      </c>
      <c r="V42">
        <f t="shared" si="1"/>
        <v>14239434</v>
      </c>
      <c r="W42" s="1">
        <v>0</v>
      </c>
      <c r="X42" s="1">
        <v>0</v>
      </c>
      <c r="Y42" s="1">
        <v>0</v>
      </c>
      <c r="Z42" s="1">
        <v>0</v>
      </c>
      <c r="AA42" s="1">
        <v>7119717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7119717</v>
      </c>
      <c r="AJ42" s="1">
        <v>0</v>
      </c>
      <c r="AK42" s="1">
        <v>0</v>
      </c>
      <c r="AL42" s="1">
        <v>0</v>
      </c>
    </row>
    <row r="43" spans="1:38" x14ac:dyDescent="0.25">
      <c r="A43" t="s">
        <v>20</v>
      </c>
      <c r="B43">
        <v>5036</v>
      </c>
      <c r="C43" t="s">
        <v>21</v>
      </c>
      <c r="D43" t="s">
        <v>22</v>
      </c>
      <c r="E43" t="s">
        <v>170</v>
      </c>
      <c r="F43" t="s">
        <v>171</v>
      </c>
      <c r="G43">
        <v>2019</v>
      </c>
      <c r="H43">
        <v>397</v>
      </c>
      <c r="I43" t="s">
        <v>28</v>
      </c>
      <c r="J43">
        <v>200</v>
      </c>
      <c r="K43">
        <v>41</v>
      </c>
      <c r="L43" t="s">
        <v>140</v>
      </c>
      <c r="M43">
        <v>4102</v>
      </c>
      <c r="N43" t="s">
        <v>152</v>
      </c>
      <c r="P43">
        <v>4102037</v>
      </c>
      <c r="Q43" t="s">
        <v>174</v>
      </c>
      <c r="R43">
        <v>410203700</v>
      </c>
      <c r="S43" t="s">
        <v>175</v>
      </c>
      <c r="T43" t="s">
        <v>28</v>
      </c>
      <c r="U43">
        <v>25</v>
      </c>
      <c r="V43">
        <f t="shared" si="1"/>
        <v>11827776</v>
      </c>
      <c r="W43" s="1">
        <v>0</v>
      </c>
      <c r="X43" s="1">
        <v>0</v>
      </c>
      <c r="Y43" s="1">
        <v>0</v>
      </c>
      <c r="Z43" s="1">
        <v>0</v>
      </c>
      <c r="AA43" s="1">
        <v>5913888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5913888</v>
      </c>
      <c r="AJ43" s="1">
        <v>0</v>
      </c>
      <c r="AK43" s="1">
        <v>0</v>
      </c>
      <c r="AL43" s="1">
        <v>0</v>
      </c>
    </row>
    <row r="44" spans="1:38" x14ac:dyDescent="0.25">
      <c r="A44" t="s">
        <v>20</v>
      </c>
      <c r="B44">
        <v>5036</v>
      </c>
      <c r="C44" t="s">
        <v>21</v>
      </c>
      <c r="D44" t="s">
        <v>176</v>
      </c>
      <c r="E44" t="s">
        <v>177</v>
      </c>
      <c r="F44" t="s">
        <v>178</v>
      </c>
      <c r="G44">
        <v>2019</v>
      </c>
      <c r="H44">
        <v>15</v>
      </c>
      <c r="J44">
        <v>17</v>
      </c>
      <c r="K44">
        <v>17</v>
      </c>
      <c r="L44" t="s">
        <v>179</v>
      </c>
      <c r="M44">
        <v>1702</v>
      </c>
      <c r="N44" t="s">
        <v>180</v>
      </c>
      <c r="P44">
        <v>1702010</v>
      </c>
      <c r="Q44" t="s">
        <v>181</v>
      </c>
      <c r="R44">
        <v>170201000</v>
      </c>
      <c r="S44" t="s">
        <v>182</v>
      </c>
      <c r="T44" t="s">
        <v>28</v>
      </c>
      <c r="U44">
        <v>400</v>
      </c>
      <c r="V44">
        <f t="shared" si="1"/>
        <v>33589452</v>
      </c>
      <c r="W44" s="1">
        <v>0</v>
      </c>
      <c r="X44" s="1">
        <v>0</v>
      </c>
      <c r="Y44" s="1">
        <v>0</v>
      </c>
      <c r="Z44" s="1">
        <v>0</v>
      </c>
      <c r="AA44" s="1">
        <v>7119717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26469735</v>
      </c>
      <c r="AJ44" s="1">
        <v>0</v>
      </c>
      <c r="AK44" s="1">
        <v>0</v>
      </c>
      <c r="AL44" s="1">
        <v>0</v>
      </c>
    </row>
    <row r="45" spans="1:38" x14ac:dyDescent="0.25">
      <c r="A45" t="s">
        <v>20</v>
      </c>
      <c r="B45">
        <v>5036</v>
      </c>
      <c r="C45" t="s">
        <v>21</v>
      </c>
      <c r="D45" t="s">
        <v>176</v>
      </c>
      <c r="E45" t="s">
        <v>177</v>
      </c>
      <c r="F45" t="s">
        <v>178</v>
      </c>
      <c r="G45">
        <v>2019</v>
      </c>
      <c r="H45">
        <v>15</v>
      </c>
      <c r="J45">
        <v>17</v>
      </c>
      <c r="K45">
        <v>17</v>
      </c>
      <c r="L45" t="s">
        <v>179</v>
      </c>
      <c r="M45">
        <v>1707</v>
      </c>
      <c r="N45" t="s">
        <v>183</v>
      </c>
      <c r="P45">
        <v>1707042</v>
      </c>
      <c r="Q45" t="s">
        <v>184</v>
      </c>
      <c r="R45">
        <v>170704200</v>
      </c>
      <c r="S45" t="s">
        <v>185</v>
      </c>
      <c r="T45" t="s">
        <v>28</v>
      </c>
      <c r="U45">
        <v>3000</v>
      </c>
      <c r="V45">
        <f t="shared" ref="V45:V56" si="2">+W45+X45+Y45+Z45+AA45+AB45+AC45+AD45+AE45+AF45+AG45+AH45+AI45+AJ45+AK45+AL45</f>
        <v>26469735</v>
      </c>
      <c r="W45" s="1">
        <v>0</v>
      </c>
      <c r="X45" s="1">
        <v>0</v>
      </c>
      <c r="Y45" s="1">
        <v>0</v>
      </c>
      <c r="Z45" s="1">
        <v>0</v>
      </c>
      <c r="AA45" s="1">
        <v>26469735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 x14ac:dyDescent="0.25">
      <c r="A46" t="s">
        <v>20</v>
      </c>
      <c r="B46">
        <v>5036</v>
      </c>
      <c r="C46" t="s">
        <v>21</v>
      </c>
      <c r="D46" t="s">
        <v>176</v>
      </c>
      <c r="E46" t="s">
        <v>177</v>
      </c>
      <c r="F46" t="s">
        <v>178</v>
      </c>
      <c r="G46">
        <v>2019</v>
      </c>
      <c r="H46">
        <v>15</v>
      </c>
      <c r="J46">
        <v>17</v>
      </c>
      <c r="K46">
        <v>17</v>
      </c>
      <c r="L46" t="s">
        <v>179</v>
      </c>
      <c r="M46">
        <v>1702</v>
      </c>
      <c r="N46" t="s">
        <v>180</v>
      </c>
      <c r="P46">
        <v>1702010</v>
      </c>
      <c r="Q46" t="s">
        <v>181</v>
      </c>
      <c r="R46">
        <v>170201000</v>
      </c>
      <c r="S46" t="s">
        <v>182</v>
      </c>
      <c r="T46" t="s">
        <v>28</v>
      </c>
      <c r="U46">
        <v>400</v>
      </c>
      <c r="V46">
        <f t="shared" si="2"/>
        <v>3000000</v>
      </c>
      <c r="W46" s="1">
        <v>0</v>
      </c>
      <c r="X46" s="1">
        <v>0</v>
      </c>
      <c r="Y46" s="1">
        <v>0</v>
      </c>
      <c r="Z46" s="1">
        <v>0</v>
      </c>
      <c r="AA46" s="1">
        <v>3000000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 x14ac:dyDescent="0.25">
      <c r="A47" t="s">
        <v>20</v>
      </c>
      <c r="B47">
        <v>5036</v>
      </c>
      <c r="C47" t="s">
        <v>21</v>
      </c>
      <c r="D47" t="s">
        <v>176</v>
      </c>
      <c r="E47" t="s">
        <v>189</v>
      </c>
      <c r="F47" t="s">
        <v>190</v>
      </c>
      <c r="G47">
        <v>2019</v>
      </c>
      <c r="H47">
        <v>46.9</v>
      </c>
      <c r="I47" t="s">
        <v>191</v>
      </c>
      <c r="J47">
        <v>45</v>
      </c>
      <c r="K47">
        <v>36</v>
      </c>
      <c r="L47" t="s">
        <v>172</v>
      </c>
      <c r="M47">
        <v>3604</v>
      </c>
      <c r="N47" t="s">
        <v>173</v>
      </c>
      <c r="P47">
        <v>3604006</v>
      </c>
      <c r="Q47" t="s">
        <v>192</v>
      </c>
      <c r="R47">
        <v>360400600</v>
      </c>
      <c r="S47" t="s">
        <v>83</v>
      </c>
      <c r="T47" t="s">
        <v>28</v>
      </c>
      <c r="U47">
        <v>100</v>
      </c>
      <c r="V47">
        <f t="shared" si="2"/>
        <v>4579935</v>
      </c>
      <c r="W47" s="1">
        <v>0</v>
      </c>
      <c r="X47" s="1">
        <v>0</v>
      </c>
      <c r="Y47" s="1">
        <v>0</v>
      </c>
      <c r="Z47" s="1">
        <v>0</v>
      </c>
      <c r="AA47" s="1">
        <v>4579935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 x14ac:dyDescent="0.25">
      <c r="A48" t="s">
        <v>20</v>
      </c>
      <c r="B48">
        <v>5036</v>
      </c>
      <c r="C48" t="s">
        <v>21</v>
      </c>
      <c r="D48" t="s">
        <v>176</v>
      </c>
      <c r="E48" t="s">
        <v>189</v>
      </c>
      <c r="F48" t="s">
        <v>190</v>
      </c>
      <c r="G48">
        <v>2019</v>
      </c>
      <c r="H48">
        <v>46.9</v>
      </c>
      <c r="I48" t="s">
        <v>191</v>
      </c>
      <c r="J48">
        <v>45</v>
      </c>
      <c r="K48">
        <v>36</v>
      </c>
      <c r="L48" t="s">
        <v>172</v>
      </c>
      <c r="M48">
        <v>3604</v>
      </c>
      <c r="N48" t="s">
        <v>173</v>
      </c>
      <c r="P48">
        <v>3604026</v>
      </c>
      <c r="Q48" t="s">
        <v>193</v>
      </c>
      <c r="R48">
        <v>360402600</v>
      </c>
      <c r="S48" t="s">
        <v>194</v>
      </c>
      <c r="T48" t="s">
        <v>28</v>
      </c>
      <c r="U48">
        <v>1</v>
      </c>
      <c r="V48">
        <f t="shared" si="2"/>
        <v>4579935</v>
      </c>
      <c r="W48" s="1">
        <v>0</v>
      </c>
      <c r="X48" s="1">
        <v>0</v>
      </c>
      <c r="Y48" s="1">
        <v>0</v>
      </c>
      <c r="Z48" s="1">
        <v>0</v>
      </c>
      <c r="AA48" s="1">
        <v>4579935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 x14ac:dyDescent="0.25">
      <c r="A49" t="s">
        <v>20</v>
      </c>
      <c r="B49">
        <v>5036</v>
      </c>
      <c r="C49" t="s">
        <v>21</v>
      </c>
      <c r="D49" t="s">
        <v>176</v>
      </c>
      <c r="E49" t="s">
        <v>195</v>
      </c>
      <c r="F49" t="s">
        <v>196</v>
      </c>
      <c r="G49">
        <v>2019</v>
      </c>
      <c r="H49">
        <v>0</v>
      </c>
      <c r="J49">
        <v>40</v>
      </c>
      <c r="K49">
        <v>21</v>
      </c>
      <c r="L49" t="s">
        <v>163</v>
      </c>
      <c r="M49">
        <v>2105</v>
      </c>
      <c r="N49" t="s">
        <v>199</v>
      </c>
      <c r="P49">
        <v>2105019</v>
      </c>
      <c r="Q49" t="s">
        <v>200</v>
      </c>
      <c r="R49">
        <v>210501900</v>
      </c>
      <c r="S49" t="s">
        <v>198</v>
      </c>
      <c r="T49" t="s">
        <v>28</v>
      </c>
      <c r="U49">
        <v>120</v>
      </c>
      <c r="V49">
        <f t="shared" si="2"/>
        <v>4579935</v>
      </c>
      <c r="W49" s="1">
        <v>0</v>
      </c>
      <c r="X49" s="1">
        <v>0</v>
      </c>
      <c r="Y49" s="1">
        <v>0</v>
      </c>
      <c r="Z49" s="1">
        <v>0</v>
      </c>
      <c r="AA49" s="1">
        <v>4579935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 x14ac:dyDescent="0.25">
      <c r="A50" t="s">
        <v>20</v>
      </c>
      <c r="B50">
        <v>5036</v>
      </c>
      <c r="C50" t="s">
        <v>21</v>
      </c>
      <c r="D50" t="s">
        <v>176</v>
      </c>
      <c r="E50" t="s">
        <v>195</v>
      </c>
      <c r="F50" t="s">
        <v>196</v>
      </c>
      <c r="G50">
        <v>2019</v>
      </c>
      <c r="H50">
        <v>0</v>
      </c>
      <c r="J50">
        <v>40</v>
      </c>
      <c r="K50">
        <v>21</v>
      </c>
      <c r="L50" t="s">
        <v>163</v>
      </c>
      <c r="M50">
        <v>2104</v>
      </c>
      <c r="N50" t="s">
        <v>197</v>
      </c>
      <c r="P50">
        <v>2104004</v>
      </c>
      <c r="Q50" t="s">
        <v>201</v>
      </c>
      <c r="R50">
        <v>210400400</v>
      </c>
      <c r="S50" t="s">
        <v>202</v>
      </c>
      <c r="T50" t="s">
        <v>28</v>
      </c>
      <c r="U50">
        <v>6</v>
      </c>
      <c r="V50">
        <f t="shared" si="2"/>
        <v>4579935</v>
      </c>
      <c r="W50" s="1">
        <v>0</v>
      </c>
      <c r="X50" s="1">
        <v>0</v>
      </c>
      <c r="Y50" s="1">
        <v>0</v>
      </c>
      <c r="Z50" s="1">
        <v>0</v>
      </c>
      <c r="AA50" s="1">
        <v>4579935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 x14ac:dyDescent="0.25">
      <c r="A51" t="s">
        <v>20</v>
      </c>
      <c r="B51">
        <v>5036</v>
      </c>
      <c r="C51" t="s">
        <v>21</v>
      </c>
      <c r="D51" t="s">
        <v>176</v>
      </c>
      <c r="E51" t="s">
        <v>203</v>
      </c>
      <c r="F51" t="s">
        <v>204</v>
      </c>
      <c r="G51">
        <v>2019</v>
      </c>
      <c r="H51">
        <v>75</v>
      </c>
      <c r="J51">
        <v>80</v>
      </c>
      <c r="K51">
        <v>24</v>
      </c>
      <c r="L51" t="s">
        <v>187</v>
      </c>
      <c r="M51">
        <v>2402</v>
      </c>
      <c r="N51" t="s">
        <v>188</v>
      </c>
      <c r="P51">
        <v>2402112</v>
      </c>
      <c r="Q51" t="s">
        <v>205</v>
      </c>
      <c r="R51">
        <v>240211200</v>
      </c>
      <c r="S51" t="s">
        <v>206</v>
      </c>
      <c r="T51" t="s">
        <v>164</v>
      </c>
      <c r="U51">
        <v>375</v>
      </c>
      <c r="V51">
        <f t="shared" si="2"/>
        <v>24385587</v>
      </c>
      <c r="W51" s="1">
        <v>0</v>
      </c>
      <c r="X51" s="1">
        <v>0</v>
      </c>
      <c r="Y51" s="1">
        <v>0</v>
      </c>
      <c r="Z51" s="1">
        <v>0</v>
      </c>
      <c r="AA51" s="1">
        <v>9385587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15000000</v>
      </c>
      <c r="AJ51" s="1">
        <v>0</v>
      </c>
      <c r="AK51" s="1">
        <v>0</v>
      </c>
      <c r="AL51" s="1">
        <v>0</v>
      </c>
    </row>
    <row r="52" spans="1:38" x14ac:dyDescent="0.25">
      <c r="A52" t="s">
        <v>20</v>
      </c>
      <c r="B52">
        <v>5036</v>
      </c>
      <c r="C52" t="s">
        <v>21</v>
      </c>
      <c r="D52" t="s">
        <v>176</v>
      </c>
      <c r="E52" t="s">
        <v>203</v>
      </c>
      <c r="F52" t="s">
        <v>204</v>
      </c>
      <c r="G52">
        <v>2019</v>
      </c>
      <c r="H52">
        <v>75</v>
      </c>
      <c r="J52">
        <v>80</v>
      </c>
      <c r="K52">
        <v>24</v>
      </c>
      <c r="L52" t="s">
        <v>187</v>
      </c>
      <c r="M52">
        <v>2402</v>
      </c>
      <c r="N52" t="s">
        <v>188</v>
      </c>
      <c r="P52">
        <v>2402115</v>
      </c>
      <c r="Q52" t="s">
        <v>207</v>
      </c>
      <c r="R52">
        <v>240211500</v>
      </c>
      <c r="S52" t="s">
        <v>208</v>
      </c>
      <c r="T52" t="s">
        <v>164</v>
      </c>
      <c r="U52">
        <v>0.1</v>
      </c>
      <c r="V52">
        <f t="shared" si="2"/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 x14ac:dyDescent="0.25">
      <c r="A53" t="s">
        <v>20</v>
      </c>
      <c r="B53">
        <v>5036</v>
      </c>
      <c r="C53" t="s">
        <v>21</v>
      </c>
      <c r="D53" t="s">
        <v>176</v>
      </c>
      <c r="E53" t="s">
        <v>209</v>
      </c>
      <c r="F53" t="s">
        <v>210</v>
      </c>
      <c r="G53">
        <v>2019</v>
      </c>
      <c r="H53">
        <v>72.73</v>
      </c>
      <c r="I53" t="s">
        <v>155</v>
      </c>
      <c r="J53">
        <v>63.73</v>
      </c>
      <c r="K53">
        <v>17</v>
      </c>
      <c r="L53" t="s">
        <v>179</v>
      </c>
      <c r="M53">
        <v>1709</v>
      </c>
      <c r="N53" t="s">
        <v>186</v>
      </c>
      <c r="P53">
        <v>1709105</v>
      </c>
      <c r="Q53" t="s">
        <v>211</v>
      </c>
      <c r="R53">
        <v>170910500</v>
      </c>
      <c r="S53" t="s">
        <v>212</v>
      </c>
      <c r="T53" t="s">
        <v>28</v>
      </c>
      <c r="U53">
        <v>1</v>
      </c>
      <c r="V53">
        <f t="shared" si="2"/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 x14ac:dyDescent="0.25">
      <c r="A54" t="s">
        <v>20</v>
      </c>
      <c r="B54">
        <v>5036</v>
      </c>
      <c r="C54" t="s">
        <v>21</v>
      </c>
      <c r="D54" t="s">
        <v>213</v>
      </c>
      <c r="E54" t="s">
        <v>214</v>
      </c>
      <c r="F54" t="s">
        <v>215</v>
      </c>
      <c r="G54">
        <v>2019</v>
      </c>
      <c r="H54">
        <v>1</v>
      </c>
      <c r="I54" t="s">
        <v>28</v>
      </c>
      <c r="J54">
        <v>1</v>
      </c>
      <c r="K54">
        <v>40</v>
      </c>
      <c r="L54" t="s">
        <v>97</v>
      </c>
      <c r="M54">
        <v>4003</v>
      </c>
      <c r="N54" t="s">
        <v>98</v>
      </c>
      <c r="P54">
        <v>4003023</v>
      </c>
      <c r="Q54" t="s">
        <v>217</v>
      </c>
      <c r="R54">
        <v>400302300</v>
      </c>
      <c r="S54" t="s">
        <v>218</v>
      </c>
      <c r="T54" t="s">
        <v>28</v>
      </c>
      <c r="U54">
        <v>1</v>
      </c>
      <c r="V54">
        <f t="shared" si="2"/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t="s">
        <v>20</v>
      </c>
      <c r="B55">
        <v>5036</v>
      </c>
      <c r="C55" t="s">
        <v>21</v>
      </c>
      <c r="D55" t="s">
        <v>213</v>
      </c>
      <c r="E55" t="s">
        <v>214</v>
      </c>
      <c r="F55" t="s">
        <v>215</v>
      </c>
      <c r="G55">
        <v>2019</v>
      </c>
      <c r="H55">
        <v>1</v>
      </c>
      <c r="I55" t="s">
        <v>28</v>
      </c>
      <c r="J55">
        <v>1</v>
      </c>
      <c r="K55">
        <v>32</v>
      </c>
      <c r="L55" t="s">
        <v>216</v>
      </c>
      <c r="M55">
        <v>3202</v>
      </c>
      <c r="N55" t="s">
        <v>219</v>
      </c>
      <c r="P55">
        <v>3202014</v>
      </c>
      <c r="Q55" t="s">
        <v>220</v>
      </c>
      <c r="R55">
        <v>320201400</v>
      </c>
      <c r="S55" t="s">
        <v>83</v>
      </c>
      <c r="T55" t="s">
        <v>28</v>
      </c>
      <c r="U55">
        <v>300</v>
      </c>
      <c r="V55">
        <f t="shared" si="2"/>
        <v>13506750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13506750</v>
      </c>
      <c r="AJ55" s="1">
        <v>0</v>
      </c>
      <c r="AK55" s="1">
        <v>0</v>
      </c>
      <c r="AL55" s="1">
        <v>0</v>
      </c>
    </row>
    <row r="56" spans="1:38" x14ac:dyDescent="0.25">
      <c r="A56" t="s">
        <v>20</v>
      </c>
      <c r="B56">
        <v>5036</v>
      </c>
      <c r="C56" t="s">
        <v>21</v>
      </c>
      <c r="D56" t="s">
        <v>213</v>
      </c>
      <c r="E56" t="s">
        <v>214</v>
      </c>
      <c r="F56" t="s">
        <v>215</v>
      </c>
      <c r="G56">
        <v>2019</v>
      </c>
      <c r="H56">
        <v>1</v>
      </c>
      <c r="I56" t="s">
        <v>28</v>
      </c>
      <c r="J56">
        <v>1</v>
      </c>
      <c r="K56">
        <v>32</v>
      </c>
      <c r="L56" t="s">
        <v>216</v>
      </c>
      <c r="M56">
        <v>3205</v>
      </c>
      <c r="N56" t="s">
        <v>221</v>
      </c>
      <c r="P56">
        <v>3205021</v>
      </c>
      <c r="Q56" t="s">
        <v>222</v>
      </c>
      <c r="R56">
        <v>320502100</v>
      </c>
      <c r="S56" t="s">
        <v>223</v>
      </c>
      <c r="T56" t="s">
        <v>28</v>
      </c>
      <c r="U56">
        <v>1</v>
      </c>
      <c r="V56">
        <f t="shared" si="2"/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 x14ac:dyDescent="0.25">
      <c r="A57" t="s">
        <v>20</v>
      </c>
      <c r="B57">
        <v>5036</v>
      </c>
      <c r="C57" t="s">
        <v>21</v>
      </c>
      <c r="D57" t="s">
        <v>213</v>
      </c>
      <c r="E57" t="s">
        <v>226</v>
      </c>
      <c r="F57" t="s">
        <v>227</v>
      </c>
      <c r="G57">
        <v>2019</v>
      </c>
      <c r="H57">
        <v>0</v>
      </c>
      <c r="I57" t="s">
        <v>28</v>
      </c>
      <c r="J57">
        <v>10</v>
      </c>
      <c r="K57">
        <v>45</v>
      </c>
      <c r="L57" t="s">
        <v>224</v>
      </c>
      <c r="M57">
        <v>4503</v>
      </c>
      <c r="N57" t="s">
        <v>225</v>
      </c>
      <c r="P57">
        <v>4503004</v>
      </c>
      <c r="Q57" t="s">
        <v>228</v>
      </c>
      <c r="R57">
        <v>450300400</v>
      </c>
      <c r="S57" t="s">
        <v>229</v>
      </c>
      <c r="T57" t="s">
        <v>28</v>
      </c>
      <c r="U57">
        <v>2</v>
      </c>
      <c r="V57">
        <f t="shared" ref="V57:V61" si="3">+W57+X57+Y57+Z57+AA57+AB57+AC57+AD57+AE57+AF57+AG57+AH57+AI57+AJ57+AK57+AL57</f>
        <v>31500000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31500000</v>
      </c>
      <c r="AJ57" s="1">
        <v>0</v>
      </c>
      <c r="AK57" s="1">
        <v>0</v>
      </c>
      <c r="AL57" s="1">
        <v>0</v>
      </c>
    </row>
    <row r="58" spans="1:38" x14ac:dyDescent="0.25">
      <c r="A58" t="s">
        <v>20</v>
      </c>
      <c r="B58">
        <v>5036</v>
      </c>
      <c r="C58" t="s">
        <v>21</v>
      </c>
      <c r="D58" t="s">
        <v>230</v>
      </c>
      <c r="E58" t="s">
        <v>234</v>
      </c>
      <c r="F58" t="s">
        <v>235</v>
      </c>
      <c r="G58">
        <v>2019</v>
      </c>
      <c r="H58">
        <v>0</v>
      </c>
      <c r="J58">
        <v>0</v>
      </c>
      <c r="K58">
        <v>12</v>
      </c>
      <c r="L58" t="s">
        <v>233</v>
      </c>
      <c r="M58">
        <v>1206</v>
      </c>
      <c r="N58" t="s">
        <v>236</v>
      </c>
      <c r="P58">
        <v>1206007</v>
      </c>
      <c r="Q58" t="s">
        <v>237</v>
      </c>
      <c r="R58">
        <v>120600700</v>
      </c>
      <c r="S58" t="s">
        <v>238</v>
      </c>
      <c r="T58" t="s">
        <v>28</v>
      </c>
      <c r="U58">
        <v>12</v>
      </c>
      <c r="V58">
        <f t="shared" si="3"/>
        <v>300000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300000</v>
      </c>
      <c r="AJ58" s="1">
        <v>0</v>
      </c>
      <c r="AK58" s="1">
        <v>0</v>
      </c>
      <c r="AL58" s="1">
        <v>0</v>
      </c>
    </row>
    <row r="59" spans="1:38" x14ac:dyDescent="0.25">
      <c r="A59" t="s">
        <v>20</v>
      </c>
      <c r="B59">
        <v>5036</v>
      </c>
      <c r="C59" t="s">
        <v>21</v>
      </c>
      <c r="D59" t="s">
        <v>230</v>
      </c>
      <c r="E59" t="s">
        <v>231</v>
      </c>
      <c r="F59" t="s">
        <v>232</v>
      </c>
      <c r="G59">
        <v>2019</v>
      </c>
      <c r="H59">
        <v>0.49</v>
      </c>
      <c r="J59">
        <v>0.47</v>
      </c>
      <c r="K59">
        <v>40</v>
      </c>
      <c r="L59" t="s">
        <v>97</v>
      </c>
      <c r="M59">
        <v>4002</v>
      </c>
      <c r="N59" t="s">
        <v>241</v>
      </c>
      <c r="P59">
        <v>4002020</v>
      </c>
      <c r="Q59" t="s">
        <v>242</v>
      </c>
      <c r="R59">
        <v>400202000</v>
      </c>
      <c r="S59" t="s">
        <v>242</v>
      </c>
      <c r="T59" t="s">
        <v>243</v>
      </c>
      <c r="U59">
        <v>3200</v>
      </c>
      <c r="V59">
        <f t="shared" si="3"/>
        <v>112500000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112500000</v>
      </c>
      <c r="AJ59" s="1">
        <v>0</v>
      </c>
      <c r="AK59" s="1">
        <v>0</v>
      </c>
      <c r="AL59" s="1">
        <v>0</v>
      </c>
    </row>
    <row r="60" spans="1:38" x14ac:dyDescent="0.25">
      <c r="A60" t="s">
        <v>20</v>
      </c>
      <c r="B60">
        <v>5036</v>
      </c>
      <c r="C60" t="s">
        <v>21</v>
      </c>
      <c r="D60" t="s">
        <v>230</v>
      </c>
      <c r="E60" t="s">
        <v>231</v>
      </c>
      <c r="F60" t="s">
        <v>232</v>
      </c>
      <c r="G60">
        <v>2019</v>
      </c>
      <c r="H60">
        <v>0.49</v>
      </c>
      <c r="J60">
        <v>0.47</v>
      </c>
      <c r="K60">
        <v>40</v>
      </c>
      <c r="L60" t="s">
        <v>97</v>
      </c>
      <c r="M60">
        <v>4002</v>
      </c>
      <c r="N60" t="s">
        <v>241</v>
      </c>
      <c r="P60">
        <v>4002022</v>
      </c>
      <c r="Q60" t="s">
        <v>244</v>
      </c>
      <c r="R60">
        <v>400202200</v>
      </c>
      <c r="S60" t="s">
        <v>244</v>
      </c>
      <c r="T60" t="s">
        <v>243</v>
      </c>
      <c r="U60">
        <v>12800</v>
      </c>
      <c r="V60">
        <f t="shared" si="3"/>
        <v>111750000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111750000</v>
      </c>
      <c r="AJ60" s="1">
        <v>0</v>
      </c>
      <c r="AK60" s="1">
        <v>0</v>
      </c>
      <c r="AL60" s="1">
        <v>0</v>
      </c>
    </row>
    <row r="61" spans="1:38" x14ac:dyDescent="0.25">
      <c r="A61" t="s">
        <v>20</v>
      </c>
      <c r="B61">
        <v>5036</v>
      </c>
      <c r="C61" t="s">
        <v>21</v>
      </c>
      <c r="D61" t="s">
        <v>230</v>
      </c>
      <c r="E61" t="s">
        <v>231</v>
      </c>
      <c r="F61" t="s">
        <v>232</v>
      </c>
      <c r="G61">
        <v>2019</v>
      </c>
      <c r="H61">
        <v>0.49</v>
      </c>
      <c r="J61">
        <v>0.47</v>
      </c>
      <c r="K61">
        <v>4</v>
      </c>
      <c r="L61" t="s">
        <v>239</v>
      </c>
      <c r="M61">
        <v>406</v>
      </c>
      <c r="N61" t="s">
        <v>240</v>
      </c>
      <c r="P61">
        <v>406003</v>
      </c>
      <c r="Q61" t="s">
        <v>245</v>
      </c>
      <c r="R61">
        <v>40600300</v>
      </c>
      <c r="S61" t="s">
        <v>246</v>
      </c>
      <c r="T61" t="s">
        <v>28</v>
      </c>
      <c r="U61">
        <v>452</v>
      </c>
      <c r="V61">
        <f t="shared" si="3"/>
        <v>27735471</v>
      </c>
      <c r="W61" s="1">
        <v>0</v>
      </c>
      <c r="X61" s="1">
        <v>0</v>
      </c>
      <c r="Y61" s="1">
        <v>0</v>
      </c>
      <c r="Z61" s="1">
        <v>0</v>
      </c>
      <c r="AA61" s="1">
        <v>27735471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5" spans="22:22" x14ac:dyDescent="0.25">
      <c r="V65">
        <v>100</v>
      </c>
    </row>
    <row r="66" spans="22:22" x14ac:dyDescent="0.25">
      <c r="V66" t="s">
        <v>268</v>
      </c>
    </row>
  </sheetData>
  <autoFilter ref="A1:U61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Indicativo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2024-01-29T16:49:14Z</dcterms:created>
  <dcterms:modified xsi:type="dcterms:W3CDTF">2024-01-31T22:50:02Z</dcterms:modified>
</cp:coreProperties>
</file>