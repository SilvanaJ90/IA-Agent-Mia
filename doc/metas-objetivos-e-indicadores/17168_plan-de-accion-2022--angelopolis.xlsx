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VALENTINA FRANCO\OneDrive\2. Año 2022\5. Municipio de Angelopolis\"/>
    </mc:Choice>
  </mc:AlternateContent>
  <xr:revisionPtr revIDLastSave="0" documentId="8_{403A0D39-4026-4B00-9DE7-B82C128BFF33}" xr6:coauthVersionLast="47" xr6:coauthVersionMax="47" xr10:uidLastSave="{00000000-0000-0000-0000-000000000000}"/>
  <bookViews>
    <workbookView xWindow="-108" yWindow="-108" windowWidth="23256" windowHeight="12576" tabRatio="663" firstSheet="1" activeTab="1" xr2:uid="{00000000-000D-0000-FFFF-FFFF00000000}"/>
  </bookViews>
  <sheets>
    <sheet name="PlanAcciónSocial2022" sheetId="1" r:id="rId1"/>
    <sheet name="PlanAcciónEconómico 2022" sheetId="2" r:id="rId2"/>
    <sheet name="plan de accion territorial 2022" sheetId="3" r:id="rId3"/>
    <sheet name="PlanAccion Ambiental 2022" sheetId="4" r:id="rId4"/>
    <sheet name="Plan Acción Institucional 2022" sheetId="5" r:id="rId5"/>
  </sheets>
  <definedNames>
    <definedName name="_xlnm.Print_Area" localSheetId="3">'PlanAccion Ambiental 2022'!$I$7:$S$29</definedName>
    <definedName name="_xlnm.Print_Titles" localSheetId="4">'Plan Acción Institucional 2022'!$1:$8</definedName>
    <definedName name="_xlnm.Print_Titles" localSheetId="2">'plan de accion territorial 2022'!$1:$8</definedName>
    <definedName name="_xlnm.Print_Titles" localSheetId="3">'PlanAccion Ambiental 2022'!$1:$9</definedName>
    <definedName name="_xlnm.Print_Titles" localSheetId="1">'PlanAcciónEconómico 2022'!$1:$8</definedName>
    <definedName name="_xlnm.Print_Titles" localSheetId="0">PlanAcciónSocial2022!$1:$8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2" i="5" l="1"/>
  <c r="R31" i="5"/>
  <c r="R30" i="5"/>
  <c r="R29" i="5"/>
  <c r="R28" i="5"/>
  <c r="R27" i="5"/>
  <c r="R26" i="5"/>
  <c r="R25" i="5"/>
  <c r="R24" i="5"/>
  <c r="R23" i="5"/>
  <c r="R22" i="5"/>
  <c r="R21" i="5"/>
  <c r="R20" i="5"/>
  <c r="R19" i="5"/>
  <c r="R18" i="5"/>
  <c r="R17" i="5"/>
  <c r="R16" i="5"/>
  <c r="R15" i="5"/>
  <c r="R14" i="5"/>
  <c r="R13" i="5"/>
  <c r="R12" i="5"/>
  <c r="R11" i="5"/>
  <c r="R10" i="5"/>
  <c r="R9" i="5"/>
  <c r="O29" i="4" l="1"/>
  <c r="O28" i="4"/>
  <c r="O27" i="4"/>
  <c r="O26" i="4"/>
  <c r="O25" i="4"/>
  <c r="O24" i="4"/>
  <c r="O23" i="4"/>
  <c r="O21" i="4"/>
  <c r="O20" i="4"/>
  <c r="O19" i="4"/>
  <c r="O18" i="4"/>
  <c r="O17" i="4"/>
  <c r="O16" i="4"/>
  <c r="O15" i="4"/>
  <c r="O13" i="4"/>
  <c r="O12" i="4"/>
  <c r="O11" i="4"/>
  <c r="O10" i="4"/>
  <c r="O35" i="2" l="1"/>
  <c r="W34" i="2"/>
  <c r="O34" i="2"/>
  <c r="U32" i="2"/>
  <c r="T32" i="2"/>
  <c r="W32" i="2" s="1"/>
  <c r="O32" i="2"/>
  <c r="O31" i="2"/>
  <c r="W30" i="2"/>
  <c r="O30" i="2"/>
  <c r="O29" i="2"/>
  <c r="W28" i="2"/>
  <c r="O28" i="2"/>
  <c r="W26" i="2"/>
  <c r="W25" i="2"/>
  <c r="O25" i="2"/>
  <c r="W24" i="2"/>
  <c r="W23" i="2"/>
  <c r="O23" i="2"/>
  <c r="O22" i="2"/>
  <c r="W21" i="2"/>
  <c r="U21" i="2"/>
  <c r="T21" i="2"/>
  <c r="O21" i="2"/>
  <c r="W20" i="2"/>
  <c r="O20" i="2"/>
  <c r="W19" i="2"/>
  <c r="O18" i="2"/>
  <c r="W17" i="2"/>
  <c r="O17" i="2"/>
  <c r="W16" i="2"/>
  <c r="W15" i="2"/>
  <c r="O15" i="2"/>
  <c r="O14" i="2"/>
  <c r="W13" i="2"/>
  <c r="O13" i="2"/>
  <c r="W12" i="2"/>
  <c r="O12" i="2"/>
  <c r="W11" i="2"/>
  <c r="W9" i="2"/>
  <c r="P1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Robinson Roman</author>
  </authors>
  <commentList>
    <comment ref="N6" authorId="0" shapeId="0" xr:uid="{00000000-0006-0000-0000-000001000000}">
      <text>
        <r>
          <rPr>
            <sz val="9"/>
            <color indexed="81"/>
            <rFont val="Tahoma"/>
            <family val="2"/>
          </rPr>
          <t>MI: Meta de incremento
MM: Meta de mantenimiento
MR: Meta de reducción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Robinson Roman</author>
  </authors>
  <commentList>
    <comment ref="N6" authorId="0" shapeId="0" xr:uid="{00000000-0006-0000-0100-000001000000}">
      <text>
        <r>
          <rPr>
            <sz val="9"/>
            <color indexed="81"/>
            <rFont val="Tahoma"/>
            <family val="2"/>
          </rPr>
          <t>MI: Meta de incremento
MM: Meta de mantenimiento
MR: Meta de reducción</t>
        </r>
      </text>
    </comment>
    <comment ref="J28" authorId="0" shapeId="0" xr:uid="{00000000-0006-0000-0100-000002000000}">
      <text>
        <r>
          <rPr>
            <sz val="9"/>
            <color indexed="81"/>
            <rFont val="Tahoma"/>
            <family val="2"/>
          </rPr>
          <t xml:space="preserve">Asofrucol- se tienen 4 ECAS, tomáte aguacate, lulo y plátano (otra bajo el modelo - caña)
Gulupa y Granadilla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Robinson Roman</author>
  </authors>
  <commentList>
    <comment ref="M6" authorId="0" shapeId="0" xr:uid="{00000000-0006-0000-0200-000001000000}">
      <text>
        <r>
          <rPr>
            <sz val="9"/>
            <color indexed="81"/>
            <rFont val="Tahoma"/>
            <family val="2"/>
          </rPr>
          <t>MI: Meta de incremento
MM: Meta de mantenimiento
MR: Meta de reducción</t>
        </r>
      </text>
    </comment>
    <comment ref="I39" authorId="0" shapeId="0" xr:uid="{00000000-0006-0000-0200-000002000000}">
      <text>
        <r>
          <rPr>
            <b/>
            <sz val="9"/>
            <color indexed="81"/>
            <rFont val="Tahoma"/>
            <family val="2"/>
          </rPr>
          <t xml:space="preserve">Fortalecer la EPJ </t>
        </r>
        <r>
          <rPr>
            <sz val="9"/>
            <color indexed="81"/>
            <rFont val="Tahoma"/>
            <family val="2"/>
          </rPr>
          <t xml:space="preserve">
</t>
        </r>
      </text>
    </comment>
    <comment ref="L39" authorId="0" shapeId="0" xr:uid="{00000000-0006-0000-0200-000003000000}">
      <text>
        <r>
          <rPr>
            <sz val="9"/>
            <color indexed="81"/>
            <rFont val="Tahoma"/>
            <family val="2"/>
          </rPr>
          <t>No existe empresa legalmente constituida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Robinson Roman</author>
  </authors>
  <commentList>
    <comment ref="N7" authorId="0" shapeId="0" xr:uid="{00000000-0006-0000-0300-000001000000}">
      <text>
        <r>
          <rPr>
            <sz val="9"/>
            <color indexed="81"/>
            <rFont val="Tahoma"/>
            <family val="2"/>
          </rPr>
          <t>MI: Meta de incremento
MM: Meta de mantentimiento
MR: Meta de reducción</t>
        </r>
      </text>
    </comment>
    <comment ref="L22" authorId="0" shapeId="0" xr:uid="{00000000-0006-0000-0300-000002000000}">
      <text>
        <r>
          <rPr>
            <sz val="9"/>
            <color indexed="81"/>
            <rFont val="Tahoma"/>
            <family val="2"/>
          </rPr>
          <t xml:space="preserve">Viene incluido en el proyecto de distrito de manejo integrado
</t>
        </r>
      </text>
    </comment>
    <comment ref="J25" authorId="0" shapeId="0" xr:uid="{00000000-0006-0000-0300-000003000000}">
      <text>
        <r>
          <rPr>
            <sz val="9"/>
            <color indexed="81"/>
            <rFont val="Tahoma"/>
            <family val="2"/>
          </rPr>
          <t xml:space="preserve">Laboratorio de Suelos, en la Vda. El Verdún; Granja Miguel Valencia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Robinson Roman</author>
  </authors>
  <commentList>
    <comment ref="N6" authorId="0" shapeId="0" xr:uid="{00000000-0006-0000-0400-000001000000}">
      <text>
        <r>
          <rPr>
            <sz val="9"/>
            <color indexed="81"/>
            <rFont val="Tahoma"/>
            <family val="2"/>
          </rPr>
          <t>MI: Meta de incremento
MM: Meta de mantentimiento
MR: Meta de reducción</t>
        </r>
      </text>
    </comment>
  </commentList>
</comments>
</file>

<file path=xl/sharedStrings.xml><?xml version="1.0" encoding="utf-8"?>
<sst xmlns="http://schemas.openxmlformats.org/spreadsheetml/2006/main" count="1519" uniqueCount="899">
  <si>
    <t>Objetivo General</t>
  </si>
  <si>
    <t xml:space="preserve"> para trascender con sus potencialidades agroindustriales y turísticas de la dependencia a la autonomía, a un municipio emprendedor, innovador, atractivo y competitivo</t>
  </si>
  <si>
    <t>Eje</t>
  </si>
  <si>
    <t>Objetivo Estratégico</t>
  </si>
  <si>
    <t>De acuerdo al ciclo vital, crear las condiciones necesarias que permitan garantizar los derechos fundamentales de la población, con miras al mejoramiento de su calidad de vida,</t>
  </si>
  <si>
    <t xml:space="preserve"> reducir los índices de necesidades básicas que aún no han podido ser satisfechas, estimulando la cultura de la solidaridad y la cooperación entre los ciudadanos, con especial énfasis en la población más vulnerable</t>
  </si>
  <si>
    <t>SECTOR</t>
  </si>
  <si>
    <t>Objetivo Sectorial</t>
  </si>
  <si>
    <t>INDICADOR</t>
  </si>
  <si>
    <t>PROGRAMA</t>
  </si>
  <si>
    <t>Objetivo Programático</t>
  </si>
  <si>
    <t>SUBPROGRAMA</t>
  </si>
  <si>
    <t>#</t>
  </si>
  <si>
    <t>PROYECTO</t>
  </si>
  <si>
    <t>META/INDICADOR
PRODUCTO</t>
  </si>
  <si>
    <t>INDICADOR
PRODUCTO</t>
  </si>
  <si>
    <t>TIPO DE META</t>
  </si>
  <si>
    <t>RECURSOS (MILLONES DE $)</t>
  </si>
  <si>
    <t>RESPONSABLE</t>
  </si>
  <si>
    <t>NOMBRE</t>
  </si>
  <si>
    <t>NOMBRE
INDICADOR</t>
  </si>
  <si>
    <t>Estado Actual</t>
  </si>
  <si>
    <t>RP</t>
  </si>
  <si>
    <t>SGP</t>
  </si>
  <si>
    <t>Otros</t>
  </si>
  <si>
    <t>Total</t>
  </si>
  <si>
    <t xml:space="preserve">EDUCACIÓN </t>
  </si>
  <si>
    <t>Ampliar la cobertura educativa promedio en un 3%
(Del 93.23% al 96.23%)</t>
  </si>
  <si>
    <t>(# total de estudiantes matriculados/# total de población en edad escolar)*100</t>
  </si>
  <si>
    <t>93.23%</t>
  </si>
  <si>
    <t>COBERTURA EDUCATIVA</t>
  </si>
  <si>
    <t>EQUIDAD Y OPORTUNIDADES DE ACCESO AL SISTEMA EDUCATIVO</t>
  </si>
  <si>
    <t>1.1.1.1.1</t>
  </si>
  <si>
    <t># de estudiantes</t>
  </si>
  <si>
    <t>N.D</t>
  </si>
  <si>
    <t>MI</t>
  </si>
  <si>
    <t>1.1.1.1.2</t>
  </si>
  <si>
    <t>Atención educativa especial de doscientos (200) niños de primera infancia en extrema pobreza</t>
  </si>
  <si>
    <t>Doscientos (200) niños atendidos</t>
  </si>
  <si>
    <t># de niños, niñas</t>
  </si>
  <si>
    <t>MM</t>
  </si>
  <si>
    <t>1.1.1.1.3</t>
  </si>
  <si>
    <t>Atención a ochenta (80) personas de población vulnerable con necesidades educativas, dignatarios y otros</t>
  </si>
  <si>
    <t>Ochenta (80) personas atendidas</t>
  </si>
  <si>
    <t xml:space="preserve"># de personas </t>
  </si>
  <si>
    <t>Disminuir la reprobación escolar en 5%
(N.D a 5%</t>
  </si>
  <si>
    <t>(# de estudiantes reprobados/# total de estudiantes matriculados)*100</t>
  </si>
  <si>
    <t>1.1.1.1.4</t>
  </si>
  <si>
    <t>Porcentaje</t>
  </si>
  <si>
    <t>PERMANENCIA ESCOLAR</t>
  </si>
  <si>
    <t>1.1.1.2.1</t>
  </si>
  <si>
    <t># de uniformes y kit</t>
  </si>
  <si>
    <t>1.1.1.2.2</t>
  </si>
  <si>
    <t>60' millones de subsidios entregados</t>
  </si>
  <si>
    <t>Valor en millones de pesos entregados</t>
  </si>
  <si>
    <t>1.1.1.2.3</t>
  </si>
  <si>
    <t>Gestión para ampliar la ruta  de transporte escolar</t>
  </si>
  <si>
    <t>Una gestión realizada</t>
  </si>
  <si>
    <t># de acciones de gestión</t>
  </si>
  <si>
    <t>Disminuir la deserción escolar en básica media en uno por ciento (1%)
(De 2.9% a 1.9%)</t>
  </si>
  <si>
    <t>(# de estudiantes desertores/# total estudiantes matriculados)*100</t>
  </si>
  <si>
    <t>2.9%</t>
  </si>
  <si>
    <t>1.1.1.2.4</t>
  </si>
  <si>
    <t>Gestión para la implementación y fortalecimiento del SAT - Sistema de Aprendizaje Tutorial</t>
  </si>
  <si>
    <t>1.1.1.2.5</t>
  </si>
  <si>
    <t>Fortalecimiento al proceso de becas rotatorias para los estudiantes</t>
  </si>
  <si>
    <t>Un proceso fortalecido</t>
  </si>
  <si>
    <t># de procesos</t>
  </si>
  <si>
    <t>ALFABETIZACIÓN y EDUCACIÓN PARA ADULTOS</t>
  </si>
  <si>
    <t>1.1.1.3.1</t>
  </si>
  <si>
    <t>CALIDAD EDUCATIVA</t>
  </si>
  <si>
    <t>Desarrollar estrategias de apoyo técnico administrativo y pedagógico, orientadas a la creación de ambientes escolares propicios para el mejoramiento de los procesos enseñanza-aprendizaje, el desempeño de los docentes y los niveles de competencia académica de los estudiantes</t>
  </si>
  <si>
    <t>1.1.2.1.1</t>
  </si>
  <si>
    <t>Atención a la población escolar con discapacidad cognitiva no integrables</t>
  </si>
  <si>
    <t>10 personas atendidas</t>
  </si>
  <si>
    <t>Disminuir el analfabetismo en 5%
(N.D al 5%)</t>
  </si>
  <si>
    <t>(# de personas alfabetizadas/#total población analfabeta)*100</t>
  </si>
  <si>
    <t>1.1.2.1.2</t>
  </si>
  <si>
    <t>Realización de acciones  y eventos de cualificación al sesenta por ciento (60%) de docentes</t>
  </si>
  <si>
    <t>60% de docentes cualificados
(#  de docentes atendidos/# total de docentes)*100</t>
  </si>
  <si>
    <t>1.1.2.1.3</t>
  </si>
  <si>
    <t>Realización de 2 olimpiadas educativas</t>
  </si>
  <si>
    <t>2 olimpiadas realizadas</t>
  </si>
  <si>
    <t># de olimpiadas realizadas</t>
  </si>
  <si>
    <t>PERTINENCIA EDUCATIVA</t>
  </si>
  <si>
    <t>Desarrollar procesos de gestión pedagógica orientados a la adecuación de la oferta educativa a las necesidades, requerimientos y tendencias actuales</t>
  </si>
  <si>
    <t>1.1.3.1.1</t>
  </si>
  <si>
    <t xml:space="preserve">Implementación de la enseñanza del idioma extranjero a la población por fuera del sistema educativo. </t>
  </si>
  <si>
    <t>Atención a 30 personas</t>
  </si>
  <si>
    <t># de personas atendidas</t>
  </si>
  <si>
    <t>1.1.3.1.2</t>
  </si>
  <si>
    <t>Desarrollo de 4 sistemas tecnológicos para la comunidad (Incluye gestión en la masificación del internet)</t>
  </si>
  <si>
    <t>4 sistemas desarrollados</t>
  </si>
  <si>
    <t># de sistemas desarrollados</t>
  </si>
  <si>
    <t>Incrementar en 10% el número de IE que clasifican en el nivel alto, superior y muy superior, en pruebas ICFES
(del 38% al 48%)</t>
  </si>
  <si>
    <t>(# de instituciones clasificadas en alto, superior y muy superior/# total de instituciones que presentan pruebas ICFES)*100</t>
  </si>
  <si>
    <t>INSPECCIÓN, VIGILANCIA y CONTROL</t>
  </si>
  <si>
    <t>Desarrollar actividades de Inspección, Vigilancia y Control en las instituciones y centros educativos, con la finalidad de verificar las condiciones de funcionamiento y calidad de la oferta</t>
  </si>
  <si>
    <t>1.1.4.1.1</t>
  </si>
  <si>
    <t>Desarrollar proceso de inspección, vigilancia y control al ciento por ciento (100%) de establecimientos educativos oficiales</t>
  </si>
  <si>
    <t>100% de establecimientos educativos oficiales con procesos de inspección, vigilancia y control aplicados</t>
  </si>
  <si>
    <t>1.1.4.1.2</t>
  </si>
  <si>
    <t>Analizar y sistematizar cuatro (4) informes de inspección, vigilancia y control</t>
  </si>
  <si>
    <t>4 informes de inspección, vigilancia y control, analizados y sistematizados</t>
  </si>
  <si>
    <t>EFICIENCIA EDUCATIVA</t>
  </si>
  <si>
    <t>Mejorar las condiciones de la plataforma tecnológica y los procesos administrativos y de gestión, requeridos por el sector para alcanzar eficacia, eficiencia y efectividad en la prestación del servicio educativo</t>
  </si>
  <si>
    <t>1.1.5.1.1</t>
  </si>
  <si>
    <t>Levantar el inventario de bienes inmuebles e infraestructura del sector educativo en un 100%</t>
  </si>
  <si>
    <t>100% de avance del inventario de bienes inmuebles e infraestructura</t>
  </si>
  <si>
    <t>1.1.5.1.2</t>
  </si>
  <si>
    <t>Apoyar el proceso de sistematización de resultados de evaluación del aprendizaje, en el ciento por ciento (100%) de los establecimientos educativos</t>
  </si>
  <si>
    <t>Porcentaje (100%) de establecimientos educativos apoyados para sistematizar resultados de evaluación de aprendizaje</t>
  </si>
  <si>
    <t>ALIMENTACIÓN ESCOLAR</t>
  </si>
  <si>
    <t>Contribuir en la mejora del estado nutricional de los escolares de los estratos sociales menos favorecidos del municipio, mediante la provisión de alimentos ricos en nutrientes con el apoyo y participación de un nutricionista y personal experto en salud, que garantizará un mejor desarrollo y bienestar de los infantes beneficiados</t>
  </si>
  <si>
    <t>Reducir la desnutrición global en población escolar
(N.D a &lt; 5%)</t>
  </si>
  <si>
    <t>Prevalencia desnutrición global en población escolar</t>
  </si>
  <si>
    <t>Población infantil escolar con mejores condiciones nutricionales</t>
  </si>
  <si>
    <t>1.2.1.1</t>
  </si>
  <si>
    <t>Atención en alimentación escolar a 2.400 estudiantes de la básica primaria</t>
  </si>
  <si>
    <t>2.400 estudiantes-usuarios atendidos</t>
  </si>
  <si>
    <t># de usuarios atendidos</t>
  </si>
  <si>
    <t>ASEGURAMIENTO CON EQUIDAD</t>
  </si>
  <si>
    <t>1.3.1.1</t>
  </si>
  <si>
    <t>Continuidad en el aseguramiento al Régimen Subsidiado – Mantener el porcentaje del ciento por
ciento (100%)</t>
  </si>
  <si>
    <t>Porcentaje de continuidad</t>
  </si>
  <si>
    <t>1.3.1.2</t>
  </si>
  <si>
    <t>Realizar vigilancia y control del Régimen Subsidiado - Seguimiento a los recursos del Régimen
Subsidiado</t>
  </si>
  <si>
    <t>Porcentaje de seguimiento</t>
  </si>
  <si>
    <t>1.3.1.3</t>
  </si>
  <si>
    <t>Suscripción de cuatro (4) convenios para garantizar la prestación de servicios de salud a la
población pobre No Asegurada</t>
  </si>
  <si>
    <t>Suscripción de cuatro convenios</t>
  </si>
  <si>
    <t># de convenios suscritos</t>
  </si>
  <si>
    <t>1.3.1.4</t>
  </si>
  <si>
    <t>Realización de seis (6) auditorías/año al régimen subsidiado. (Total realización de veinticuatro 24 auditorías)</t>
  </si>
  <si>
    <t xml:space="preserve">Realización de seis (6) auditorías/año </t>
  </si>
  <si>
    <t># de auditorías realizadas</t>
  </si>
  <si>
    <t>SALUD</t>
  </si>
  <si>
    <t>Porcentaje de población con cobertura en salud</t>
  </si>
  <si>
    <t>PRESTACIÓN DE SERVICIOS</t>
  </si>
  <si>
    <t>1.3.2.1.1</t>
  </si>
  <si>
    <t>Apoyo a la adecuación de infraestructura física hospitalaria. Realizar una (1) acción.</t>
  </si>
  <si>
    <t>Una (1) acción de apoyo a la infraestructura física</t>
  </si>
  <si>
    <t># de acciones de apoyo</t>
  </si>
  <si>
    <t>Ejercer la vigilancia y control en un 100% en lo relacionado con el régimen subsidiado
(N.D A 100%</t>
  </si>
  <si>
    <t>Porcentaje de vigilancia y control alcanzado</t>
  </si>
  <si>
    <t>1.3.2.1.2</t>
  </si>
  <si>
    <t>Apoyo a la dotación hospitalaria. Realizar una (1) acción.</t>
  </si>
  <si>
    <t>Una (1) acción de apoyo con dotación</t>
  </si>
  <si>
    <t>Mejorar la calidad de los servicios de salud (accesibilidad, oportunidad y efectividad)
(N.D a &gt;80%)</t>
  </si>
  <si>
    <t>(# de personas atendidas con accesibilidad, oportunidad y efectividad/# de personas que demandan el servicio)*100</t>
  </si>
  <si>
    <t>1.3.2.1.3</t>
  </si>
  <si>
    <t>Suscripción de cuatro (4) convenios para garantizar la prestación de servicios de salud a la población no asegurada</t>
  </si>
  <si>
    <t>Cuatro (4) convenios suscritos</t>
  </si>
  <si>
    <t>Reducir la tasa de mortalidad en menores de 1 año y de 5 años</t>
  </si>
  <si>
    <t>(# de muertes en menores de 1 año/# total de nacidos vivos)*1.000
Tasa de mortalidad &lt;5 años por 100.000</t>
  </si>
  <si>
    <t>1.3.2.1.4</t>
  </si>
  <si>
    <t>Fortalecimiento de la estrategia AIEPI (atención integral a las enfermedades prevalentes de la infancia) - Una inclusión anual</t>
  </si>
  <si>
    <t>4 inclusiones (1 anual)  con enfoque diferencial y ciclo vital en el plan de operación anual</t>
  </si>
  <si>
    <t># de inclusiones</t>
  </si>
  <si>
    <t>Mantener la fecundidad global en mujeres entre 15 y 49 años por debajo del 2% 
(N.D a &lt; 2%)</t>
  </si>
  <si>
    <t>Fecundidad global en mujeres mantenida por debajo del 2%</t>
  </si>
  <si>
    <t>1.3.2.1.5</t>
  </si>
  <si>
    <t>Operación del COVE municipal</t>
  </si>
  <si>
    <t>1  COVE operando continuamente</t>
  </si>
  <si>
    <t># de COVES operando</t>
  </si>
  <si>
    <t>Reducir la razón de mortalidad materna
(0% en 0%)</t>
  </si>
  <si>
    <t>Razón de mortalidad materna * 100 nacidos vivos</t>
  </si>
  <si>
    <t>1.3.2.1.6</t>
  </si>
  <si>
    <t>Desarrollo del Plan Territorial de Salud</t>
  </si>
  <si>
    <t>Plan Territorial de Salud  PTS, ajustado</t>
  </si>
  <si>
    <t># de planos ajustados</t>
  </si>
  <si>
    <t>Reducir la tasa de mortalidad por cáncer de cuello uterino
(N.D en 0%)</t>
  </si>
  <si>
    <t>Tasa de mortalidad por cáncer de cuello uterino * 100.000 mujeres</t>
  </si>
  <si>
    <t>Porcentaje de avance en la ejecución del PTS</t>
  </si>
  <si>
    <t>Controlar y mantener la prevalencia de infección VIH
(0% en 0%)</t>
  </si>
  <si>
    <t>Tasa de incidencia de VIH de transmisión perinatal (vertical)</t>
  </si>
  <si>
    <t>1.3.2.1.7</t>
  </si>
  <si>
    <t>Mantener actualizada al ciento por ciento (100%) la base de datos del SISBEN</t>
  </si>
  <si>
    <t>100% de avance de actualización</t>
  </si>
  <si>
    <t>Mantener por debajo del 2.3 el índice de cariados, obturados y perdidos (COP) promedio en la población a los 12 años de edad
(&lt; 2.3)</t>
  </si>
  <si>
    <t>Índice de COP</t>
  </si>
  <si>
    <t>Nacional: Índice COP a los 12 años de edad de 2.3</t>
  </si>
  <si>
    <t>1.3.2.1.8</t>
  </si>
  <si>
    <t>Implementación de un Plan de Intervenciones Colectivas PIC año. Realización de cuatro (4) intervenciones</t>
  </si>
  <si>
    <t>Cuatro (4) intervenciones del PIC</t>
  </si>
  <si>
    <t># de intervenciones realizadas</t>
  </si>
  <si>
    <t>Mantener en 0 el # de casos de rabia humana transmitida por perro y gato
(0 en 0)</t>
  </si>
  <si>
    <t># de casos confirmados de rabia humana transmitida por perro y gato</t>
  </si>
  <si>
    <t>1.3.2.1.9</t>
  </si>
  <si>
    <t>Apoyar los programas de DPS y otras entidades públicas o privadas, dirigido a población de pobreza extrema y madres cabeza de hogar</t>
  </si>
  <si>
    <t>100% de avance en apoyo</t>
  </si>
  <si>
    <t>% de apoyo de avance de apoyo</t>
  </si>
  <si>
    <t>Reducir los factores de riesgo de las enfermedades crónicas no transmisibles
(De N.D a 70% prevalencia actividad física de 15 a 17 años; 30% prevalencia actividad física en adultos de 18 a 64 años; 16 años de edad promedio de inicio en consumo de cigarrillo)</t>
  </si>
  <si>
    <t>Prevalencia de actividad física global en adolescentes entre 15 y 17 años y Prevalencia de actividad física global entre 18 y 64 años. 
Edad promedio de inicio del consumo de cigarrillos en población menor de 18 años</t>
  </si>
  <si>
    <t>SALUD PÚBLICA</t>
  </si>
  <si>
    <t>1.3.3.1.1</t>
  </si>
  <si>
    <t>Promocionar la estrategia de vacunación sin barreras en un 100%</t>
  </si>
  <si>
    <t>Porcentaje de aplicación de la estrategia</t>
  </si>
  <si>
    <t>&gt;95%</t>
  </si>
  <si>
    <t>Desarrollar actividades de promoción de la salud y prevención de riesgos en poblaciones en condiciones de mayor vulnerabilidad en el 100% de las veredas del municipio
(N.D a 100%)</t>
  </si>
  <si>
    <t>Porcentaje de veredas con actividades de promoción de la salud y prevención de riesgos en poblaciones en condiciones de mayor vulnerabilidad</t>
  </si>
  <si>
    <t>1.3.3.1.2</t>
  </si>
  <si>
    <t>Mejoramiento alimentario nutricional de infancia, adolescencia y adulto mayor. (Mantener en 0% las muertes por desnutrición)</t>
  </si>
  <si>
    <t>Porcentaje (0%) de mantenimiento del indicador en 0%</t>
  </si>
  <si>
    <t>Fortalecer en el 70% la participación social y comunitaria en la acciones de la promoción de la salud y prevención de riesgos
(N.D a 70%)</t>
  </si>
  <si>
    <t>Porcentaje de acciones de promoción de salud con participación social</t>
  </si>
  <si>
    <t>1.3.3.1.3</t>
  </si>
  <si>
    <t>Realización de cuatro (4) estrategias de promoción de los derechos sexuales y reproductivos</t>
  </si>
  <si>
    <t>Número de estrategias realizadas</t>
  </si>
  <si>
    <t>Número</t>
  </si>
  <si>
    <t>Verificar en el 80% las acciones de salud de la red unidos en el municipio
(N.D a 80%)</t>
  </si>
  <si>
    <t>Porcentaje de verificación de las acciones de salud de la red unidos</t>
  </si>
  <si>
    <t>1.3.3.1.4</t>
  </si>
  <si>
    <t>Realizar acompañamiento en un veinte por ciento (20%) a la implementación en las instituciones de programas de promoción y prevención sobre los efectos nocivos del consumo de sustancias psicoactivas</t>
  </si>
  <si>
    <t>Porcentaje (20%) de acompañamiento realizado</t>
  </si>
  <si>
    <t xml:space="preserve">SALUD </t>
  </si>
  <si>
    <t>Fortalecer la coordinación intersectorial e interinstitucional en las acciones de salud en un 70%
(N.D a 70%)</t>
  </si>
  <si>
    <t>Porcentaje de acciones de salud con coordinación intersectorial e interinstitucional</t>
  </si>
  <si>
    <t>1.3.3.1.5</t>
  </si>
  <si>
    <t>Continuidad en la implementación del modelo de servicios amigables para atención en salud sexual y reproductiva, para los y las adolescentes USA</t>
  </si>
  <si>
    <t>Número de modelos implementados</t>
  </si>
  <si>
    <t>Vigilar en el 30% que las ARP desarrollen actividades de promoción de la salud y reorientación de los servicios de prevención de riesgos de la salud y riesgos profesionales-ocupacionales en las poblaciones afiliadas a ARP
(0% a 30%)</t>
  </si>
  <si>
    <t>Porcentaje de cobertura de acciones de IEC y/o sensibilización en derechos y deberes en salud y reorientación de servicios en la población trabajadora por ARP</t>
  </si>
  <si>
    <t>1.3.3.1.6</t>
  </si>
  <si>
    <t>Atención integral en los niños y las niñas, jóvenes y mayores de tercera edad en: salud, alimentación, orientación sicológico. Personas atendidas cuatro mil (4.000)</t>
  </si>
  <si>
    <t>Número de personas atendidas</t>
  </si>
  <si>
    <t>1.3.3.1.7</t>
  </si>
  <si>
    <t>(Mantener) Continuidad en el apoyo al programa de mejoramiento alimentario y nutricional (Restaurante escolar y MANA infantil)</t>
  </si>
  <si>
    <t>Porcentaje (%) de avance en apoyo al programa</t>
  </si>
  <si>
    <t>Verificar y evaluar la implementación del sistema de información del menor trabajador en el municipio
(0% a 5%)</t>
  </si>
  <si>
    <t>Porcentaje de verificación y evaluación</t>
  </si>
  <si>
    <t>PREVENCIÓN, VIGILANCIA y CONTROL DE RIESGOS PROFESIONALES</t>
  </si>
  <si>
    <t>Implementar el programa de prevención, vigilancia y control de riesgos profesionales, con el fin de promover acciones de inspección, vigilancia y control</t>
  </si>
  <si>
    <t>1.3.4.1.1</t>
  </si>
  <si>
    <t>Vigilar que el 30% de las ARP desarrollen actividades de promoción de la salud y reorientación a los servicios de prevención de riesgos profesionales - ocupacionales en la población afiliadas a ARP</t>
  </si>
  <si>
    <t>DEPORTE y RECREACIÓN</t>
  </si>
  <si>
    <t>(# de habitantes vinculados a la actividad física, la recreación, la educación física y el deporte/# total de población)*100</t>
  </si>
  <si>
    <t>DEPORTE ASOCIADO</t>
  </si>
  <si>
    <t>1.4.1.1.1</t>
  </si>
  <si>
    <t>Apoyo a la participación de deportistas en los juegos departamentales y campesinos</t>
  </si>
  <si>
    <t>Porcentaje (%) de apoyo realizado</t>
  </si>
  <si>
    <t>1.4.1.1.2</t>
  </si>
  <si>
    <t>Desarrollo del proyecto "Deporte social comunitario para todos"</t>
  </si>
  <si>
    <t>Número de proyectos formulados</t>
  </si>
  <si>
    <t>0</t>
  </si>
  <si>
    <t>Porcentaje (%) de implementación</t>
  </si>
  <si>
    <t>DEPOTE ESTUDIANTIL y FORMATIVO</t>
  </si>
  <si>
    <t>Generar en los niños y jóvenes hábitos de salud corporal, mental y desarrollo integral por medio de los procesos de iniciación, fundamentación, perfeccionamiento técnico y competición deportiva,</t>
  </si>
  <si>
    <t>1.4.2.1.1</t>
  </si>
  <si>
    <t>Fortalecimiento de los centros de iniciación y formación deportiva</t>
  </si>
  <si>
    <t>Incrementar el número de medallas obtenidas en eventos regionales y departamentales en un treinta por ciento (30%)
(N.D al 30%)</t>
  </si>
  <si>
    <t>Aumento en el número de medallas de oro, plata y bronce obtenidas en los eventos durante el cuatrienio</t>
  </si>
  <si>
    <t xml:space="preserve"> de modo que se contribuya al establecimiento de una cultura deportiva orientada al aprovechamiento del tiempo libre, el sentido de pertenencia, la construcción de valores y el rescate de la sana competencia</t>
  </si>
  <si>
    <t>1.4.2.1.2</t>
  </si>
  <si>
    <t>Juegos escolares e intercolegiados</t>
  </si>
  <si>
    <t>Número de juegos escolares e intercolegiados apoyados</t>
  </si>
  <si>
    <t>ACTIVIDAD FÍSICA COMUNITARIA y RECREACIÓN</t>
  </si>
  <si>
    <t>1.4.3.1.1</t>
  </si>
  <si>
    <t>Realización de seis (6) vacaciones recreativas rurales y urbanas</t>
  </si>
  <si>
    <t>Número de vacaciones recreativas realizadas</t>
  </si>
  <si>
    <t>1.4.3.1.2</t>
  </si>
  <si>
    <t>Atención comunitaria con el programa "Por su salud muévase pues"</t>
  </si>
  <si>
    <t>Mantener alrededor del 60% la participación en la actividad del deporte, la recreación y la educación física en niños, niñas y jóvenes vinculados a entidades educativas, a través de los juegos intercolegiados durante el período de gobierno
(N.D a 60%)</t>
  </si>
  <si>
    <t>(Porcentaje de estudiantes vinculados a la actividad del deporte, la recreación y la educación física/# total de estudiantes vinculados)*100</t>
  </si>
  <si>
    <t>INFRAESTRUCTURA DEPORTIVA</t>
  </si>
  <si>
    <t>1.4.4.1.1</t>
  </si>
  <si>
    <t>Realizar el diagnóstico de la infraestructura deportiva para identificar el estado general de estos escenarios en el municipio</t>
  </si>
  <si>
    <t>Diagnóstico infraestructura deportiva-recreativa realizado</t>
  </si>
  <si>
    <t>Diagnóstico</t>
  </si>
  <si>
    <t>1.4.4.1.2</t>
  </si>
  <si>
    <t>Dotación de un (1) gimnasio al aire libre</t>
  </si>
  <si>
    <t>Número de gimnasios dotados</t>
  </si>
  <si>
    <t>1.4.4.1.3</t>
  </si>
  <si>
    <t>Número de escenarios deportivos</t>
  </si>
  <si>
    <t>CULTURA</t>
  </si>
  <si>
    <t>Incrementar en un 2'% la cobertura para el acceso a la creación, producción y disfrute de las diversas manifestaciones culturales
(N.D a 20%)</t>
  </si>
  <si>
    <t>Porcentaje de cobertura para acceder y disfrutar las manifestaciones culturales</t>
  </si>
  <si>
    <t>OPTIMIZACIÓN DE LA INFRAESTRUCTURA CULTURAL DEL MUNICIPIO</t>
  </si>
  <si>
    <t>INFRAESTRUCTURA CULTURAL</t>
  </si>
  <si>
    <t>1.5.1.1.1</t>
  </si>
  <si>
    <t>Avanzar en el proceso de titularización del teatro municipal</t>
  </si>
  <si>
    <t>Porcentaje (%) de avance en el proceso de titularización</t>
  </si>
  <si>
    <t>1.5.1.1.2</t>
  </si>
  <si>
    <t>Realización de acciones de protección al patrimonio histórico y cultural</t>
  </si>
  <si>
    <t>Número de bienes patrimoniales protegidos</t>
  </si>
  <si>
    <t>1.5.1.1.3</t>
  </si>
  <si>
    <t>Creación y dotación de la escuela de artes y oficios</t>
  </si>
  <si>
    <t>Número de escuelas creadas</t>
  </si>
  <si>
    <t>Porcentaje (%) de dotación</t>
  </si>
  <si>
    <t>Porcentaje (%) de operación</t>
  </si>
  <si>
    <t>1.5.1.1.4</t>
  </si>
  <si>
    <t>Entrega de cuatro (4) dotaciones para la Casa de la Cultura y sus programas</t>
  </si>
  <si>
    <t>Número de dotaciones creadas</t>
  </si>
  <si>
    <t>Porcentaje de establecimientos educativos con accesos a servicios culturales</t>
  </si>
  <si>
    <t>APOYO A PROCESOS DE ORGANIZACIÓN DE ARTISTAS y GESTORES CULTURALES DE FORMACIÓN ARTÍSTICA</t>
  </si>
  <si>
    <t>PROMOCIÓN Y FORTALECIMIENTO DE LAS EXPRESIONES ARTÍSTICAS y CULTURALES</t>
  </si>
  <si>
    <t>1.5.2.1.1</t>
  </si>
  <si>
    <t>Apoyo a díez (10) programas de bandas y escuelas de música del orden municipal</t>
  </si>
  <si>
    <t>Número de programas apoyados</t>
  </si>
  <si>
    <t>1.5.2.1.2</t>
  </si>
  <si>
    <t>Apoyo a dos (2) organizaciones culturales del municipio</t>
  </si>
  <si>
    <t>Número de organizaciones culturales apoyadas</t>
  </si>
  <si>
    <t>1.5.2.1.3</t>
  </si>
  <si>
    <t>Número de acciones de fortalecimiento a medios de comunicación realizados</t>
  </si>
  <si>
    <t>1.5.2.1.4</t>
  </si>
  <si>
    <t>Apoyo a nueve (9) procesos artísticos</t>
  </si>
  <si>
    <t>Número de procesos artísticos apoyados</t>
  </si>
  <si>
    <t>SISTEMA DE CULTURA E INVESTIGACIÓN CULTURAL, BASE DE NUESTRA IDENTIDAD</t>
  </si>
  <si>
    <t>SISTEMA CULTURAL</t>
  </si>
  <si>
    <t>1.5.3.1.1</t>
  </si>
  <si>
    <t>Desarrollo de la Política-Plan de Cultura del Municipio</t>
  </si>
  <si>
    <t>Número de políticas-plan elaboradas</t>
  </si>
  <si>
    <t>Incrementar la cobertura en la protección y conservación del patrimonio material e inmaterial en un 10%
(N.D 10%)</t>
  </si>
  <si>
    <t>Porcentaje de cobertura en protección de bienes de interés patrimonial</t>
  </si>
  <si>
    <t>1.5.3.1.2</t>
  </si>
  <si>
    <t>Fortalecimiento de la Biblioteca Pública Municipal</t>
  </si>
  <si>
    <t>Número de bibliotecas fortalecidas</t>
  </si>
  <si>
    <t>1.5.3.1.3</t>
  </si>
  <si>
    <t>Avance del cuarenta por ciento (40%) en la organización del archivo histórico</t>
  </si>
  <si>
    <t>Porcentaje (%) de avance</t>
  </si>
  <si>
    <t>1.5.3.1.4</t>
  </si>
  <si>
    <t>Desarrollo de la Cátedra Municipal</t>
  </si>
  <si>
    <t>Número de cátedras formuladas</t>
  </si>
  <si>
    <t>Porcentaje (%) de avance en la implementación de la cátedra</t>
  </si>
  <si>
    <t>1.5.3.1.5</t>
  </si>
  <si>
    <t>Promoción de veinte (20) fiestas tradicionales culturales del municipio. (Como fiestas de la rosa, cumpleaños del municipio, entre otras)</t>
  </si>
  <si>
    <t>Número de fiestas promovidas</t>
  </si>
  <si>
    <t>1.5.3.1.6</t>
  </si>
  <si>
    <t>Desarrollo de tres (3) procesos culturales en la zona rural</t>
  </si>
  <si>
    <t>Número de procesos desarrollados</t>
  </si>
  <si>
    <t>1.5.3.1.7</t>
  </si>
  <si>
    <t>Desarrollo de tres (3) estrategias para conservación y divulgación de nuestro Patrimonio Histórico Cultural</t>
  </si>
  <si>
    <t>Número de estrategias desarrolladas</t>
  </si>
  <si>
    <t>GRUPOS VULNERABLES</t>
  </si>
  <si>
    <t>Fortalecer la reconstrucción del tejido social y la dignidad de comunidades, priorizando las excluidas, mediante su inclusión participativa en programas que garanticen la protección del derecho a la vida, a la integridad y a la seguridad de las personas, al igual que su derecho a un nivel de vida adecuado</t>
  </si>
  <si>
    <t>Garantizar la presencia activa de la administración municipal en las 23 veredas del municipio en la promoción y defensa de los derechos humanos y el derecho internacional humanitario
(N.D a 100%)</t>
  </si>
  <si>
    <t>(# de veredas atendidas integralmente/# total de veredas)*100</t>
  </si>
  <si>
    <t>POR LA DIGNIDAD DE LAS PERSONAS EN SITUACIÓN DE DESPLAZAMIENTO FORZADO: Restablecimiento de derechos</t>
  </si>
  <si>
    <t>Atender en coordinación con el SNAIPD, a la población en situación de desplazamiento, de acuerdo a los objetivos derivados del PIU, con prioridad en enfoque diferencial</t>
  </si>
  <si>
    <t>1.6.1.1.1</t>
  </si>
  <si>
    <t>Mantener afiliadas en salud al ciento por ciento (100%) de personas en condición de desplazamiento</t>
  </si>
  <si>
    <t>Porcentaje (100%) de afiliaciones</t>
  </si>
  <si>
    <t>1.6.1.1.2</t>
  </si>
  <si>
    <t>Inclusión - Población desplazada y víctimas de la violencia al plan de intervenciones colectivas en salud</t>
  </si>
  <si>
    <t>Número de PIC con inclusión de desplazados, ejecutado</t>
  </si>
  <si>
    <t>1.6.1.1.3</t>
  </si>
  <si>
    <t>Elaboración del Plan Integral Único PIU.</t>
  </si>
  <si>
    <t>Número de Planes elaborados</t>
  </si>
  <si>
    <t>Porcentaje (%) de avance en ejecución del plan</t>
  </si>
  <si>
    <t>APOYO INTEGRAL A LAS VÍCTIMAS DEL CONFLICTO ARMADO</t>
  </si>
  <si>
    <t>Atender en coordinación con la Comisión Nacional de Reparación y Reconciliación y demás instituciones del Sistema de Justicia y Paz, la atención integral a la población víctima del conflicto. Con prioridad de género, niños, niñas y adolescentes</t>
  </si>
  <si>
    <t>1.6.2.1.1</t>
  </si>
  <si>
    <t>Conformación del Comité Territorial de Justicia Transicional</t>
  </si>
  <si>
    <t>Número de comités creados y operando</t>
  </si>
  <si>
    <t>Impulsar y fomentar el conocimiento de los planes y programas que amparan a la población infantil y adolescente del municipio</t>
  </si>
  <si>
    <t>INFANCIA y ADOLESCENCIA</t>
  </si>
  <si>
    <t>1.6.3.1.1</t>
  </si>
  <si>
    <t>Desarrollo de la política pública de infancia, adolescencia y familia</t>
  </si>
  <si>
    <t>Número de políticas desarrolladas</t>
  </si>
  <si>
    <t>Porcentaje de avance en la implementación de la política pública</t>
  </si>
  <si>
    <t>1.6.3.1.2</t>
  </si>
  <si>
    <t>Operación al ciento por ciento (100%) de la mesa de infancia y adolescencia</t>
  </si>
  <si>
    <t>Porcentaje (%) de avance de la Mesa en funcionamiento</t>
  </si>
  <si>
    <t>Porcentaje de aumento en el acceso a servicios sociales y culturales</t>
  </si>
  <si>
    <t>1.6.3.1.3</t>
  </si>
  <si>
    <t>Realización de cuatro (4) acciones de sensibilización social ampliada sobre las consecuencias del trabajo infantil. Divulgación de la normatividad</t>
  </si>
  <si>
    <t>Número de acciones realizadas</t>
  </si>
  <si>
    <t>1.6.3.1.4</t>
  </si>
  <si>
    <t>Realización de una (1) capacitación a funcionarios institucionales respecto de la situación de niñas y niños víctimas de trabajo infantil. Énfasis en sus peores formas</t>
  </si>
  <si>
    <t>Número de capacitaciones realizadas</t>
  </si>
  <si>
    <t>Brindar atención y fortalecimiento a las formas organizativas, participativas e incluyentes de la juventud para su desarrollo integral</t>
  </si>
  <si>
    <t>JÓVENES y DESARROLLO</t>
  </si>
  <si>
    <t>1.6.4.1.1</t>
  </si>
  <si>
    <t>Estructuración de la Política Pública de Juventud</t>
  </si>
  <si>
    <t>Número de políticas estructuradas</t>
  </si>
  <si>
    <t xml:space="preserve">Porcentaje (%) de avance en la implementación </t>
  </si>
  <si>
    <t>1.6.4.1.2</t>
  </si>
  <si>
    <t>Apoyo al funcionamiento del Consejo Municipal de Juventud - CMJ</t>
  </si>
  <si>
    <t>Número de consejos funcionando</t>
  </si>
  <si>
    <t>1.6.4.1.3</t>
  </si>
  <si>
    <t>Continuar con la inclusión de Juventud al Plan de Intervenciones colectivas en salud</t>
  </si>
  <si>
    <t>Número de PIC con inclusión de juventud, ejecutado</t>
  </si>
  <si>
    <t>Brindar y proporcionar mediante estrategias de políticas sociales condiciones que mejoren la calidad de vida de los adultos mayores y una dignificación en su envejecimiento</t>
  </si>
  <si>
    <t>1.6.5.1.1</t>
  </si>
  <si>
    <t>Programa de atención integral a la población adulta mayor y anciana</t>
  </si>
  <si>
    <t>Número de programas desarrollados</t>
  </si>
  <si>
    <t>Porcentaje (%) de avance en implementación</t>
  </si>
  <si>
    <t>Garantizar la implementación de una política pública que cree condiciones hacía la realización de los derechos de las mujeres, la igualdad de oportunidades y la equidad de géneros en el municipio
(N.D a 1)</t>
  </si>
  <si>
    <t>Política pública implementada</t>
  </si>
  <si>
    <t>DISCAPACIDAD "Todos somos capaces"</t>
  </si>
  <si>
    <t>Proporcionar condiciones que mejoren la calidad de vida de los discapacitados y su dignificación como personas útiles a la sociedad</t>
  </si>
  <si>
    <t>TODOS SOMOS CAPACES</t>
  </si>
  <si>
    <t>1.6.6.1.1</t>
  </si>
  <si>
    <t>Programa de atención integral a la población con discapacidad</t>
  </si>
  <si>
    <t>Número de programas formulados</t>
  </si>
  <si>
    <t>COMUNIDADES LGTB</t>
  </si>
  <si>
    <t>Orientar la participación a los diversos grupos humanos del municipio que les permita garantizar la igualdad de derechos y oportunidades</t>
  </si>
  <si>
    <t>INCLUSIÓN y APOYO A COMUNIDADES LGTB</t>
  </si>
  <si>
    <t>1.6.7.1.1</t>
  </si>
  <si>
    <t>Conformar y apoyar la operación de la mesa de trabajo de Lesbianas, Gays, Transexuales y Bisexuales</t>
  </si>
  <si>
    <t>Mesa de trabajo creada y apoyada</t>
  </si>
  <si>
    <t>Mesa</t>
  </si>
  <si>
    <t>IGUALDAD y OPORTUNIDADES PARA LAS MUJERES</t>
  </si>
  <si>
    <t>Impulsar programas de participación y fomento de oportunidades para el mejoramiento de la calidad de vida de las mujeres del municipio</t>
  </si>
  <si>
    <t>INSTITUCIONALIZACIÓN DE LA POLÍTICA DE EQUIDAD DE GÉNERO</t>
  </si>
  <si>
    <t>1.6.8.1.1</t>
  </si>
  <si>
    <t>Formular e implementar la política pública municipal de la mujer con enfoque de derechos y equidad de género</t>
  </si>
  <si>
    <t>1.6.8.1.2</t>
  </si>
  <si>
    <t>Número de organizaciones fortalecidas</t>
  </si>
  <si>
    <t>1.6.8.1.3</t>
  </si>
  <si>
    <t xml:space="preserve">Crear una instancia rectora de la política pública en la estructura municipal que asegure la transversalidad del enfoque de género en la planeación del desarrollo. </t>
  </si>
  <si>
    <t>Instancia creada y funcionando</t>
  </si>
  <si>
    <t>Instancia</t>
  </si>
  <si>
    <t>1.6.8.1.4</t>
  </si>
  <si>
    <t>Diseñar e implementar un programa de formación y capacitación a funcionarios - transversalidad de la política de género</t>
  </si>
  <si>
    <t>Programa diseñado</t>
  </si>
  <si>
    <t>Programa</t>
  </si>
  <si>
    <t>Acciones ejecutadas</t>
  </si>
  <si>
    <t>Acción</t>
  </si>
  <si>
    <t xml:space="preserve">Número de programas y proyectos con enfoque de género </t>
  </si>
  <si>
    <t>1.6.9.1.1</t>
  </si>
  <si>
    <t>1.6.9.1.2</t>
  </si>
  <si>
    <t>Garantizar el acceso a la oferta institucional de la población afro</t>
  </si>
  <si>
    <t>Porcentaje de apoyo con estrategias afro</t>
  </si>
  <si>
    <t>DESARROLLO COMUNITARIO (PARTICIPACIÓN CIUDADANA Y COMUNITARIA)</t>
  </si>
  <si>
    <t>Garantizar el ejercicio de la organización y participación ciudadana, la
reconstrucción del tejido social, el control ciudadano a la gestión pública y la
recuperación de la confianza en lo público para lograr el ejercicio pleno de la
participación y el desarrollo de la democracia participativa de manera
complementaria a la democracia representativa.</t>
  </si>
  <si>
    <t>DESARROLLO SOCIAL COMUNITARIO</t>
  </si>
  <si>
    <t>Fortalecer los espacios de participación ciudadana municipal</t>
  </si>
  <si>
    <t>COMUNIDAD AL DERECHO</t>
  </si>
  <si>
    <t>1.7.1.1.1</t>
  </si>
  <si>
    <t>Elaboración de siete (7) diagnósticos y caracterizaciones, y evaluación y ajuste de 33 existentes, de juntas de acción comunal y asociaciones existentes</t>
  </si>
  <si>
    <t>Número de diagnósticos y caracterizaciones realizadas</t>
  </si>
  <si>
    <t>1.7.1.1.2</t>
  </si>
  <si>
    <t>Fortalecimiento organizacional, formación y capacitación a las juntas de acción comunal (incluye la creación de 5 nuevas juntas)</t>
  </si>
  <si>
    <t>Número de juntas formadas y legalizadas</t>
  </si>
  <si>
    <t>33</t>
  </si>
  <si>
    <t>Número de juntas apoyadas y capacitadas en fortalecimiento organizacional</t>
  </si>
  <si>
    <t>1.7.1.1.3</t>
  </si>
  <si>
    <t>Implementación del programa nacional formador de formadores comunales - Fase III</t>
  </si>
  <si>
    <t>Número de programas implementados</t>
  </si>
  <si>
    <t>Construir una tierra de oportunidades con mejores índices de calidad de vida, y hacer de Angelópolis un municipio más humano, incluyente, equitativo, con valor de lo público, responsable con el ambiente y la alianza subregional,</t>
  </si>
  <si>
    <t>DESARROLLO SOCIAL - Angelópolis Garantía de Bienestar</t>
  </si>
  <si>
    <t>Entrega de subsidio de transporte para la educación dentro y fuera del Mpio de Angelópolis.</t>
  </si>
  <si>
    <t>Mejorar la situación de salud de los habitantes del Municipio de Angelópolis mediante la integración de esfuerzos de los actores del Sistema General de Seguridad Social en Salud, la coordinación y concertación intersectorial, encaminados al desarrollo de la cultura de anticipación a los riesgos en salud, en ejercicio de las competencias de inspección, vigilancia y control, con amplia participación comunitaria aplicando la estrategia de Atención Primaria en Salud</t>
  </si>
  <si>
    <t>Diagnosticar y mejorar la infraestructura deportiva, recreativa y de educación física en el Municipio de Angelópolis</t>
  </si>
  <si>
    <t>Promover al cultura en el 100% de los establecimientos educativos de Angelópolis
(N.D a 100%)</t>
  </si>
  <si>
    <t>Realización de ocho (8) acciones de fortalecimiento de la emisora radio Angelópolis y otros medios comunitarios de comunicación</t>
  </si>
  <si>
    <t>CONSTRUYENDO PRESENTE y FUTURO CON LA INFANCIA y ADOLESCENCIA POR Angelópolis</t>
  </si>
  <si>
    <t>Angelópolis APUESTA A LOS JÓVENES</t>
  </si>
  <si>
    <t>ADULTO MAYOR "Valuarte de Angelópolis"</t>
  </si>
  <si>
    <t>GRANDES ABUELOS DE Angelópolis</t>
  </si>
  <si>
    <t>Promover y fortalecer las organizaciones municipales de mujeres en Angelópolis</t>
  </si>
  <si>
    <t>Garantizar una oferta educativa con criterios de equidad, calidad y eficiencia para facilitar la formación de Angelopolitanos competentes, emprendedores y comprometidos con el desarrollo de la localidad y la región</t>
  </si>
  <si>
    <t>Mejorar la calidad y pertinencia del servicio educativo, para promover el desarrollo humano integral de los Angelopolitanos, a través de la integración de los actores responsables de la Educación</t>
  </si>
  <si>
    <t>Mantener la salud de los Angelopolitanos a través de procedimientos, intervenciones y actividades dirigidas a promoción de la salud y calidad de vida, prevención y control de riesgos y daños en salud, complementarios con las acciones de promoción, prevención y atención del Plan Obligatorio del Sistema General de Seguridad Social en Salud</t>
  </si>
  <si>
    <t>Promover y desarrollar la base para el deporte competitivo de orden municipal que tiene como objetivo el alto rendimiento de los deportistas Angelopolitanos</t>
  </si>
  <si>
    <t>Mantener por encima del 30% el acceso de las y los Angelopolitanos, al disfrute de los derechos sociales y culturales
(N.D a &gt;= 30%)</t>
  </si>
  <si>
    <t>Lograr cobertura universal (100%) en salud de la población Angelopolitana de los niveles 1 y 2 del SISBEN
(N.D a 100%)</t>
  </si>
  <si>
    <t>Mantener la prestación de servicios de salud de manera oportuna, eficiente y con calidad a la población Angelopolitana</t>
  </si>
  <si>
    <t>Promover y fomentar la actividad física sistematizada, el Deporte, la Recreación y Educación Física para satisfacer las necesidades de la población Angelopolitana</t>
  </si>
  <si>
    <t>Contribuir en la prevalencia de la actividad física, la recreación, la educación física, deporte y buen uso del tiempo libre en el treinta por ciento (30%) de la población Angelopolitana, para mejorar el índice de esperanza de vida de la población
(N.D al 30%</t>
  </si>
  <si>
    <t>Contribuir al mejoramiento de la calidad de vida, la salud y la cohesión social de la población a a través de un acceso equitativo y justo a la vivencia de la actividad física, recreación, el ocio y la utilización del tiempo libre por parte de la población Angelopolitana</t>
  </si>
  <si>
    <t>Fomentar, consolidar y rescatar los valores, expresiones artísticas y culturales, buscando fortalecer y preservar la identidad cultural de la población Angelopolitana, consolidando procesos de formación y participación democrática</t>
  </si>
  <si>
    <t>Construcción, ampliación, mejoramiento y dotación de espacios culturales, para facilitar el acceso a bienes y servicios culturales de la población Angelopolitana</t>
  </si>
  <si>
    <t>Promover procesos de formación para incentivar la gestión, creación artística y cultural, buscando generar en la sociedad Angelopolitana mayores capacidades, habilidades y conocimientos, para consolidar el desarrollo artístico y cultural del Municipio</t>
  </si>
  <si>
    <t>Rescatar, promover e investigar la memoria cultural del municipio y fortalecer el sistema de cultura para consolidar procesos de identidad cultural Angelopolitana</t>
  </si>
  <si>
    <t>Número de políticas públicas formuladas para la mujer Angelopolitana</t>
  </si>
  <si>
    <t>Secretaría de Salud y Bienestar Social con funciones de Educación</t>
  </si>
  <si>
    <t>Secretaría de Salud y Bienestar Social con funciones de Educación
Secretaría de Planeación y Desarrollo Territorial</t>
  </si>
  <si>
    <t>DEPORTE ESTUDIANTIL y FORMATIVO</t>
  </si>
  <si>
    <t>META
RESULTADO
2020/2023</t>
  </si>
  <si>
    <t>TOTAL
META
PRODUCTO
2020-2023</t>
  </si>
  <si>
    <t>PLAN DE ACCIÓN 2020</t>
  </si>
  <si>
    <t>ESTADO
DIC.19</t>
  </si>
  <si>
    <t>ESTADO
DIC. 19</t>
  </si>
  <si>
    <t>Programado
2020</t>
  </si>
  <si>
    <t>Avance
2020</t>
  </si>
  <si>
    <t>Total Ejecutado a 2020</t>
  </si>
  <si>
    <t>OBJETIVO GENERAL</t>
  </si>
  <si>
    <t>EJE</t>
  </si>
  <si>
    <t>OBJETIVO ESTRATEGICO</t>
  </si>
  <si>
    <t>Generar las condiciones físicas, financieras y humanas necesarias para garantizar la reactivación económica del municipio, la dinamización del potencial de desarrollo como polo subregional, turístico, agroindustrial y de servicios</t>
  </si>
  <si>
    <t>el mejoramiento de los ingresos, haciendo un incremento significativo en la capacidad de consumo de la población, con miras a mejorar la calidad de vida de sus habitantes y la consolidación del municipio a nivel regional</t>
  </si>
  <si>
    <t>OBJETIVO SECTORIAL</t>
  </si>
  <si>
    <t>OBJETIVO PROGRAMÁTICO</t>
  </si>
  <si>
    <t>PLAN DE ACCIÓN 2012</t>
  </si>
  <si>
    <t>PROMOCIÓN DEL DESARROLLO</t>
  </si>
  <si>
    <t>Contribuir al desarrollo productivo y competitivo de los sectores económicos del municipio y al mejoramiento de la calidad de vida la población rural y urbana, con el desarrollo de oportunidades de empleo y crecimiento económico, en concordancia con el principio constitucional de participación comunitaria, que se materializa con los colectivos de producción, comercialización y servicios, así como con comunidades de desarrollo armónico</t>
  </si>
  <si>
    <t>Aportar un incremento del 3% a la tasa de ocupación, como producto de las políticas municipales
(N.D a 3%)</t>
  </si>
  <si>
    <t>Tasa de ocupación</t>
  </si>
  <si>
    <t>CAPACITACIÓN Y PROMOCIÓN DE PROCESOS DE PRODUCCIÓN, DISTRIBUCIÓN, COMERCILIZACIÓN Y ACCESO A FUENTES DE FINANCIACIÓN</t>
  </si>
  <si>
    <t>GENERACIÓN DE EMPLEO</t>
  </si>
  <si>
    <t>2.1.1.1.1</t>
  </si>
  <si>
    <t>Asesoría y acompañamiento para creación y operación de empresas o famiempresas</t>
  </si>
  <si>
    <t>Creación de 2 empresas o famiempresas</t>
  </si>
  <si>
    <t>Número de empresas creadas y operando</t>
  </si>
  <si>
    <t>Asesoría y acompañamiento a 10 empresas</t>
  </si>
  <si>
    <t>Número de empresas asesoradas y acompañadas</t>
  </si>
  <si>
    <t>Incrementar en un 15% el número de turistas como resultado de la política del municipio
(N.D a &gt;15%</t>
  </si>
  <si>
    <t>Porcentaje de incremento de turistas</t>
  </si>
  <si>
    <t>2.1.1.1.2</t>
  </si>
  <si>
    <t>Capacitación y formación para constitución de colectivos de producción, comercialización y de prestación de servicios</t>
  </si>
  <si>
    <t>Capacitación y Formación de 200 personas (100 hombres y 100 mujeres)</t>
  </si>
  <si>
    <t>Número de personas formadas y capacitadas</t>
  </si>
  <si>
    <t>2.1.1.1.3</t>
  </si>
  <si>
    <t>Fortalecimiento de la cooperativa de transportadores para el área rural</t>
  </si>
  <si>
    <t>Realización 2 acciones de fortalecimiento</t>
  </si>
  <si>
    <t>PROMOCIÓN Y DIVERSIFICACIÓN DE LA OFERTA TURÍSTICA DEL MUNICIPIO</t>
  </si>
  <si>
    <t>2.2.1.1.1</t>
  </si>
  <si>
    <t>Desarrollo del Plan Estratégico Turístico Municipal (PETM) acorde con las potencialidades municipales y las políticas turísticas del departamento y la nación</t>
  </si>
  <si>
    <t>Formulación del Plan Estratégico Turístico Municipal</t>
  </si>
  <si>
    <t>Número de planes formulados</t>
  </si>
  <si>
    <t>Incrementar en un 30% la participación de las comunidades que habitan en los sitios turísticos en esta actividad
(N.D a 30%)</t>
  </si>
  <si>
    <t>Porcentaje de incremento en la participación</t>
  </si>
  <si>
    <t>Avance en al menos un 20% de ejecución del PETM</t>
  </si>
  <si>
    <t>Porcentaje (%) de avance en la ejecución del plan</t>
  </si>
  <si>
    <t>2.2.1.1.2</t>
  </si>
  <si>
    <t>Fortalececimiento del Desarrollo Turístico del Municipio</t>
  </si>
  <si>
    <t xml:space="preserve">Implementación de 8 actividades de fortalecimiento al Desarrollo Turístico </t>
  </si>
  <si>
    <t>Número de actividades implementadas</t>
  </si>
  <si>
    <t>2.2.1.1.3</t>
  </si>
  <si>
    <t>Realización de caminatas ecoturísticas</t>
  </si>
  <si>
    <t>Reactivación y realización de 4 caminatas ecoturísticas</t>
  </si>
  <si>
    <t>Número de caminatas ecoturísticas realizadas</t>
  </si>
  <si>
    <t>AGROPECUARIO</t>
  </si>
  <si>
    <t>INVESTIGACIÓN, ASISTENCIA TÉCNICA Y DESARROLLLO ORGANIZACIONAL</t>
  </si>
  <si>
    <t>Estructurar y fortalecer la capacidad institucional y funcional de la subsecretaría de medio ambiente y desarrollo rural del municipio, para responder a la demanda de servicios de las comunidades rurales en cuanto a asesoría, capacitación, gestión y acompañamiento de los procesos de desarrollo de políticas del sector agropecuario y ambiental</t>
  </si>
  <si>
    <t>Desarrollo del Plan Agropecuario Municipal (PAM) acorde con las potencialidades municipales  y las políticas agropecuarias del departamento y la nación</t>
  </si>
  <si>
    <t>Formulación del Plan Agropecuario Municipal</t>
  </si>
  <si>
    <t>Avance en al menos un 20% de ejecución del PAM</t>
  </si>
  <si>
    <t>Fortalecimiento de la cadena productiva de la caña de azúcar</t>
  </si>
  <si>
    <t xml:space="preserve">Realización de 24 intervenciones con asistencia técnica </t>
  </si>
  <si>
    <t>Número de intervenciones realizadas</t>
  </si>
  <si>
    <t>Fortalecimiento del Consejo Municipal de Desarrollo Rural CMDR</t>
  </si>
  <si>
    <t>Fortalecimiento y operación del Consejo Municipal de Desarrollo Rural CMDR</t>
  </si>
  <si>
    <t>Número de Consejos fortalecidos y operando</t>
  </si>
  <si>
    <t>2.2.1.1.4</t>
  </si>
  <si>
    <t xml:space="preserve">Desarrollo del Plan Agroindustrial Municipal </t>
  </si>
  <si>
    <t>Formulación del Plan Agroindustrial Municipal</t>
  </si>
  <si>
    <t>Avance en al menos un 25% de ejecución del PAM</t>
  </si>
  <si>
    <t>2.2.1.1.5</t>
  </si>
  <si>
    <t>Promoción de renglones agrícolas con alta potencialidad y proyección agroindustrial en la región</t>
  </si>
  <si>
    <t>Promoción de 2 renglones agrícolas con alta potencialidad y proyección agroindustrial en la región</t>
  </si>
  <si>
    <t xml:space="preserve">Número de renglones (subproyectos) desarrollados </t>
  </si>
  <si>
    <t>2.2.1.1.6</t>
  </si>
  <si>
    <t>Fortalecimiento de los mercados campesinos, mercado justo y agronegocios</t>
  </si>
  <si>
    <t>Ejecución de 16 eventos de fortalecimiento al mercadeo</t>
  </si>
  <si>
    <t>Número de eventos de mercadeo ejecutados</t>
  </si>
  <si>
    <t>2.2.1.1.7</t>
  </si>
  <si>
    <t>Construcción de garruchas como sistemas de comunicación favorecedores de la comercialización y desarrollo rural</t>
  </si>
  <si>
    <t>Construcción de cuatro (4) garruchas como sistemas de comunicación</t>
  </si>
  <si>
    <t>Número de garruchas construidas</t>
  </si>
  <si>
    <t>2.2.1.1.8</t>
  </si>
  <si>
    <t>Campañas de Sanidad Agropecuaria</t>
  </si>
  <si>
    <t>Realización de 8 campañas de sanidad agropecuaria</t>
  </si>
  <si>
    <t>Número de campañas realizadas</t>
  </si>
  <si>
    <t>FOMENTO DE PROYECTOS PRODUCTIVOS AGROPECUARIOS</t>
  </si>
  <si>
    <t>Fortalecer y apoyar al sector de la economía campesina que facilite y mejore la capacidad productiva, la permanencia y la convivencia de los pobladores del campo, para mantener una adecuada, abundante y variada oferta de productos agropecuarios, que garanticen la seguridad alimentaria municipal y genere excedentes hacia otros mercados que mejore los ingresos de los productores y las condiciones de la mujer rural</t>
  </si>
  <si>
    <t>PRODUCCIÓN COMPETITIVA</t>
  </si>
  <si>
    <t>2.2.2.1.1</t>
  </si>
  <si>
    <t>Desarrollo de un proyecto hortofrutícola</t>
  </si>
  <si>
    <t>Formulación de 1 proyecto hortofrutícola</t>
  </si>
  <si>
    <t>Avance en al menos el 20% de ejecución del Proyecto</t>
  </si>
  <si>
    <t>Porcentaje (%) de avance en la ejecución del proyecto</t>
  </si>
  <si>
    <t>2.2.2.1.2</t>
  </si>
  <si>
    <t>Desarrollo de un proyecto de ganadería de doble propósito con enfoque silvopastoril</t>
  </si>
  <si>
    <t>Avance en al menos el 50% de ejecución del Proyecto</t>
  </si>
  <si>
    <t>2.2.2.1.3</t>
  </si>
  <si>
    <t>Implementación del proyecto de "Fortalecimiento a la caficultura y cafés especiales"</t>
  </si>
  <si>
    <t>Avance en un 80% de implementación del Proyecto</t>
  </si>
  <si>
    <t>Porcentaje (%) de avance en la implementación del proyecto</t>
  </si>
  <si>
    <t>2.2.2.1.5</t>
  </si>
  <si>
    <t>Desarrollo del proyecto de "Agroecología como un modelo de migración a la agricultura limpia"</t>
  </si>
  <si>
    <t>Formulación de 1 proyecto "Agroecología como un modelo de migración a la agricultura limpia"</t>
  </si>
  <si>
    <t>DESARROLLO ECONÓMICO - Angelópolis Innovador, Emprendedor y Competitivo</t>
  </si>
  <si>
    <t>Incentivar el fortalecimiento del sector empresarial de Angelópolis, en aspectos como la asistencia técnica, mejoramiento de procesos, innovación, calidad, junto a procesos asociativos para la incursión a mercados</t>
  </si>
  <si>
    <t>Angelópolis RUTA TURÍSTICA PARA ANTIOQUIA Y EL MUNDO</t>
  </si>
  <si>
    <t>Garantizando la integración de las comunidades en las zonas de desarrollo del municipio, fortalecer el sector turismo como una actividad económica que tiene la capacidad de generar empleo y contribuir al desarrollo económico, social, cultural y ambiental que tiene el municipio de Angelópolis</t>
  </si>
  <si>
    <t>Construir, mejorar y dotar al municipio de una infraestructura física acorde con las necesidades y demandas de los habitantes,</t>
  </si>
  <si>
    <t>orientada a la movilidad, infraestructura social, económica e institucional que fortalezca el sistema productivo y garantice mayor competitividad</t>
  </si>
  <si>
    <t>META
RESULTADO
2012/2015</t>
  </si>
  <si>
    <t>EQUIPAMIENTO MUNICIPAL E INFRAESTRUCTURA PARA EL DESARROLLO</t>
  </si>
  <si>
    <t>Mejorar la infraestructura social, económica e institucional, base para el desarrollo municipal</t>
  </si>
  <si>
    <t>Índice de espacio público</t>
  </si>
  <si>
    <t>1,7 m2/hab</t>
  </si>
  <si>
    <t>EQUIPAMIENTO MUNICIPAL Y OBRAS DE INTERÉS SOCIAL COMUNITARIO E INSTITUCIONAL</t>
  </si>
  <si>
    <t>INFRAESTRUCTURA INSTITUCIONAL</t>
  </si>
  <si>
    <t>Remodelación de la infraestructura física del Palacio Municipal</t>
  </si>
  <si>
    <t>Número de unidades y acciones de remodelación  realizadas</t>
  </si>
  <si>
    <t>(# de plantas físicas educativas intervenidas/# total de plantas físicas)*100</t>
  </si>
  <si>
    <t>Realización de una (1) acción en gestión del proyecto de ampliación del auditorio municipal</t>
  </si>
  <si>
    <t>Número de acciones de gestión realizadas</t>
  </si>
  <si>
    <t>Realización de una (1) acción en gestión del proyecto de construcción de cubierta en placas y patios de recreo</t>
  </si>
  <si>
    <t>DOTACIÓN INSTITUCIONAL</t>
  </si>
  <si>
    <t>Número de vehículos adquiridos (motocicleta, vehículo de representación y máquina)</t>
  </si>
  <si>
    <t>EQUIPAMIENTO MUNICIPAL y COMUNITARIO</t>
  </si>
  <si>
    <t>Mantenimiento de parques públicos municipales</t>
  </si>
  <si>
    <t>Número de parques mantenidos</t>
  </si>
  <si>
    <t>Número de casetas construidas</t>
  </si>
  <si>
    <t>Número de casetas dotadas</t>
  </si>
  <si>
    <t>Número de estudios realizados</t>
  </si>
  <si>
    <t>PROYECTOS ESPECIALES</t>
  </si>
  <si>
    <t>Número de proyectos gestionados</t>
  </si>
  <si>
    <t>Porcentaje (%) de avance de ejecución de cada proyecto</t>
  </si>
  <si>
    <t>VIVIENDA</t>
  </si>
  <si>
    <t>Propiciar una política de vivienda de interés social municipal, con el fin de apoyar mediante subsidios complementarios a los proyectos de vivienda de interés social urbanos y rurales, que redunden en el mejoramiento de la calidad de vida de las familias más vulnerables, en concordancia con las políticas nacionales, equidad de género y promoción étnica</t>
  </si>
  <si>
    <t>POR UNA VIVIENDA DE VERDAD</t>
  </si>
  <si>
    <t>Promover y apoyar programas y proyectos de mejoramiento y construcción de viviendas de interés social, rescatando la dignidad de la familia, mediante la focalización de los grupos más vulnerables del municipio</t>
  </si>
  <si>
    <t>VIVIENDA DIGNA, SEGURA Y SALUDABLE</t>
  </si>
  <si>
    <t>Número de soluciones de vivienda construidas</t>
  </si>
  <si>
    <t>Número de familias beneficiarias</t>
  </si>
  <si>
    <t>Número de soluciones de viviendas mejoradas</t>
  </si>
  <si>
    <t>TRANSPORTE</t>
  </si>
  <si>
    <t>Aumentar en un 12.74% la extensión de vías pavimentadas en el municipio
(De 7.26% a 20%)</t>
  </si>
  <si>
    <t>Vías pavimentadas (# de nuevos kilómetros pavimentados/# total de longitud km vías)* 100</t>
  </si>
  <si>
    <t>7.26%</t>
  </si>
  <si>
    <t>ATENCIÓN y SEGURIDAD VIAL MUNICIPAL</t>
  </si>
  <si>
    <t>Atender la red vial municipal mediante el mantenimiento, rehabilitación, mejoramiento y pavimentación; construcción, rehabilitación y mantenimiento de puentes, estudios técnicos y atención de emergencias</t>
  </si>
  <si>
    <t>MEJOR TRANSITABILIDAD</t>
  </si>
  <si>
    <t>Número de kilómetros intervenidos en el área urbana</t>
  </si>
  <si>
    <t>Número de kilómetros intervenidos en el área rural</t>
  </si>
  <si>
    <t>Construcción de 200 metros lineales de andenes</t>
  </si>
  <si>
    <t>Número de metros lineales de andenes construidos</t>
  </si>
  <si>
    <t>Número de puentes y pontones mantenidos</t>
  </si>
  <si>
    <t>Desarrollo de una nueva vía con longitud variable</t>
  </si>
  <si>
    <t>Número de vías en apertura</t>
  </si>
  <si>
    <t>Construcción de 100 metros lineales de senderos peatonales y ecológicos</t>
  </si>
  <si>
    <t>Número de metros lineales de senderos y ecológicos construidos</t>
  </si>
  <si>
    <t>SEGURIDAD VIAL</t>
  </si>
  <si>
    <t>Aumentar al menos en el 50% la señalización vial, vertical y horizontal</t>
  </si>
  <si>
    <t>Porcentaje (%) de avance en señalización del área urbana</t>
  </si>
  <si>
    <t>Implementación de dos (2) procesos en seguridad vial del municipio</t>
  </si>
  <si>
    <t>Número de procesos implementados</t>
  </si>
  <si>
    <t>Realizar 4 acciones de regulación de ocupación de las vías y del espacio público</t>
  </si>
  <si>
    <t>Porcentaje (%) de avance en regulación</t>
  </si>
  <si>
    <t>AGUA POTABLE y SANEAMIENTO BÁSICO</t>
  </si>
  <si>
    <t>Garantizar la continuidad e la prestación de los servicios públicos de agua potable y saneamiento básico en el área urbana del municipio
(99% a 100%)</t>
  </si>
  <si>
    <t>(Población que disfruta continuamente el servicio/# total población en área urbana)*100</t>
  </si>
  <si>
    <t>AMPLIACIÓN DE COBERTURA y MEJORAMIENTO DE SISTEMAS DEL SECTOR AGUA POTABLE y SANEAMIENTO BÁSICO</t>
  </si>
  <si>
    <t>Diseñar, construir y mejorar la infraestructura del sector agua potable y saneamiento básico, ampliando cobertura y garantizando calidad del servicio</t>
  </si>
  <si>
    <t>GESTIÓN DEL AGUA Y EL SANEAMIENTO BASICO</t>
  </si>
  <si>
    <t>Garantizar la gestión del 100% de subsidios a los servicios públicos</t>
  </si>
  <si>
    <t>Porcentaje (%) de subsidios gestionados</t>
  </si>
  <si>
    <t>Realización al 100% del proceso de evaluación, seguimiento y monitoreo al plan maestro de acueducto y alcantarillado</t>
  </si>
  <si>
    <t>Porcentaje (%) de evaluación</t>
  </si>
  <si>
    <t>Intervención en repotenciación y ampliación de tres (3) acueductos veredales</t>
  </si>
  <si>
    <t>Número de acueductos veredales intervenidos</t>
  </si>
  <si>
    <t>Cumplimiento de indicadores de calidad de agua en el área urbana
(N.D a 90%)</t>
  </si>
  <si>
    <t>Nivel de cumplimiento de los indicadores de calidad (legales)</t>
  </si>
  <si>
    <t>Construcción de 100 unidades sanitarias con pozo séptico en el área rural del municipio</t>
  </si>
  <si>
    <t>Número de UNISAFAS construidas</t>
  </si>
  <si>
    <t>MENOS RESIDUOS Y MENOS IMPACTO</t>
  </si>
  <si>
    <t>Implementar un sistema integral para el manejo, tratamiento y los residuos sólidos del municipio</t>
  </si>
  <si>
    <t>GESTIÓN INTEGRAL DE RESIDUOS SÓLIDOS GIRS</t>
  </si>
  <si>
    <t>Conformación y fortalecimiento de una empresa asociativa de trabajo para el manejo de los residuos sólidos y actividades de aseo en general y limpieza de calles y zonas públicas</t>
  </si>
  <si>
    <t xml:space="preserve">Número de empresas conformadas </t>
  </si>
  <si>
    <t>Aumentar al menos en un 5% la cobertura de acueducto rural, con ofrecimiento de agua segura
(N.D a &gt;5%)</t>
  </si>
  <si>
    <t>Porcentaje (%) de incremento en cobertura</t>
  </si>
  <si>
    <t>Número de empresas existentes fortalecidas</t>
  </si>
  <si>
    <t>Realización del estudio y ajuste al Plan Integral de Residuos Sólidos - PGIRS</t>
  </si>
  <si>
    <t>Número de estudios de revisión y ajuste realizados</t>
  </si>
  <si>
    <t>Porcentaje (%) de avance en la implementación</t>
  </si>
  <si>
    <t>Reducir en al menos un díez por ciento (10%) los residuos que hoy se disponen en el relleno sanitario y garantizar una mejor disposición final
(N.D a -10%)</t>
  </si>
  <si>
    <t>Porcentaje (%) de residuos sólidos dispuestos en rellenos sanitarios</t>
  </si>
  <si>
    <t>Avance en al menos el 15% de la construcción de la planta de residuos sólidos</t>
  </si>
  <si>
    <t>Porcentaje de avance</t>
  </si>
  <si>
    <t>Número de estudios de caracterización realizados</t>
  </si>
  <si>
    <t>SERVICIOS PÚBLICOS DIFERENTES
Electrificación y Alumbrado Público</t>
  </si>
  <si>
    <t>Incrementar la disponibilidad de medios energéticos para el municipio y su zona rural, ampliando las coberturas de servicios y permitiendo el acceso a los mismos</t>
  </si>
  <si>
    <t>Aumento en la cobertura del servicio de energía eléctrica al menos el dos (2%)
(N.D a 2%)</t>
  </si>
  <si>
    <t>Porcentaje de cobertura</t>
  </si>
  <si>
    <t>MAS Y MEJOR ENERGÍA</t>
  </si>
  <si>
    <t>Ampliación de cobertura en electrificación rural y alumbrado público en el municipio</t>
  </si>
  <si>
    <t>ELECTRIFICACIÓN RURAL</t>
  </si>
  <si>
    <t>Conectar a la red eléctrica a 50 usuarios nuevos</t>
  </si>
  <si>
    <t>Número de usuarios nuevos conectados</t>
  </si>
  <si>
    <t>ALUMBRADO PÚBLICO</t>
  </si>
  <si>
    <t>Repotenciación  y mejoramiento en un 20% del alumbrado público</t>
  </si>
  <si>
    <t>Porcentaje (%) de repotenciación y mejoramiento del alumbrado público</t>
  </si>
  <si>
    <t>DESARROLLO FÍSICO - TERRITORIAL - Angelópolis Territorialmente sustentable y responsable (Medio ambiente construido)</t>
  </si>
  <si>
    <t>Mejorar el índice del espacio público efectivo (m2/hab) en Angelópolis</t>
  </si>
  <si>
    <t>Estructurar espacios de encuentro armonizados ambiental y funcionalmente para lograr una mejor convivencia ciudadana en el municipio de Angelópolis</t>
  </si>
  <si>
    <t>Mejorar las condiciones de transitabilidad y de movilidad en el Municipio de Angelópolis, atendientdo la infraestructura de alto impacto en el sector productivo, turístico y social</t>
  </si>
  <si>
    <t>Proporcionar a la comunidad Angelopolitana un desarrollo humano, integral y sostenible que contribuya a mejorar su calidad de vida, garantizando su acceso y permanencia a los servicios públicos</t>
  </si>
  <si>
    <t>Construir una tierra de oportunidades con mejores índices de calidad de vida, y hacer de Jarín un municipio más humano, incluyente, equitativo, con valor de lo público, responsable con el ambiente y la alianza subregional,</t>
  </si>
  <si>
    <t>DESARROLLO AMBIENTAL - Angelópolis Ambientalmente Sostenible (Medio ambiente natural)</t>
  </si>
  <si>
    <t xml:space="preserve">Contribuir al a recuperación del equilibrio entre la oferta y la demanda de los bienes y servicios ambientales y de recursos naturales renovables en el municipio de Angelópolis </t>
  </si>
  <si>
    <t>como base para asegurar el desarrollo sostenible y el bienestar de las actuales y futuras generaciones de sus habitantes, a través de la gestión de políticas, planes, programas, proyectos y actividades</t>
  </si>
  <si>
    <t xml:space="preserve"> tendientes a la conservación, protección, rehabilitación, manejo y uso racional del patrimonio ambiental, de forma cooperada con las instituciones, organizaciones y personas involucradas</t>
  </si>
  <si>
    <t>PLAN ACCIÓN 2012</t>
  </si>
  <si>
    <t>Total Ejecutado</t>
  </si>
  <si>
    <t>MEDIO AMBIENTE</t>
  </si>
  <si>
    <t>Desarrollar un entorno ambiental y económicamente sostenible, que sea competitivo en la producción e integrado a las condiciones del territorio, a fin de contribuir a un desarrollo económico en igualdad, equidad y respeto por el medio ambiente</t>
  </si>
  <si>
    <t>Incrementar en 10 las hectáreas vinculadas a procesos de conservación y manejo en el municipio
(N.D &gt;10 has)</t>
  </si>
  <si>
    <t>Número de hectáreas vinculadas</t>
  </si>
  <si>
    <t>GESTIÓN INTEGRAL DE ECOSISTEMAS Y BIODIVERSIDAD</t>
  </si>
  <si>
    <t>La Gestión integral de ecosistemas y biodiversidad, se constituye en el eje central para asegurar la protección, conservación, rehabilitación y aprovechamiento racional de los sistemas y elementos naturales del municipio</t>
  </si>
  <si>
    <t>INSTITUCIONALIDAD PARA LA GESTIÓN AMBIENTAL</t>
  </si>
  <si>
    <t>4.1.1.1.1</t>
  </si>
  <si>
    <t>Desarrollo del Plan de Gestión Ambiental Municipal - PGAM</t>
  </si>
  <si>
    <t>Elaboración del Plan de Gestión Ambiental Municipal - PGAM</t>
  </si>
  <si>
    <t>Número de Planes Formulados</t>
  </si>
  <si>
    <t>Avance del 20% en ejecución del PGAM</t>
  </si>
  <si>
    <t>4.1.1.1.2</t>
  </si>
  <si>
    <t>Fortalecimiento de la Mesa Ambiental Municipal - MAM (realizar 12 reuniones al año de acompañamiento, consenso y planificación)</t>
  </si>
  <si>
    <t xml:space="preserve">
Fortalecimiento de la Mesa Ambiental Municipal - MAM </t>
  </si>
  <si>
    <t>Número de mesas ambientales fortalecidas</t>
  </si>
  <si>
    <t>Realización de sesenta (60) reuniones de acompañamiento, consenso y planificación)</t>
  </si>
  <si>
    <t>Número de reuniones de acompañamiento, consenso y avance, realizadas</t>
  </si>
  <si>
    <t>4.1.1.1.3</t>
  </si>
  <si>
    <t>Realización del PRISER para el beneficio integral de la comunidad del municipio de Angelópolis</t>
  </si>
  <si>
    <t xml:space="preserve">Avance del 20% en ejecución del  del PRISER </t>
  </si>
  <si>
    <t xml:space="preserve">Porcentaje (%) de avance en la ejecución </t>
  </si>
  <si>
    <t>4.1.1.1.4</t>
  </si>
  <si>
    <t>Estudio técnico del recurso minero, que permita el cambio de vocación del suelo a orientación agropecuaria o turística</t>
  </si>
  <si>
    <t>Realización de un (1) Estudio técnico del recurso minero</t>
  </si>
  <si>
    <t>Número de estudios técnicos realizados</t>
  </si>
  <si>
    <t>4.1.1.1.5</t>
  </si>
  <si>
    <t>Implementación de los acuerdos recíprocos por agua y pagos por servicios ambientales</t>
  </si>
  <si>
    <t>Número de acuerdos implementados</t>
  </si>
  <si>
    <t>BIODIVERSIDAD</t>
  </si>
  <si>
    <t>4.1.1.2.1</t>
  </si>
  <si>
    <t>Conservación del corredor biológico del oso andino</t>
  </si>
  <si>
    <t>Apoyar técnica y administrativamente en un 100%  al proyecto de conservación del corredor biológico del oso andino</t>
  </si>
  <si>
    <t>Porcentaje (%) de apoyo</t>
  </si>
  <si>
    <t>4.1.1.2.2</t>
  </si>
  <si>
    <t>Reforestación de microcuencas priorizadas</t>
  </si>
  <si>
    <t>Reforestación de 10 hectáreas de microcuencas priorizadas</t>
  </si>
  <si>
    <t>Número de hectáreas reforestadas</t>
  </si>
  <si>
    <t>4.1.1.2.3</t>
  </si>
  <si>
    <t>Continuación del proyecto de administración del distrito de manejo integrado, Cuchilla Angelópolis Támesis (apoyo en un 40%)</t>
  </si>
  <si>
    <t>Porcentaje (%) de avance del proyecto</t>
  </si>
  <si>
    <t>4.1.1.2.4</t>
  </si>
  <si>
    <t>Construcciónarboretum municipal con área variable no definida</t>
  </si>
  <si>
    <t>Construcción de un (1) arboretum municipal con área variable no definida</t>
  </si>
  <si>
    <t>Número de arboretum construidos</t>
  </si>
  <si>
    <t>4.1.1.2.5</t>
  </si>
  <si>
    <t>Construcción Vivero Municipal para especies nativas y exóticas</t>
  </si>
  <si>
    <t>Construcción de un (1) vivero municipal para especies nativas y exóticas</t>
  </si>
  <si>
    <t>Número de viveros construidos</t>
  </si>
  <si>
    <t>4.1.1.2.6</t>
  </si>
  <si>
    <t>Establecimiento solares ecológicos - agricultura urbana orgánica</t>
  </si>
  <si>
    <t>Establecimiento de 25 solares ecológicos - agricultura urbana orgánica</t>
  </si>
  <si>
    <t>Número de solares ecológicos establecidos</t>
  </si>
  <si>
    <t>PREVENCIÓN y ATENCIÓN DE DESASTRES</t>
  </si>
  <si>
    <t>Disminuir la vulnerabilidad de la comunidad Angelopolitana expuesta al riesgo natural y/o antrópico, coordinando y fortaleciendo la implementación de políticas y acciones de prevención, atención, mitigación y rehabilitación en situaciones de normalidad, emergencias y desastres, para el mejoramiento de la calidad de vida, como interacción de gobernabilidad y de estrategias para la paz
(N.D a &gt;30%)</t>
  </si>
  <si>
    <t>Aumentar en un 30% la cobertura de prevención y atención extensivos al CLOPAD, entidades operativas y comunidad</t>
  </si>
  <si>
    <t>(Porcentaje de población atendida/# total población vulnerable)*100</t>
  </si>
  <si>
    <t>GESTIÓN INTEGRAL DEL RIESGO PARA LA PREVENCIÓN Y ATENCIÓN DE DESASTRES</t>
  </si>
  <si>
    <t>Dirigir el uso del suelo municipal y reducir el riesgo de exposición de vidas humanas y bienes materiales, mediante la gestión de recursos, sensibilización y participación de la comunidad</t>
  </si>
  <si>
    <t>GESTIÓN MUNICIPAL DEL RIESGO</t>
  </si>
  <si>
    <t>4.2.1.1.1</t>
  </si>
  <si>
    <t>Desarrollo del Plan Municipal de Gestión del Riesgo PMGR</t>
  </si>
  <si>
    <t>Estructuración del Plan Municipal de Gestión del Riesgo</t>
  </si>
  <si>
    <t>Número de planes estructurados</t>
  </si>
  <si>
    <t>Avance del 15% en ejecución del PMGR</t>
  </si>
  <si>
    <t>4.2.1.1.2</t>
  </si>
  <si>
    <t>Construcción sistema de monitoreo, análisis y divulgación en meteorología, suelos y medio ambiente</t>
  </si>
  <si>
    <t>Construcción de un sistema de monitoreo, análisis y divulgación en meteorología, suelos y medio ambiente</t>
  </si>
  <si>
    <t>Número de sistemas construidos</t>
  </si>
  <si>
    <t>4.2.1.1.3</t>
  </si>
  <si>
    <t xml:space="preserve">Implementación Plan Local de Emergencias </t>
  </si>
  <si>
    <t>Implementación al 100% del plan local de emergencias (incremento de ejecución en el 40% en el cuatrienio)</t>
  </si>
  <si>
    <t>4.2.1.1.4</t>
  </si>
  <si>
    <t>Identificación de procesos erosivos y planes de mitigación</t>
  </si>
  <si>
    <t>Elaboración de un (1) estudio de identificación de procesos erosivos</t>
  </si>
  <si>
    <t>Número de estudios de identificación elaborados</t>
  </si>
  <si>
    <t>Elaboración de un (1) Plan de Mitigación</t>
  </si>
  <si>
    <t>Número de planes de mitigación elaborados</t>
  </si>
  <si>
    <t>4.2.1.1.5</t>
  </si>
  <si>
    <t>Fortalecimiento y Dotación del centro de emergencias y desastres</t>
  </si>
  <si>
    <t>Fortalecimiento y Dotación de un (1) centro de emergencias y desastres</t>
  </si>
  <si>
    <t>Número de centros de emergencias dotados y fortalecidos</t>
  </si>
  <si>
    <t>DESARROLLO INSTITUCIONAL - Angelópolis con Gobernabilidad y Gerencia Pública Transparente</t>
  </si>
  <si>
    <t>Desarrollar y fortalecer una institucionalidad pública con la participación ciudadana que garanticen a la población el derecho de orientar y evaluar el destino de su municipio y su administración,</t>
  </si>
  <si>
    <t>con miras a la consolidación de la capacidad de convocatoria y de integración, potenciada a través de la eficiencia, eficacia, transparencia y modernización de la labor gubernamental</t>
  </si>
  <si>
    <t>FORTALECIMIENTO INSTITUCIONAL</t>
  </si>
  <si>
    <t>Crear una estructura administrativa acorde a las exigencias de nuevas realidades que permitan el funcionamiento ágil de la administración pública</t>
  </si>
  <si>
    <t>Diseñar e implantar la estructura administrativa más eficiente e idónea para el cumplimiento de las funciones misiones del municipio de Angelópolis
(0% a 40%)</t>
  </si>
  <si>
    <t>Modernización de la estructura institucional implantada</t>
  </si>
  <si>
    <t>MODERNIZACIÓN DE PROCESOS Y SISTEMATIZACIÓN DE LA ADMINISTRACIÓN PÚBLICA</t>
  </si>
  <si>
    <t>Desarrollar sistemas de información integrales articulados, acorde con la modernización del Estado para lograr las metas de competitividad que implica la inserción adecuada de Angelópolis en la economía globalizada</t>
  </si>
  <si>
    <t>MODERNIZACIÓN, ACTUALIZACIÓN Y MEJORA DE LOS PROCESOS ADMINISTRATIVOS</t>
  </si>
  <si>
    <t>5.1.1.1.1</t>
  </si>
  <si>
    <t>Implementación de la fase transacional de la estrategia Gobierno en Línea</t>
  </si>
  <si>
    <t>Número de fases implementadas</t>
  </si>
  <si>
    <t>5.1.1.1.2</t>
  </si>
  <si>
    <t>Acciones para la modernización de la comunicación pública interna del municipio de Angelópolis</t>
  </si>
  <si>
    <t>5.1.1.1.3</t>
  </si>
  <si>
    <t>Aumentar en un 60% la organización y sistematización del archivo central</t>
  </si>
  <si>
    <t>Porcentaje (%) de organización y sistematización del archivo</t>
  </si>
  <si>
    <t>5.1.1.1.4</t>
  </si>
  <si>
    <t>Aumentar en un 60% en el porcentaje de operatividad del MECI</t>
  </si>
  <si>
    <t>Porcentaje (%) de operatividad</t>
  </si>
  <si>
    <t>5.1.1.1.5</t>
  </si>
  <si>
    <t>Aumento en un porcentaje igual o mayor al 50% de cualificación de empleados</t>
  </si>
  <si>
    <t>(número de empleados atendidos/número total de empleados)*100</t>
  </si>
  <si>
    <t>5.1.1.1.6</t>
  </si>
  <si>
    <t>Fortalecimiento a la gestión de la comisaria de familia</t>
  </si>
  <si>
    <t>Número de comisarías de familia fortalecidas</t>
  </si>
  <si>
    <t>GESTIÓN TRANSPARENTE Y EFICIENTE</t>
  </si>
  <si>
    <t>5.1.2.1.1</t>
  </si>
  <si>
    <t>Rendición de cuentas: Hechos de Verdad</t>
  </si>
  <si>
    <t>Número de cuentas rendidas</t>
  </si>
  <si>
    <t>SANEAMIENTO Y OPTIMIZACIÓN FISCAL</t>
  </si>
  <si>
    <t>5.1.2.2.1</t>
  </si>
  <si>
    <t>Incremento y optimización de los recursos financieros del municipio</t>
  </si>
  <si>
    <t>Porcentaje de incremento</t>
  </si>
  <si>
    <t>Aumentar en un 50% el porcentaje de percepción de los funcionarios que se encuentran totalmente de acuerdo frente a su entorno laboral (orientación organizacional, administración del talento humano, estilo de dirección, comunicación e integración, trabajo en equipo, capacidad profesional y medio ambiente físico)
(N.D a &gt; 50%)</t>
  </si>
  <si>
    <t>(# de aceptaciones/# total de consultas)*100</t>
  </si>
  <si>
    <t>5.1.2.2.2</t>
  </si>
  <si>
    <t>Saneamiento contable y financiero del municipio</t>
  </si>
  <si>
    <t>Porcentaje de saneamiento y recuperación de cartera</t>
  </si>
  <si>
    <t>FORTALECIMIENTO DE LOS PROCESOS DE PLANIFICACIÓN y EVALUACIÓN DE LA GESTIÓN</t>
  </si>
  <si>
    <t>Mejorar el costo eficiencia de la inversión pública municipal y mantener un sistema de seguimiento y control que permita la toma de decisiones oportunas al gobierno municipal</t>
  </si>
  <si>
    <t>PLANIFICACIÓN, EVALUACIÓN Y SEGUIMIENTO</t>
  </si>
  <si>
    <t>5.1.2.3.1</t>
  </si>
  <si>
    <t>Actualización catastral</t>
  </si>
  <si>
    <t>Realizar al menos un porcentaje igual o mayor al 60% en actualización catastral</t>
  </si>
  <si>
    <t>Porcentaje (%) de actualización catastral</t>
  </si>
  <si>
    <t>5.1.2.3.2</t>
  </si>
  <si>
    <t>Proceso de nomenclatura uniforme y bien planificada</t>
  </si>
  <si>
    <t>Realización de un (1) proceso de nomenclatura uniforme y bien planificada</t>
  </si>
  <si>
    <t>Número de procesos realizados</t>
  </si>
  <si>
    <t>5.1.2.3.3</t>
  </si>
  <si>
    <t>Estructuración del Expediente Municipal</t>
  </si>
  <si>
    <t>Número de expedientes estructurados</t>
  </si>
  <si>
    <t>5.1.2.3.4</t>
  </si>
  <si>
    <t>Revisión y ajuste al Esquema de Ordenamiento Territorial</t>
  </si>
  <si>
    <t>Realización de la revisión y ajuste al Esquema de Ordenamiento Territorial</t>
  </si>
  <si>
    <t>Número de EOT revisados y ajustados</t>
  </si>
  <si>
    <t>5.1.2.3.5</t>
  </si>
  <si>
    <t>Elaboración, evaluación, control y seguimiento al Plan de Desarrollo Municipal</t>
  </si>
  <si>
    <t>Porcentaje de avance en evaluación y seguimiento</t>
  </si>
  <si>
    <t>5.1.2.3.6</t>
  </si>
  <si>
    <t>Operación del banco de programas y proyectos</t>
  </si>
  <si>
    <t>Operación del Banco de Programas y Proyectos</t>
  </si>
  <si>
    <t>Porcentaje (%) de operación del banco</t>
  </si>
  <si>
    <t>JUSTICIA</t>
  </si>
  <si>
    <t>Consolidar la defensa de los derechos humanos, el respeto por el derecho internacional humanitario, la construcción de escenario de convivencia, buscando el establecimiento de la justicia en equidad, como herramienta de acceso pacífico y calificado a la administración de justicia y fortalecer la reconstrucción del tejido social y la dignidad de la comunidad</t>
  </si>
  <si>
    <t>Reducción en un 50% el # de personas expulsadas por violencia en Angelópolis
(N.D a 50%)</t>
  </si>
  <si>
    <t>(# de personas atendidas/# personas expulsadas en el municipio)*100</t>
  </si>
  <si>
    <t>Angelópolis CONVIVE EN PAZ</t>
  </si>
  <si>
    <t>Desarrollar sistemas de información integrales articulados, acorde con la modernización del Estado para lograr las metas de competitividad que implican la inserción adecuada de Angelópolis en la economía globalizada</t>
  </si>
  <si>
    <t>5.2.1.1.1</t>
  </si>
  <si>
    <t>Implementación de 4 acciones para crear confianza y credibilidad entre la comunidad, la institucionalidad y fuerza pública</t>
  </si>
  <si>
    <t>Número de acciones implementadas</t>
  </si>
  <si>
    <t>5.2.1.1.2</t>
  </si>
  <si>
    <t>Implementación de 4 acciones orientadas a la cultura de la legalidad</t>
  </si>
  <si>
    <t>5.2.1.1.3</t>
  </si>
  <si>
    <t>Fortalecimiento de la red de cooperantes de seguridad y convivencia</t>
  </si>
  <si>
    <t>Número de redes fortalecidas</t>
  </si>
  <si>
    <t>5.2.1.1.4</t>
  </si>
  <si>
    <t>Mantener fortalecido el programa de conciliación en equidad</t>
  </si>
  <si>
    <t>Número de programas fortalecidos</t>
  </si>
  <si>
    <t>Disminución en un 50% el # de casos que afectan la convivencia ciudadana
(De N.D a 50%)</t>
  </si>
  <si>
    <t>(# de casos que afecta la convivencia/# total casos)*100</t>
  </si>
  <si>
    <t>5.2.1.1.5</t>
  </si>
  <si>
    <t>Realización de 4 campañas para la disminución de los desordenes domésticos y violencia intrafamiliar</t>
  </si>
  <si>
    <t>Número de campañas implementadas</t>
  </si>
  <si>
    <t>5.2.1.1.6</t>
  </si>
  <si>
    <t>Adelantar 4 programas de fortalecimiento de los lazos familiares de la cultura del diálogo y resolución pacífica de conflictos</t>
  </si>
  <si>
    <t>5.2.1.1.7</t>
  </si>
  <si>
    <t>Ejecución y notificación de audiencias de conciliación, asesorías jurídica y promoción de la convivencia en sociedad y familiar</t>
  </si>
  <si>
    <t>Porcentaje (%) de notificación y ejecución</t>
  </si>
  <si>
    <t>5.2.1.1.8</t>
  </si>
  <si>
    <t>Realización de 3 campañas de promoción y divulgación de las normas penales que sancionan los delitos sexuales</t>
  </si>
  <si>
    <t>5.2.1.1.9</t>
  </si>
  <si>
    <t>Realizamiento de 4 fortalecimientos a los procesos de seguridad y conviviencia ciudadana</t>
  </si>
  <si>
    <t>Número de procesos fortalecidos</t>
  </si>
  <si>
    <t>Adquisición de una (1) unidad de maquinaria o vehículos para funcionamiento de la administración y el desarrollo de sus proyectos de desarrollo. (Fortalecimiento del parque automotor)</t>
  </si>
  <si>
    <t>Construcción de dos (2) casetas comunales y dotación de (2) casetas comunales</t>
  </si>
  <si>
    <t xml:space="preserve">Realización de estudios y gestión para la ejecución de 6 proyectos especiales del municipio </t>
  </si>
  <si>
    <t>Construcción de 100 soluciones de vivienda digna, segura y saludable, con criterios  de equidad de género.</t>
  </si>
  <si>
    <t>Legalización de vivienda (proceso de titulación y escrituración predial) a 100 familias con criterios de equidad de género.</t>
  </si>
  <si>
    <t>Mejoramiento de 70 soluciones de vivienda, con criterios de equidad de género.</t>
  </si>
  <si>
    <t xml:space="preserve">Intervención en mejoramiento y rehabilitación de 17 kilómetros de vías municipales (urbanas 2km y rurales 15 km). Se priorizarán anillos viales veredales, </t>
  </si>
  <si>
    <t>Mantenimiento de 3 puentes y pontones que garanticen la transitabilidad y continuidad en servicio de transporte</t>
  </si>
  <si>
    <t xml:space="preserve">Realización del estudio de caracterización de los residuos sólidos </t>
  </si>
  <si>
    <t>Porcentaje de avance de operación del PGIR</t>
  </si>
  <si>
    <t>Ampliación y mejoramiento del 61.99% del total de las plantas físicas educativas oficiales: Seguras y adecuadas</t>
  </si>
  <si>
    <t>Aumentar en cien (100) viviendas la oferta de viviendas la oferta de vivienda de interés social, con criterios de Equidad de Género)
(N.D a 100)</t>
  </si>
  <si>
    <t>Angelópolis DIVERSO Y PARTICIPATIVO</t>
  </si>
  <si>
    <t>POR UNA DIVERSIDAD CULTURAL Y PARTICIPATIVA</t>
  </si>
  <si>
    <t>Realizar el mantenimiento de Placas Deportivas</t>
  </si>
  <si>
    <t>Ampliación de cobertura educativa - Ingreso de cuarenta (40) nuevos estudiantes</t>
  </si>
  <si>
    <t>Cuarenta (40) nuevos estudiantes que ingresan al sistema educativo</t>
  </si>
  <si>
    <t>Dotación de 300 uniformes y kit escolares</t>
  </si>
  <si>
    <t>300 uniformes y kit entregados</t>
  </si>
  <si>
    <t>Vincular al sistema educativo con programas de alfabetización a 100 personas adultas iletradas</t>
  </si>
  <si>
    <t>100 personas atendidas-alfabetizadas</t>
  </si>
  <si>
    <t>Bajo un nuevo enfoque de desarrollo integral, hacer que el campo Angelópolitano sea una empresa y un sector competitivo, eje fundamental para el crecimiento económico y social de sus comunidades, que bajo principios de cooperación, participación, equidad y solidaridad, genere empleo productivo sostenible, disminuyendo la pobreza y así lograr su posicionamiento en el contexto departamental y nacional para alcanzar un adecuado desarrollo rural</t>
  </si>
  <si>
    <t>PLAN DE ACCIÓN 2022</t>
  </si>
  <si>
    <t>ESTADO
DIC.21</t>
  </si>
  <si>
    <t>ESTADO
DIC. 21</t>
  </si>
  <si>
    <t>Programado 2022</t>
  </si>
  <si>
    <t>Avance 2022</t>
  </si>
  <si>
    <t>Total ejecutado 2022</t>
  </si>
  <si>
    <t>Total Ejecutado a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</si>
</sst>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00"/>
    <numFmt numFmtId="165" formatCode="0.0%"/>
    <numFmt numFmtId="166" formatCode="&quot;$&quot;\ #,##0.0"/>
    <numFmt numFmtId="167" formatCode="0.0"/>
    <numFmt numFmtId="168" formatCode="#,##0.000"/>
  </numFmts>
  <fonts count="10" x14ac:knownFonts="1">
    <font>
      <sz val="10"/>
      <name val="Arial"/>
      <family val="2"/>
    </font>
    <font>
      <sz val="10"/>
      <name val="Arial"/>
      <family val="2"/>
    </font>
    <font>
      <b/>
      <sz val="9"/>
      <color indexed="8"/>
      <name val="Arial"/>
      <family val="2"/>
    </font>
    <font>
      <sz val="9"/>
      <color indexed="8"/>
      <name val="Arial"/>
      <family val="2"/>
    </font>
    <font>
      <sz val="10"/>
      <color theme="1"/>
      <name val="Arial"/>
      <family val="2"/>
    </font>
    <font>
      <sz val="9"/>
      <color indexed="81"/>
      <name val="Tahoma"/>
      <family val="2"/>
    </font>
    <font>
      <sz val="8"/>
      <color indexed="8"/>
      <name val="Arial"/>
      <family val="2"/>
    </font>
    <font>
      <b/>
      <sz val="9"/>
      <color indexed="81"/>
      <name val="Tahoma"/>
      <family val="2"/>
    </font>
    <font>
      <b/>
      <sz val="10"/>
      <color indexed="8"/>
      <name val="Arial"/>
      <family val="2"/>
    </font>
    <font>
      <sz val="10"/>
      <color indexed="8"/>
      <name val="Arial"/>
      <family val="2"/>
    </font>
  </fonts>
  <fills count="2">
    <fill>
      <patternFill patternType="none"/>
    </fill>
    <fill>
      <patternFill patternType="gray125"/>
    </fill>
  </fills>
  <borders count="1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s>
  <cellStyleXfs count="1">
    <xf numFmtId="0" fontId="0" fillId="0" borderId="0"/>
  </cellStyleXfs>
  <cellXfs count="136">
    <xf numFmtId="0" fontId="0" fillId="0" borderId="0" xfId="0"/>
    <xf numFmtId="0" fontId="3" fillId="0" borderId="0" xfId="0" applyFont="1" applyAlignment="1">
      <alignment vertical="center" wrapText="1"/>
    </xf>
    <xf numFmtId="49" fontId="2" fillId="0" borderId="0" xfId="0" applyNumberFormat="1" applyFont="1" applyAlignment="1">
      <alignment vertical="center" wrapText="1"/>
    </xf>
    <xf numFmtId="4" fontId="2" fillId="0" borderId="0" xfId="0" applyNumberFormat="1" applyFont="1" applyAlignment="1">
      <alignment vertical="center" wrapText="1"/>
    </xf>
    <xf numFmtId="49" fontId="2" fillId="0" borderId="11" xfId="0" applyNumberFormat="1" applyFont="1" applyBorder="1" applyAlignment="1">
      <alignment vertical="center" wrapText="1"/>
    </xf>
    <xf numFmtId="0" fontId="3" fillId="0" borderId="12" xfId="0" applyFont="1" applyBorder="1" applyAlignment="1">
      <alignment horizontal="center" vertical="center" wrapText="1"/>
    </xf>
    <xf numFmtId="0" fontId="2" fillId="0" borderId="12" xfId="0" applyFont="1" applyBorder="1" applyAlignment="1">
      <alignment horizontal="center" vertical="center" wrapText="1"/>
    </xf>
    <xf numFmtId="4" fontId="3" fillId="0" borderId="12" xfId="0" applyNumberFormat="1" applyFont="1" applyBorder="1" applyAlignment="1">
      <alignment horizontal="center" vertical="center" wrapText="1"/>
    </xf>
    <xf numFmtId="0" fontId="3" fillId="0" borderId="12" xfId="0" applyFont="1" applyBorder="1" applyAlignment="1">
      <alignment horizontal="center" vertical="center" wrapText="1"/>
    </xf>
    <xf numFmtId="0" fontId="4" fillId="0" borderId="12" xfId="0" applyFont="1" applyBorder="1" applyAlignment="1">
      <alignment horizontal="center" vertical="center" wrapText="1"/>
    </xf>
    <xf numFmtId="0" fontId="3" fillId="0" borderId="12" xfId="0" applyFont="1" applyBorder="1" applyAlignment="1">
      <alignment horizontal="justify" vertical="center" wrapText="1"/>
    </xf>
    <xf numFmtId="49" fontId="3" fillId="0" borderId="13" xfId="0" applyNumberFormat="1" applyFont="1" applyBorder="1" applyAlignment="1">
      <alignment horizontal="center" vertical="center" wrapText="1"/>
    </xf>
    <xf numFmtId="3" fontId="3" fillId="0" borderId="12" xfId="0" applyNumberFormat="1" applyFont="1" applyBorder="1" applyAlignment="1">
      <alignment horizontal="center" vertical="center" wrapText="1"/>
    </xf>
    <xf numFmtId="4" fontId="3" fillId="0" borderId="0" xfId="0" applyNumberFormat="1" applyFont="1" applyAlignment="1">
      <alignment horizontal="justify" vertical="center" wrapText="1"/>
    </xf>
    <xf numFmtId="0" fontId="3" fillId="0" borderId="0" xfId="0" applyFont="1" applyAlignment="1">
      <alignment horizontal="justify" vertical="center" wrapText="1"/>
    </xf>
    <xf numFmtId="49" fontId="3" fillId="0" borderId="12" xfId="0" applyNumberFormat="1" applyFont="1" applyBorder="1" applyAlignment="1">
      <alignment horizontal="center" vertical="center" wrapText="1"/>
    </xf>
    <xf numFmtId="9" fontId="3" fillId="0" borderId="12" xfId="0" applyNumberFormat="1" applyFont="1" applyBorder="1" applyAlignment="1">
      <alignment horizontal="center" vertical="center" wrapText="1"/>
    </xf>
    <xf numFmtId="0" fontId="3" fillId="0" borderId="13" xfId="0" applyFont="1" applyBorder="1" applyAlignment="1">
      <alignment horizontal="justify" vertical="center" wrapText="1"/>
    </xf>
    <xf numFmtId="164" fontId="3" fillId="0" borderId="12" xfId="0" applyNumberFormat="1" applyFont="1" applyBorder="1" applyAlignment="1">
      <alignment horizontal="center" vertical="center" wrapText="1"/>
    </xf>
    <xf numFmtId="1" fontId="3" fillId="0" borderId="12" xfId="0" applyNumberFormat="1" applyFont="1" applyBorder="1" applyAlignment="1">
      <alignment horizontal="center" vertical="center" wrapText="1"/>
    </xf>
    <xf numFmtId="10" fontId="3" fillId="0" borderId="12" xfId="0" applyNumberFormat="1" applyFont="1" applyBorder="1" applyAlignment="1">
      <alignment horizontal="center" vertical="center" wrapText="1"/>
    </xf>
    <xf numFmtId="2" fontId="3" fillId="0" borderId="12" xfId="0" applyNumberFormat="1" applyFont="1" applyBorder="1" applyAlignment="1">
      <alignment horizontal="center" vertical="center" wrapText="1"/>
    </xf>
    <xf numFmtId="0" fontId="3" fillId="0" borderId="12" xfId="0" applyFont="1" applyBorder="1" applyAlignment="1">
      <alignment horizontal="center" vertical="center" textRotation="90" wrapText="1"/>
    </xf>
    <xf numFmtId="0" fontId="3" fillId="0" borderId="12" xfId="0" applyFont="1" applyBorder="1" applyAlignment="1">
      <alignment horizontal="center" vertical="justify" wrapText="1"/>
    </xf>
    <xf numFmtId="0" fontId="3" fillId="0" borderId="13" xfId="0" applyFont="1" applyBorder="1" applyAlignment="1">
      <alignment horizontal="center" vertical="center" textRotation="90" wrapText="1"/>
    </xf>
    <xf numFmtId="0" fontId="3" fillId="0" borderId="13" xfId="0" applyFont="1" applyBorder="1" applyAlignment="1">
      <alignment horizontal="center" vertical="justify" wrapText="1"/>
    </xf>
    <xf numFmtId="0" fontId="3" fillId="0" borderId="13" xfId="0" applyFont="1" applyBorder="1" applyAlignment="1">
      <alignment horizontal="center" vertical="center" wrapText="1"/>
    </xf>
    <xf numFmtId="1" fontId="3" fillId="0" borderId="13"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 fillId="0" borderId="0" xfId="0" applyFont="1" applyAlignment="1">
      <alignment horizontal="center" vertical="center"/>
    </xf>
    <xf numFmtId="0" fontId="0" fillId="0" borderId="12" xfId="0" applyBorder="1" applyAlignment="1">
      <alignment horizontal="center" vertical="center"/>
    </xf>
    <xf numFmtId="0" fontId="3" fillId="0" borderId="15" xfId="0" applyFont="1" applyBorder="1" applyAlignment="1">
      <alignment horizontal="center" vertical="center" wrapText="1"/>
    </xf>
    <xf numFmtId="0" fontId="3" fillId="0" borderId="13" xfId="0" applyFont="1" applyBorder="1" applyAlignment="1">
      <alignment vertical="center" wrapText="1"/>
    </xf>
    <xf numFmtId="0" fontId="3" fillId="0" borderId="15" xfId="0" applyFont="1" applyBorder="1" applyAlignment="1">
      <alignment vertical="center" wrapText="1"/>
    </xf>
    <xf numFmtId="165" fontId="3" fillId="0" borderId="12" xfId="0" applyNumberFormat="1"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horizontal="center" vertical="center" wrapText="1"/>
    </xf>
    <xf numFmtId="4" fontId="3" fillId="0" borderId="0" xfId="0" applyNumberFormat="1" applyFont="1" applyAlignment="1">
      <alignment horizontal="center" vertical="center" wrapText="1"/>
    </xf>
    <xf numFmtId="0" fontId="3" fillId="0" borderId="16" xfId="0" applyFont="1" applyBorder="1" applyAlignment="1">
      <alignment vertical="center" wrapText="1"/>
    </xf>
    <xf numFmtId="0" fontId="3" fillId="0" borderId="12" xfId="0" applyFont="1" applyBorder="1" applyAlignment="1">
      <alignment horizontal="center" vertical="center" wrapText="1"/>
    </xf>
    <xf numFmtId="49" fontId="3" fillId="0" borderId="12" xfId="0" applyNumberFormat="1" applyFont="1" applyBorder="1" applyAlignment="1">
      <alignment horizontal="justify" vertical="center" wrapText="1"/>
    </xf>
    <xf numFmtId="0" fontId="3" fillId="0" borderId="12" xfId="0" applyFont="1" applyBorder="1" applyAlignment="1">
      <alignment horizontal="center" vertical="center" wrapText="1"/>
    </xf>
    <xf numFmtId="1" fontId="3" fillId="0" borderId="13" xfId="0" applyNumberFormat="1" applyFont="1" applyBorder="1" applyAlignment="1">
      <alignment horizontal="center" vertical="center" wrapText="1"/>
    </xf>
    <xf numFmtId="0" fontId="6" fillId="0" borderId="12" xfId="0" applyFont="1" applyBorder="1" applyAlignment="1">
      <alignment horizontal="center" vertical="center" wrapText="1"/>
    </xf>
    <xf numFmtId="49" fontId="3" fillId="0" borderId="13" xfId="0" applyNumberFormat="1" applyFont="1" applyBorder="1" applyAlignment="1">
      <alignment horizontal="justify" vertical="center" wrapText="1"/>
    </xf>
    <xf numFmtId="166" fontId="4" fillId="0" borderId="12" xfId="0" applyNumberFormat="1" applyFont="1" applyBorder="1" applyAlignment="1">
      <alignment horizontal="center" vertical="center"/>
    </xf>
    <xf numFmtId="164" fontId="4" fillId="0" borderId="12" xfId="0" applyNumberFormat="1" applyFont="1" applyBorder="1" applyAlignment="1">
      <alignment horizontal="right" vertical="center"/>
    </xf>
    <xf numFmtId="49" fontId="3" fillId="0" borderId="15" xfId="0" applyNumberFormat="1" applyFont="1" applyBorder="1" applyAlignment="1">
      <alignment horizontal="justify" vertical="center" wrapText="1"/>
    </xf>
    <xf numFmtId="0" fontId="3" fillId="0" borderId="12" xfId="0" applyFont="1" applyBorder="1" applyAlignment="1">
      <alignment horizontal="justify" vertical="center" wrapText="1"/>
    </xf>
    <xf numFmtId="49" fontId="3" fillId="0" borderId="13" xfId="0" applyNumberFormat="1" applyFont="1" applyBorder="1" applyAlignment="1">
      <alignment horizontal="justify" vertical="center" wrapText="1"/>
    </xf>
    <xf numFmtId="49" fontId="3" fillId="0" borderId="13" xfId="0" applyNumberFormat="1" applyFont="1" applyBorder="1" applyAlignment="1">
      <alignment horizontal="justify" vertical="center" wrapText="1"/>
    </xf>
    <xf numFmtId="0" fontId="3" fillId="0" borderId="12" xfId="0" applyFont="1" applyBorder="1" applyAlignment="1">
      <alignment horizontal="justify" vertical="center" wrapText="1"/>
    </xf>
    <xf numFmtId="167" fontId="3" fillId="0" borderId="12" xfId="0" applyNumberFormat="1" applyFont="1" applyBorder="1" applyAlignment="1">
      <alignment horizontal="center" vertical="center" wrapText="1"/>
    </xf>
    <xf numFmtId="168" fontId="3" fillId="0" borderId="12" xfId="0" applyNumberFormat="1" applyFont="1" applyBorder="1" applyAlignment="1">
      <alignment horizontal="center" vertical="center" wrapText="1"/>
    </xf>
    <xf numFmtId="9" fontId="3" fillId="0" borderId="0" xfId="0" applyNumberFormat="1" applyFont="1" applyAlignment="1">
      <alignment horizontal="justify" vertical="center" wrapText="1"/>
    </xf>
    <xf numFmtId="0" fontId="1" fillId="0" borderId="12" xfId="0" applyFont="1" applyBorder="1" applyAlignment="1">
      <alignment horizontal="center" vertical="center"/>
    </xf>
    <xf numFmtId="0" fontId="3" fillId="0" borderId="12" xfId="0" applyFont="1" applyBorder="1" applyAlignment="1">
      <alignment vertical="center" wrapText="1"/>
    </xf>
    <xf numFmtId="0" fontId="3" fillId="0" borderId="12" xfId="0" applyFont="1" applyFill="1" applyBorder="1" applyAlignment="1">
      <alignment horizontal="center" vertical="center" wrapText="1"/>
    </xf>
    <xf numFmtId="10" fontId="3" fillId="0" borderId="12" xfId="0" applyNumberFormat="1" applyFont="1" applyFill="1" applyBorder="1" applyAlignment="1">
      <alignment horizontal="center" vertical="center" wrapText="1"/>
    </xf>
    <xf numFmtId="1" fontId="3" fillId="0" borderId="12" xfId="0" applyNumberFormat="1" applyFont="1" applyFill="1" applyBorder="1" applyAlignment="1">
      <alignment horizontal="center" vertical="center" wrapText="1"/>
    </xf>
    <xf numFmtId="2" fontId="3" fillId="0" borderId="12" xfId="0" applyNumberFormat="1" applyFont="1" applyFill="1" applyBorder="1" applyAlignment="1">
      <alignment horizontal="center" vertical="center" wrapText="1"/>
    </xf>
    <xf numFmtId="9" fontId="3" fillId="0" borderId="12" xfId="0" applyNumberFormat="1" applyFont="1" applyFill="1" applyBorder="1" applyAlignment="1">
      <alignment horizontal="center" vertical="center" wrapText="1"/>
    </xf>
    <xf numFmtId="1" fontId="3" fillId="0" borderId="13" xfId="0" applyNumberFormat="1" applyFont="1" applyFill="1" applyBorder="1" applyAlignment="1">
      <alignment horizontal="center" vertical="center" wrapText="1"/>
    </xf>
    <xf numFmtId="1" fontId="9" fillId="0" borderId="12" xfId="0" applyNumberFormat="1" applyFont="1" applyBorder="1" applyAlignment="1">
      <alignment horizontal="center" vertical="center" wrapText="1"/>
    </xf>
    <xf numFmtId="0" fontId="9" fillId="0" borderId="13"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0" xfId="0" applyFont="1" applyAlignment="1">
      <alignment horizontal="center" vertical="center" wrapText="1"/>
    </xf>
    <xf numFmtId="0" fontId="3" fillId="0" borderId="13" xfId="0" applyFont="1" applyBorder="1" applyAlignment="1">
      <alignment horizontal="justify" vertical="center" wrapText="1"/>
    </xf>
    <xf numFmtId="0" fontId="3" fillId="0" borderId="15" xfId="0" applyFont="1" applyBorder="1" applyAlignment="1">
      <alignment horizontal="justify" vertical="center" wrapText="1"/>
    </xf>
    <xf numFmtId="0" fontId="3" fillId="0" borderId="12" xfId="0" applyFont="1" applyBorder="1" applyAlignment="1">
      <alignment horizontal="center" vertical="center" textRotation="90"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5" xfId="0" applyFont="1" applyBorder="1" applyAlignment="1">
      <alignment horizontal="center" vertical="center"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3" fillId="0" borderId="15" xfId="0" applyFont="1" applyBorder="1" applyAlignment="1">
      <alignment horizontal="center" vertical="center" textRotation="90" wrapText="1"/>
    </xf>
    <xf numFmtId="0" fontId="0" fillId="0" borderId="14" xfId="0" applyBorder="1"/>
    <xf numFmtId="0" fontId="0" fillId="0" borderId="15" xfId="0" applyBorder="1"/>
    <xf numFmtId="0" fontId="4" fillId="0" borderId="14" xfId="0" applyFont="1" applyBorder="1" applyAlignment="1">
      <alignment horizontal="center" vertical="center" wrapText="1"/>
    </xf>
    <xf numFmtId="0" fontId="3" fillId="0" borderId="14" xfId="0" applyFont="1" applyBorder="1" applyAlignment="1">
      <alignment horizontal="justify" vertical="center" wrapText="1"/>
    </xf>
    <xf numFmtId="0" fontId="3" fillId="0" borderId="13" xfId="0" applyFont="1" applyBorder="1" applyAlignment="1">
      <alignment horizontal="left" vertical="center" wrapText="1"/>
    </xf>
    <xf numFmtId="0" fontId="3" fillId="0" borderId="15" xfId="0" applyFont="1" applyBorder="1" applyAlignment="1">
      <alignment horizontal="lef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9" fontId="3" fillId="0" borderId="13" xfId="0" applyNumberFormat="1" applyFont="1" applyBorder="1" applyAlignment="1">
      <alignment horizontal="center" vertical="center" wrapText="1"/>
    </xf>
    <xf numFmtId="0" fontId="2" fillId="0" borderId="12" xfId="0" applyFont="1" applyBorder="1" applyAlignment="1">
      <alignment horizontal="center" vertical="center" wrapText="1"/>
    </xf>
    <xf numFmtId="1" fontId="3" fillId="0" borderId="13" xfId="0" applyNumberFormat="1" applyFont="1" applyBorder="1" applyAlignment="1">
      <alignment horizontal="center" vertical="center" wrapText="1"/>
    </xf>
    <xf numFmtId="1" fontId="3" fillId="0" borderId="14"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49" fontId="2" fillId="0" borderId="10"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Alignment="1">
      <alignment horizontal="center" vertical="center" wrapText="1"/>
    </xf>
    <xf numFmtId="166" fontId="4" fillId="0" borderId="13" xfId="0" applyNumberFormat="1" applyFont="1" applyBorder="1" applyAlignment="1">
      <alignment horizontal="center" vertical="center"/>
    </xf>
    <xf numFmtId="166" fontId="4" fillId="0" borderId="15" xfId="0" applyNumberFormat="1" applyFont="1" applyBorder="1" applyAlignment="1">
      <alignment horizontal="center" vertical="center"/>
    </xf>
    <xf numFmtId="164" fontId="4" fillId="0" borderId="13" xfId="0" applyNumberFormat="1" applyFont="1" applyBorder="1" applyAlignment="1">
      <alignment horizontal="right" vertical="center"/>
    </xf>
    <xf numFmtId="164" fontId="4" fillId="0" borderId="15" xfId="0" applyNumberFormat="1" applyFont="1" applyBorder="1" applyAlignment="1">
      <alignment horizontal="right" vertical="center"/>
    </xf>
    <xf numFmtId="49" fontId="3" fillId="0" borderId="13" xfId="0" applyNumberFormat="1" applyFont="1" applyBorder="1" applyAlignment="1">
      <alignment horizontal="justify" vertical="center" wrapText="1"/>
    </xf>
    <xf numFmtId="49" fontId="3" fillId="0" borderId="14" xfId="0" applyNumberFormat="1" applyFont="1" applyBorder="1" applyAlignment="1">
      <alignment horizontal="justify" vertical="center" wrapText="1"/>
    </xf>
    <xf numFmtId="49" fontId="3" fillId="0" borderId="15" xfId="0" applyNumberFormat="1" applyFont="1" applyBorder="1" applyAlignment="1">
      <alignment horizontal="justify" vertical="center" wrapText="1"/>
    </xf>
    <xf numFmtId="0" fontId="3" fillId="0" borderId="12" xfId="0" applyFont="1" applyBorder="1" applyAlignment="1">
      <alignment horizontal="justify" vertical="center" wrapText="1"/>
    </xf>
    <xf numFmtId="1" fontId="3" fillId="0" borderId="15" xfId="0" applyNumberFormat="1" applyFont="1" applyBorder="1" applyAlignment="1">
      <alignment horizontal="center" vertical="center" wrapText="1"/>
    </xf>
    <xf numFmtId="49" fontId="3" fillId="0" borderId="1" xfId="0" applyNumberFormat="1" applyFont="1" applyBorder="1" applyAlignment="1">
      <alignment horizontal="justify" vertical="center" wrapText="1"/>
    </xf>
    <xf numFmtId="49" fontId="3" fillId="0" borderId="2" xfId="0" applyNumberFormat="1" applyFont="1" applyBorder="1" applyAlignment="1">
      <alignment horizontal="justify" vertical="center" wrapText="1"/>
    </xf>
    <xf numFmtId="49" fontId="3" fillId="0" borderId="3" xfId="0" applyNumberFormat="1" applyFont="1" applyBorder="1" applyAlignment="1">
      <alignment horizontal="justify" vertical="center" wrapText="1"/>
    </xf>
    <xf numFmtId="49" fontId="3" fillId="0" borderId="4" xfId="0" applyNumberFormat="1" applyFont="1" applyBorder="1" applyAlignment="1">
      <alignment horizontal="justify" vertical="center" wrapText="1"/>
    </xf>
    <xf numFmtId="49" fontId="3" fillId="0" borderId="5" xfId="0" applyNumberFormat="1" applyFont="1" applyBorder="1" applyAlignment="1">
      <alignment horizontal="justify" vertical="center" wrapText="1"/>
    </xf>
    <xf numFmtId="49" fontId="3" fillId="0" borderId="6" xfId="0" applyNumberFormat="1" applyFont="1" applyBorder="1" applyAlignment="1">
      <alignment horizontal="justify" vertical="center" wrapText="1"/>
    </xf>
    <xf numFmtId="49" fontId="2" fillId="0" borderId="10" xfId="0" applyNumberFormat="1" applyFont="1" applyBorder="1" applyAlignment="1">
      <alignment horizontal="justify" vertical="center" wrapText="1"/>
    </xf>
    <xf numFmtId="49" fontId="2" fillId="0" borderId="0" xfId="0" applyNumberFormat="1" applyFont="1" applyAlignment="1">
      <alignment horizontal="justify" vertical="center" wrapText="1"/>
    </xf>
    <xf numFmtId="49" fontId="2" fillId="0" borderId="11" xfId="0" applyNumberFormat="1" applyFont="1" applyBorder="1" applyAlignment="1">
      <alignment horizontal="justify" vertical="center" wrapText="1"/>
    </xf>
    <xf numFmtId="1" fontId="3" fillId="0" borderId="12" xfId="0" applyNumberFormat="1"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7"/>
  </sheetPr>
  <dimension ref="A1:AB686"/>
  <sheetViews>
    <sheetView showGridLines="0" topLeftCell="H1" zoomScale="145" zoomScaleNormal="145" workbookViewId="0">
      <selection activeCell="K6" sqref="K6:K8"/>
    </sheetView>
  </sheetViews>
  <sheetFormatPr baseColWidth="10" defaultColWidth="11.5546875" defaultRowHeight="12" customHeight="1" zeroHeight="1" x14ac:dyDescent="0.25"/>
  <cols>
    <col min="1" max="1" width="10.109375" style="36" bestFit="1" customWidth="1"/>
    <col min="2" max="2" width="23.44140625" style="36" customWidth="1"/>
    <col min="3" max="3" width="20.109375" style="36" customWidth="1"/>
    <col min="4" max="4" width="17" style="36" customWidth="1"/>
    <col min="5" max="5" width="12.6640625" style="36" bestFit="1" customWidth="1"/>
    <col min="6" max="6" width="18" style="38" customWidth="1"/>
    <col min="7" max="7" width="20.109375" style="1" customWidth="1"/>
    <col min="8" max="8" width="20.44140625" style="36" customWidth="1"/>
    <col min="9" max="9" width="11.6640625" style="36" customWidth="1"/>
    <col min="10" max="10" width="21.44140625" style="36" customWidth="1"/>
    <col min="11" max="11" width="20.44140625" style="1" customWidth="1"/>
    <col min="12" max="12" width="15.6640625" style="36" bestFit="1" customWidth="1"/>
    <col min="13" max="13" width="8.5546875" style="36" bestFit="1" customWidth="1"/>
    <col min="14" max="14" width="9.5546875" style="36" customWidth="1"/>
    <col min="15" max="15" width="6.88671875" style="36" bestFit="1" customWidth="1"/>
    <col min="16" max="16" width="12" style="36" customWidth="1"/>
    <col min="17" max="17" width="8" style="36" bestFit="1" customWidth="1"/>
    <col min="18" max="18" width="9.6640625" style="36" customWidth="1"/>
    <col min="19" max="19" width="13.44140625" style="36" customWidth="1"/>
    <col min="20" max="20" width="5.44140625" style="36" bestFit="1" customWidth="1"/>
    <col min="21" max="21" width="7.88671875" style="36" bestFit="1" customWidth="1"/>
    <col min="22" max="22" width="6.44140625" style="36" bestFit="1" customWidth="1"/>
    <col min="23" max="23" width="7.88671875" style="37" customWidth="1"/>
    <col min="24" max="24" width="16.5546875" style="36" customWidth="1"/>
    <col min="25" max="25" width="11.5546875" style="1" customWidth="1"/>
    <col min="26" max="16384" width="11.5546875" style="1"/>
  </cols>
  <sheetData>
    <row r="1" spans="1:28" ht="12" customHeight="1" x14ac:dyDescent="0.25">
      <c r="A1" s="91" t="s">
        <v>0</v>
      </c>
      <c r="B1" s="92"/>
      <c r="C1" s="92"/>
      <c r="D1" s="92"/>
      <c r="E1" s="93"/>
      <c r="F1" s="97" t="s">
        <v>440</v>
      </c>
      <c r="G1" s="98"/>
      <c r="H1" s="98"/>
      <c r="I1" s="98"/>
      <c r="J1" s="98"/>
      <c r="K1" s="98"/>
      <c r="L1" s="98"/>
      <c r="M1" s="98"/>
      <c r="N1" s="98"/>
      <c r="O1" s="98"/>
      <c r="P1" s="98"/>
      <c r="Q1" s="98"/>
      <c r="R1" s="98"/>
      <c r="S1" s="98"/>
      <c r="T1" s="98"/>
      <c r="U1" s="98"/>
      <c r="V1" s="98"/>
      <c r="W1" s="98"/>
      <c r="X1" s="99"/>
    </row>
    <row r="2" spans="1:28" ht="11.4" x14ac:dyDescent="0.25">
      <c r="A2" s="94"/>
      <c r="B2" s="95"/>
      <c r="C2" s="95"/>
      <c r="D2" s="95"/>
      <c r="E2" s="96"/>
      <c r="F2" s="100" t="s">
        <v>1</v>
      </c>
      <c r="G2" s="101"/>
      <c r="H2" s="101"/>
      <c r="I2" s="101"/>
      <c r="J2" s="101"/>
      <c r="K2" s="101"/>
      <c r="L2" s="101"/>
      <c r="M2" s="101"/>
      <c r="N2" s="101"/>
      <c r="O2" s="101"/>
      <c r="P2" s="101"/>
      <c r="Q2" s="101"/>
      <c r="R2" s="101"/>
      <c r="S2" s="101"/>
      <c r="T2" s="101"/>
      <c r="U2" s="101"/>
      <c r="V2" s="101"/>
      <c r="W2" s="101"/>
      <c r="X2" s="102"/>
    </row>
    <row r="3" spans="1:28" ht="24" customHeight="1" x14ac:dyDescent="0.25">
      <c r="A3" s="103" t="s">
        <v>2</v>
      </c>
      <c r="B3" s="104"/>
      <c r="C3" s="104"/>
      <c r="D3" s="104"/>
      <c r="E3" s="105"/>
      <c r="F3" s="106" t="s">
        <v>441</v>
      </c>
      <c r="G3" s="107"/>
      <c r="H3" s="107"/>
      <c r="I3" s="107"/>
      <c r="J3" s="107"/>
      <c r="K3" s="107"/>
      <c r="L3" s="107"/>
      <c r="M3" s="107"/>
      <c r="N3" s="107"/>
      <c r="O3" s="107"/>
      <c r="P3" s="107"/>
      <c r="Q3" s="107"/>
      <c r="R3" s="107"/>
      <c r="S3" s="107"/>
      <c r="T3" s="2"/>
      <c r="U3" s="2"/>
      <c r="V3" s="2"/>
      <c r="W3" s="3"/>
      <c r="X3" s="4"/>
    </row>
    <row r="4" spans="1:28" ht="12" customHeight="1" x14ac:dyDescent="0.25">
      <c r="A4" s="91" t="s">
        <v>3</v>
      </c>
      <c r="B4" s="92"/>
      <c r="C4" s="92"/>
      <c r="D4" s="92"/>
      <c r="E4" s="92"/>
      <c r="F4" s="97" t="s">
        <v>4</v>
      </c>
      <c r="G4" s="98"/>
      <c r="H4" s="98"/>
      <c r="I4" s="98"/>
      <c r="J4" s="98"/>
      <c r="K4" s="98"/>
      <c r="L4" s="98"/>
      <c r="M4" s="98"/>
      <c r="N4" s="98"/>
      <c r="O4" s="98"/>
      <c r="P4" s="98"/>
      <c r="Q4" s="98"/>
      <c r="R4" s="98"/>
      <c r="S4" s="98"/>
      <c r="T4" s="98"/>
      <c r="U4" s="98"/>
      <c r="V4" s="98"/>
      <c r="W4" s="98"/>
      <c r="X4" s="99"/>
    </row>
    <row r="5" spans="1:28" ht="11.4" x14ac:dyDescent="0.25">
      <c r="A5" s="94"/>
      <c r="B5" s="95"/>
      <c r="C5" s="95"/>
      <c r="D5" s="95"/>
      <c r="E5" s="95"/>
      <c r="F5" s="100" t="s">
        <v>5</v>
      </c>
      <c r="G5" s="101"/>
      <c r="H5" s="101"/>
      <c r="I5" s="101"/>
      <c r="J5" s="101"/>
      <c r="K5" s="101"/>
      <c r="L5" s="101"/>
      <c r="M5" s="101"/>
      <c r="N5" s="101"/>
      <c r="O5" s="101"/>
      <c r="P5" s="101"/>
      <c r="Q5" s="101"/>
      <c r="R5" s="101"/>
      <c r="S5" s="101"/>
      <c r="T5" s="101"/>
      <c r="U5" s="101"/>
      <c r="V5" s="101"/>
      <c r="W5" s="101"/>
      <c r="X5" s="102"/>
    </row>
    <row r="6" spans="1:28" ht="48" customHeight="1" x14ac:dyDescent="0.25">
      <c r="A6" s="88" t="s">
        <v>6</v>
      </c>
      <c r="B6" s="110" t="s">
        <v>7</v>
      </c>
      <c r="C6" s="108" t="s">
        <v>470</v>
      </c>
      <c r="D6" s="88" t="s">
        <v>8</v>
      </c>
      <c r="E6" s="88"/>
      <c r="F6" s="108" t="s">
        <v>9</v>
      </c>
      <c r="G6" s="108" t="s">
        <v>10</v>
      </c>
      <c r="H6" s="108" t="s">
        <v>11</v>
      </c>
      <c r="I6" s="110" t="s">
        <v>12</v>
      </c>
      <c r="J6" s="108" t="s">
        <v>13</v>
      </c>
      <c r="K6" s="108" t="s">
        <v>14</v>
      </c>
      <c r="L6" s="111" t="s">
        <v>15</v>
      </c>
      <c r="M6" s="112"/>
      <c r="N6" s="108" t="s">
        <v>16</v>
      </c>
      <c r="O6" s="91" t="s">
        <v>892</v>
      </c>
      <c r="P6" s="92"/>
      <c r="Q6" s="92"/>
      <c r="R6" s="93"/>
      <c r="S6" s="108" t="s">
        <v>471</v>
      </c>
      <c r="T6" s="94" t="s">
        <v>17</v>
      </c>
      <c r="U6" s="95"/>
      <c r="V6" s="95"/>
      <c r="W6" s="95"/>
      <c r="X6" s="108" t="s">
        <v>18</v>
      </c>
    </row>
    <row r="7" spans="1:28" x14ac:dyDescent="0.25">
      <c r="A7" s="88"/>
      <c r="B7" s="108"/>
      <c r="C7" s="108"/>
      <c r="D7" s="88"/>
      <c r="E7" s="88"/>
      <c r="F7" s="108"/>
      <c r="G7" s="108"/>
      <c r="H7" s="108"/>
      <c r="I7" s="108"/>
      <c r="J7" s="108"/>
      <c r="K7" s="108"/>
      <c r="L7" s="94"/>
      <c r="M7" s="96"/>
      <c r="N7" s="108"/>
      <c r="O7" s="111"/>
      <c r="P7" s="113"/>
      <c r="Q7" s="113"/>
      <c r="R7" s="112"/>
      <c r="S7" s="108"/>
      <c r="T7" s="88">
        <v>2020</v>
      </c>
      <c r="U7" s="88"/>
      <c r="V7" s="88"/>
      <c r="W7" s="88"/>
      <c r="X7" s="108"/>
    </row>
    <row r="8" spans="1:28" ht="34.200000000000003" x14ac:dyDescent="0.25">
      <c r="A8" s="88"/>
      <c r="B8" s="109"/>
      <c r="C8" s="109"/>
      <c r="D8" s="5" t="s">
        <v>19</v>
      </c>
      <c r="E8" s="5" t="s">
        <v>473</v>
      </c>
      <c r="F8" s="109"/>
      <c r="G8" s="109"/>
      <c r="H8" s="109"/>
      <c r="I8" s="109"/>
      <c r="J8" s="109"/>
      <c r="K8" s="109"/>
      <c r="L8" s="5" t="s">
        <v>20</v>
      </c>
      <c r="M8" s="5" t="s">
        <v>474</v>
      </c>
      <c r="N8" s="109"/>
      <c r="O8" s="6" t="s">
        <v>21</v>
      </c>
      <c r="P8" s="5" t="s">
        <v>475</v>
      </c>
      <c r="Q8" s="5" t="s">
        <v>476</v>
      </c>
      <c r="R8" s="5" t="s">
        <v>477</v>
      </c>
      <c r="S8" s="109"/>
      <c r="T8" s="5" t="s">
        <v>22</v>
      </c>
      <c r="U8" s="5" t="s">
        <v>23</v>
      </c>
      <c r="V8" s="5" t="s">
        <v>24</v>
      </c>
      <c r="W8" s="7" t="s">
        <v>25</v>
      </c>
      <c r="X8" s="109"/>
    </row>
    <row r="9" spans="1:28" s="14" customFormat="1" ht="60" customHeight="1" x14ac:dyDescent="0.25">
      <c r="A9" s="76" t="s">
        <v>26</v>
      </c>
      <c r="B9" s="71" t="s">
        <v>452</v>
      </c>
      <c r="C9" s="71" t="s">
        <v>27</v>
      </c>
      <c r="D9" s="71" t="s">
        <v>28</v>
      </c>
      <c r="E9" s="71" t="s">
        <v>29</v>
      </c>
      <c r="F9" s="70" t="s">
        <v>30</v>
      </c>
      <c r="G9" s="70" t="s">
        <v>453</v>
      </c>
      <c r="H9" s="89" t="s">
        <v>31</v>
      </c>
      <c r="I9" s="9" t="s">
        <v>32</v>
      </c>
      <c r="J9" s="10" t="s">
        <v>885</v>
      </c>
      <c r="K9" s="11" t="s">
        <v>886</v>
      </c>
      <c r="L9" s="5" t="s">
        <v>33</v>
      </c>
      <c r="M9" s="5" t="s">
        <v>34</v>
      </c>
      <c r="N9" s="5" t="s">
        <v>35</v>
      </c>
      <c r="O9" s="5">
        <v>0</v>
      </c>
      <c r="P9" s="5">
        <v>25</v>
      </c>
      <c r="Q9" s="5">
        <v>0</v>
      </c>
      <c r="R9" s="5">
        <v>0</v>
      </c>
      <c r="S9" s="12">
        <v>40</v>
      </c>
      <c r="T9" s="7">
        <v>0.32000000000000006</v>
      </c>
      <c r="U9" s="7">
        <v>2.72</v>
      </c>
      <c r="V9" s="7">
        <v>0</v>
      </c>
      <c r="W9" s="7">
        <v>3.04</v>
      </c>
      <c r="X9" s="40" t="s">
        <v>467</v>
      </c>
      <c r="Y9" s="13"/>
      <c r="Z9" s="13"/>
      <c r="AA9" s="13"/>
      <c r="AB9" s="13"/>
    </row>
    <row r="10" spans="1:28" s="14" customFormat="1" ht="45.6" x14ac:dyDescent="0.25">
      <c r="A10" s="77"/>
      <c r="B10" s="72"/>
      <c r="C10" s="72"/>
      <c r="D10" s="72"/>
      <c r="E10" s="72"/>
      <c r="F10" s="70"/>
      <c r="G10" s="70"/>
      <c r="H10" s="90"/>
      <c r="I10" s="9" t="s">
        <v>36</v>
      </c>
      <c r="J10" s="10" t="s">
        <v>37</v>
      </c>
      <c r="K10" s="15" t="s">
        <v>38</v>
      </c>
      <c r="L10" s="5" t="s">
        <v>39</v>
      </c>
      <c r="M10" s="5" t="s">
        <v>34</v>
      </c>
      <c r="N10" s="5" t="s">
        <v>40</v>
      </c>
      <c r="O10" s="5">
        <v>0</v>
      </c>
      <c r="P10" s="5">
        <v>200</v>
      </c>
      <c r="Q10" s="5">
        <v>0</v>
      </c>
      <c r="R10" s="5">
        <v>0</v>
      </c>
      <c r="S10" s="12">
        <v>200</v>
      </c>
      <c r="T10" s="7">
        <v>0.4</v>
      </c>
      <c r="U10" s="7">
        <v>3.1216571428571451</v>
      </c>
      <c r="V10" s="7">
        <v>0</v>
      </c>
      <c r="W10" s="7">
        <v>3.521657142857145</v>
      </c>
      <c r="X10" s="40" t="s">
        <v>467</v>
      </c>
      <c r="Y10" s="13"/>
      <c r="Z10" s="13"/>
      <c r="AA10" s="13"/>
      <c r="AB10" s="13"/>
    </row>
    <row r="11" spans="1:28" s="14" customFormat="1" ht="57" x14ac:dyDescent="0.25">
      <c r="A11" s="77"/>
      <c r="B11" s="72"/>
      <c r="C11" s="73"/>
      <c r="D11" s="73"/>
      <c r="E11" s="73"/>
      <c r="F11" s="70"/>
      <c r="G11" s="70"/>
      <c r="H11" s="90"/>
      <c r="I11" s="9" t="s">
        <v>41</v>
      </c>
      <c r="J11" s="10" t="s">
        <v>42</v>
      </c>
      <c r="K11" s="11" t="s">
        <v>43</v>
      </c>
      <c r="L11" s="5" t="s">
        <v>44</v>
      </c>
      <c r="M11" s="5" t="s">
        <v>34</v>
      </c>
      <c r="N11" s="5" t="s">
        <v>40</v>
      </c>
      <c r="O11" s="5">
        <v>0</v>
      </c>
      <c r="P11" s="5">
        <v>80</v>
      </c>
      <c r="Q11" s="5">
        <v>0</v>
      </c>
      <c r="R11" s="5">
        <v>0</v>
      </c>
      <c r="S11" s="12">
        <v>80</v>
      </c>
      <c r="T11" s="7">
        <v>0.27999999999999997</v>
      </c>
      <c r="U11" s="7">
        <v>2.7</v>
      </c>
      <c r="V11" s="7">
        <v>0</v>
      </c>
      <c r="W11" s="7">
        <v>2.9800000000000004</v>
      </c>
      <c r="X11" s="40" t="s">
        <v>467</v>
      </c>
      <c r="Y11" s="13"/>
      <c r="Z11" s="13"/>
      <c r="AA11" s="13"/>
      <c r="AB11" s="13"/>
    </row>
    <row r="12" spans="1:28" s="14" customFormat="1" ht="13.2" x14ac:dyDescent="0.25">
      <c r="A12" s="77"/>
      <c r="B12" s="72"/>
      <c r="C12" s="71" t="s">
        <v>45</v>
      </c>
      <c r="D12" s="71" t="s">
        <v>46</v>
      </c>
      <c r="E12" s="87" t="s">
        <v>34</v>
      </c>
      <c r="F12" s="70"/>
      <c r="G12" s="70"/>
      <c r="H12" s="90"/>
      <c r="I12" s="9" t="s">
        <v>47</v>
      </c>
      <c r="J12" s="10"/>
      <c r="K12" s="15"/>
      <c r="L12" s="5"/>
      <c r="M12" s="5"/>
      <c r="N12" s="5"/>
      <c r="O12" s="5"/>
      <c r="P12" s="16"/>
      <c r="Q12" s="16"/>
      <c r="R12" s="16"/>
      <c r="S12" s="16"/>
      <c r="T12" s="7"/>
      <c r="U12" s="7"/>
      <c r="V12" s="7"/>
      <c r="W12" s="7"/>
      <c r="X12" s="40"/>
      <c r="Y12" s="13"/>
      <c r="Z12" s="13"/>
      <c r="AA12" s="13"/>
      <c r="AB12" s="13"/>
    </row>
    <row r="13" spans="1:28" s="14" customFormat="1" ht="45.6" x14ac:dyDescent="0.25">
      <c r="A13" s="77"/>
      <c r="B13" s="72"/>
      <c r="C13" s="72"/>
      <c r="D13" s="72"/>
      <c r="E13" s="72"/>
      <c r="F13" s="70"/>
      <c r="G13" s="70"/>
      <c r="H13" s="70" t="s">
        <v>49</v>
      </c>
      <c r="I13" s="9" t="s">
        <v>50</v>
      </c>
      <c r="J13" s="17" t="s">
        <v>887</v>
      </c>
      <c r="K13" s="15" t="s">
        <v>888</v>
      </c>
      <c r="L13" s="5" t="s">
        <v>51</v>
      </c>
      <c r="M13" s="5" t="s">
        <v>34</v>
      </c>
      <c r="N13" s="5" t="s">
        <v>35</v>
      </c>
      <c r="O13" s="5">
        <v>0</v>
      </c>
      <c r="P13" s="5">
        <v>300</v>
      </c>
      <c r="Q13" s="5">
        <v>0</v>
      </c>
      <c r="R13" s="5">
        <v>0</v>
      </c>
      <c r="S13" s="12">
        <v>300</v>
      </c>
      <c r="T13" s="7">
        <v>0.44000000000000006</v>
      </c>
      <c r="U13" s="7">
        <v>3.44</v>
      </c>
      <c r="V13" s="7">
        <v>0</v>
      </c>
      <c r="W13" s="7">
        <v>3.88</v>
      </c>
      <c r="X13" s="40" t="s">
        <v>467</v>
      </c>
      <c r="Y13" s="13"/>
      <c r="Z13" s="13"/>
      <c r="AA13" s="13"/>
      <c r="AB13" s="13"/>
    </row>
    <row r="14" spans="1:28" s="14" customFormat="1" ht="49.5" customHeight="1" x14ac:dyDescent="0.25">
      <c r="A14" s="77"/>
      <c r="B14" s="72"/>
      <c r="C14" s="72"/>
      <c r="D14" s="72"/>
      <c r="E14" s="72"/>
      <c r="F14" s="70"/>
      <c r="G14" s="70"/>
      <c r="H14" s="70"/>
      <c r="I14" s="9" t="s">
        <v>52</v>
      </c>
      <c r="J14" s="17" t="s">
        <v>442</v>
      </c>
      <c r="K14" s="15" t="s">
        <v>53</v>
      </c>
      <c r="L14" s="5" t="s">
        <v>54</v>
      </c>
      <c r="M14" s="18">
        <v>10</v>
      </c>
      <c r="N14" s="18" t="s">
        <v>35</v>
      </c>
      <c r="O14" s="18">
        <v>0</v>
      </c>
      <c r="P14" s="18">
        <f>T14/4</f>
        <v>0.1</v>
      </c>
      <c r="Q14" s="18">
        <v>0</v>
      </c>
      <c r="R14" s="18">
        <v>0</v>
      </c>
      <c r="S14" s="18">
        <v>60</v>
      </c>
      <c r="T14" s="7">
        <v>0.4</v>
      </c>
      <c r="U14" s="7">
        <v>5.0136571428571406</v>
      </c>
      <c r="V14" s="7">
        <v>0</v>
      </c>
      <c r="W14" s="7">
        <v>5.4136571428571401</v>
      </c>
      <c r="X14" s="40" t="s">
        <v>467</v>
      </c>
      <c r="Y14" s="13"/>
      <c r="Z14" s="13"/>
      <c r="AA14" s="13"/>
      <c r="AB14" s="13"/>
    </row>
    <row r="15" spans="1:28" s="14" customFormat="1" ht="45.6" x14ac:dyDescent="0.25">
      <c r="A15" s="77"/>
      <c r="B15" s="72"/>
      <c r="C15" s="73"/>
      <c r="D15" s="73"/>
      <c r="E15" s="73"/>
      <c r="F15" s="70"/>
      <c r="G15" s="70"/>
      <c r="H15" s="70"/>
      <c r="I15" s="9" t="s">
        <v>55</v>
      </c>
      <c r="J15" s="10" t="s">
        <v>56</v>
      </c>
      <c r="K15" s="5" t="s">
        <v>57</v>
      </c>
      <c r="L15" s="5" t="s">
        <v>58</v>
      </c>
      <c r="M15" s="5" t="s">
        <v>34</v>
      </c>
      <c r="N15" s="5" t="s">
        <v>40</v>
      </c>
      <c r="O15" s="5">
        <v>0</v>
      </c>
      <c r="P15" s="5">
        <v>0</v>
      </c>
      <c r="Q15" s="5">
        <v>0</v>
      </c>
      <c r="R15" s="5">
        <v>0</v>
      </c>
      <c r="S15" s="12">
        <v>1</v>
      </c>
      <c r="T15" s="7">
        <v>0</v>
      </c>
      <c r="U15" s="7">
        <v>0</v>
      </c>
      <c r="V15" s="7">
        <v>0</v>
      </c>
      <c r="W15" s="7">
        <v>0</v>
      </c>
      <c r="X15" s="40" t="s">
        <v>467</v>
      </c>
      <c r="Y15" s="13"/>
      <c r="Z15" s="13"/>
      <c r="AA15" s="13"/>
      <c r="AB15" s="13"/>
    </row>
    <row r="16" spans="1:28" s="14" customFormat="1" ht="57" x14ac:dyDescent="0.25">
      <c r="A16" s="77"/>
      <c r="B16" s="72"/>
      <c r="C16" s="71" t="s">
        <v>59</v>
      </c>
      <c r="D16" s="71" t="s">
        <v>60</v>
      </c>
      <c r="E16" s="71" t="s">
        <v>61</v>
      </c>
      <c r="F16" s="70"/>
      <c r="G16" s="70"/>
      <c r="H16" s="70"/>
      <c r="I16" s="9" t="s">
        <v>62</v>
      </c>
      <c r="J16" s="10" t="s">
        <v>63</v>
      </c>
      <c r="K16" s="5" t="s">
        <v>57</v>
      </c>
      <c r="L16" s="5" t="s">
        <v>58</v>
      </c>
      <c r="M16" s="5" t="s">
        <v>34</v>
      </c>
      <c r="N16" s="5" t="s">
        <v>40</v>
      </c>
      <c r="O16" s="5">
        <v>0</v>
      </c>
      <c r="P16" s="5">
        <v>0</v>
      </c>
      <c r="Q16" s="5">
        <v>0</v>
      </c>
      <c r="R16" s="5">
        <v>0</v>
      </c>
      <c r="S16" s="12">
        <v>1</v>
      </c>
      <c r="T16" s="7">
        <v>0</v>
      </c>
      <c r="U16" s="7">
        <v>0</v>
      </c>
      <c r="V16" s="7">
        <v>0</v>
      </c>
      <c r="W16" s="7">
        <v>0</v>
      </c>
      <c r="X16" s="40" t="s">
        <v>467</v>
      </c>
      <c r="Y16" s="13"/>
      <c r="Z16" s="13"/>
      <c r="AA16" s="13"/>
      <c r="AB16" s="13"/>
    </row>
    <row r="17" spans="1:28" s="14" customFormat="1" ht="45.6" x14ac:dyDescent="0.25">
      <c r="A17" s="77"/>
      <c r="B17" s="72"/>
      <c r="C17" s="72"/>
      <c r="D17" s="72"/>
      <c r="E17" s="72"/>
      <c r="F17" s="70"/>
      <c r="G17" s="70"/>
      <c r="H17" s="70"/>
      <c r="I17" s="9" t="s">
        <v>64</v>
      </c>
      <c r="J17" s="10" t="s">
        <v>65</v>
      </c>
      <c r="K17" s="5" t="s">
        <v>66</v>
      </c>
      <c r="L17" s="5" t="s">
        <v>67</v>
      </c>
      <c r="M17" s="5" t="s">
        <v>34</v>
      </c>
      <c r="N17" s="5" t="s">
        <v>40</v>
      </c>
      <c r="O17" s="5">
        <v>0</v>
      </c>
      <c r="P17" s="5">
        <v>1</v>
      </c>
      <c r="Q17" s="5">
        <v>0</v>
      </c>
      <c r="R17" s="5">
        <v>0</v>
      </c>
      <c r="S17" s="12">
        <v>1</v>
      </c>
      <c r="T17" s="7">
        <v>0.76</v>
      </c>
      <c r="U17" s="7">
        <v>6.8400000000000007</v>
      </c>
      <c r="V17" s="7">
        <v>0</v>
      </c>
      <c r="W17" s="7">
        <v>7.6000000000000005</v>
      </c>
      <c r="X17" s="40" t="s">
        <v>467</v>
      </c>
      <c r="Y17" s="13"/>
      <c r="Z17" s="13"/>
      <c r="AA17" s="13"/>
      <c r="AB17" s="13"/>
    </row>
    <row r="18" spans="1:28" s="14" customFormat="1" ht="45.6" x14ac:dyDescent="0.25">
      <c r="A18" s="77"/>
      <c r="B18" s="72"/>
      <c r="C18" s="72"/>
      <c r="D18" s="72"/>
      <c r="E18" s="72"/>
      <c r="F18" s="70"/>
      <c r="G18" s="70"/>
      <c r="H18" s="5" t="s">
        <v>68</v>
      </c>
      <c r="I18" s="9" t="s">
        <v>69</v>
      </c>
      <c r="J18" s="10" t="s">
        <v>889</v>
      </c>
      <c r="K18" s="5" t="s">
        <v>890</v>
      </c>
      <c r="L18" s="5" t="s">
        <v>44</v>
      </c>
      <c r="M18" s="5" t="s">
        <v>34</v>
      </c>
      <c r="N18" s="5" t="s">
        <v>35</v>
      </c>
      <c r="O18" s="5">
        <v>0</v>
      </c>
      <c r="P18" s="5">
        <v>100</v>
      </c>
      <c r="Q18" s="5">
        <v>0</v>
      </c>
      <c r="R18" s="5">
        <v>0</v>
      </c>
      <c r="S18" s="19">
        <v>100</v>
      </c>
      <c r="T18" s="7">
        <v>0.58000000000000007</v>
      </c>
      <c r="U18" s="7">
        <v>5.2200000000000006</v>
      </c>
      <c r="V18" s="7">
        <v>0</v>
      </c>
      <c r="W18" s="7">
        <v>5.8000000000000007</v>
      </c>
      <c r="X18" s="40" t="s">
        <v>467</v>
      </c>
      <c r="Y18" s="13"/>
      <c r="Z18" s="13"/>
      <c r="AA18" s="13"/>
      <c r="AB18" s="13"/>
    </row>
    <row r="19" spans="1:28" s="14" customFormat="1" ht="84.9" customHeight="1" x14ac:dyDescent="0.25">
      <c r="A19" s="77"/>
      <c r="B19" s="72"/>
      <c r="C19" s="73"/>
      <c r="D19" s="73"/>
      <c r="E19" s="73"/>
      <c r="F19" s="71" t="s">
        <v>70</v>
      </c>
      <c r="G19" s="71" t="s">
        <v>71</v>
      </c>
      <c r="H19" s="71" t="s">
        <v>70</v>
      </c>
      <c r="I19" s="9" t="s">
        <v>72</v>
      </c>
      <c r="J19" s="10" t="s">
        <v>73</v>
      </c>
      <c r="K19" s="5" t="s">
        <v>74</v>
      </c>
      <c r="L19" s="5" t="s">
        <v>44</v>
      </c>
      <c r="M19" s="5">
        <v>0</v>
      </c>
      <c r="N19" s="5" t="s">
        <v>35</v>
      </c>
      <c r="O19" s="5">
        <v>0</v>
      </c>
      <c r="P19" s="5">
        <v>10</v>
      </c>
      <c r="Q19" s="5">
        <v>0</v>
      </c>
      <c r="R19" s="5">
        <v>0</v>
      </c>
      <c r="S19" s="19">
        <v>10</v>
      </c>
      <c r="T19" s="7">
        <v>1.2950828571428561</v>
      </c>
      <c r="U19" s="7">
        <v>11</v>
      </c>
      <c r="V19" s="7">
        <v>0</v>
      </c>
      <c r="W19" s="7">
        <v>12.295082857142857</v>
      </c>
      <c r="X19" s="40" t="s">
        <v>467</v>
      </c>
      <c r="Y19" s="13"/>
      <c r="Z19" s="13"/>
      <c r="AA19" s="13"/>
      <c r="AB19" s="13"/>
    </row>
    <row r="20" spans="1:28" s="14" customFormat="1" ht="84.9" customHeight="1" x14ac:dyDescent="0.25">
      <c r="A20" s="77"/>
      <c r="B20" s="72"/>
      <c r="C20" s="71" t="s">
        <v>75</v>
      </c>
      <c r="D20" s="71" t="s">
        <v>76</v>
      </c>
      <c r="E20" s="71" t="s">
        <v>34</v>
      </c>
      <c r="F20" s="72"/>
      <c r="G20" s="72"/>
      <c r="H20" s="72"/>
      <c r="I20" s="9" t="s">
        <v>77</v>
      </c>
      <c r="J20" s="10" t="s">
        <v>78</v>
      </c>
      <c r="K20" s="5" t="s">
        <v>79</v>
      </c>
      <c r="L20" s="5" t="s">
        <v>48</v>
      </c>
      <c r="M20" s="5" t="s">
        <v>34</v>
      </c>
      <c r="N20" s="5" t="s">
        <v>40</v>
      </c>
      <c r="O20" s="5">
        <v>0</v>
      </c>
      <c r="P20" s="20">
        <v>0.05</v>
      </c>
      <c r="Q20" s="20">
        <v>0</v>
      </c>
      <c r="R20" s="20">
        <v>0</v>
      </c>
      <c r="S20" s="16">
        <v>0.6</v>
      </c>
      <c r="T20" s="7">
        <v>1.2950828571428561</v>
      </c>
      <c r="U20" s="7">
        <v>12.311491428571442</v>
      </c>
      <c r="V20" s="7">
        <v>0</v>
      </c>
      <c r="W20" s="7">
        <v>13.606574285714297</v>
      </c>
      <c r="X20" s="40" t="s">
        <v>467</v>
      </c>
      <c r="Y20" s="13"/>
      <c r="Z20" s="13"/>
      <c r="AA20" s="13"/>
      <c r="AB20" s="13"/>
    </row>
    <row r="21" spans="1:28" s="14" customFormat="1" ht="84.9" customHeight="1" x14ac:dyDescent="0.25">
      <c r="A21" s="77"/>
      <c r="B21" s="72"/>
      <c r="C21" s="72"/>
      <c r="D21" s="72"/>
      <c r="E21" s="72"/>
      <c r="F21" s="72"/>
      <c r="G21" s="72"/>
      <c r="H21" s="72"/>
      <c r="I21" s="9" t="s">
        <v>80</v>
      </c>
      <c r="J21" s="10" t="s">
        <v>81</v>
      </c>
      <c r="K21" s="5" t="s">
        <v>82</v>
      </c>
      <c r="L21" s="5" t="s">
        <v>83</v>
      </c>
      <c r="M21" s="5" t="s">
        <v>34</v>
      </c>
      <c r="N21" s="5" t="s">
        <v>35</v>
      </c>
      <c r="O21" s="5">
        <v>0</v>
      </c>
      <c r="P21" s="19">
        <v>0</v>
      </c>
      <c r="Q21" s="19">
        <v>0</v>
      </c>
      <c r="R21" s="5">
        <v>0</v>
      </c>
      <c r="S21" s="19">
        <v>2</v>
      </c>
      <c r="T21" s="7">
        <v>0</v>
      </c>
      <c r="U21" s="7">
        <v>0</v>
      </c>
      <c r="V21" s="7">
        <v>0</v>
      </c>
      <c r="W21" s="7">
        <v>0</v>
      </c>
      <c r="X21" s="40" t="s">
        <v>467</v>
      </c>
      <c r="Y21" s="13"/>
      <c r="Z21" s="13"/>
      <c r="AA21" s="13"/>
      <c r="AB21" s="13"/>
    </row>
    <row r="22" spans="1:28" s="14" customFormat="1" ht="60.9" customHeight="1" x14ac:dyDescent="0.25">
      <c r="A22" s="77"/>
      <c r="B22" s="72"/>
      <c r="C22" s="72"/>
      <c r="D22" s="72"/>
      <c r="E22" s="72"/>
      <c r="F22" s="70" t="s">
        <v>84</v>
      </c>
      <c r="G22" s="71" t="s">
        <v>85</v>
      </c>
      <c r="H22" s="70" t="s">
        <v>84</v>
      </c>
      <c r="I22" s="9" t="s">
        <v>86</v>
      </c>
      <c r="J22" s="10" t="s">
        <v>87</v>
      </c>
      <c r="K22" s="5" t="s">
        <v>88</v>
      </c>
      <c r="L22" s="5" t="s">
        <v>89</v>
      </c>
      <c r="M22" s="5">
        <v>0</v>
      </c>
      <c r="N22" s="5" t="s">
        <v>35</v>
      </c>
      <c r="O22" s="5">
        <v>0</v>
      </c>
      <c r="P22" s="19">
        <v>0</v>
      </c>
      <c r="Q22" s="21">
        <v>0</v>
      </c>
      <c r="R22" s="5">
        <v>0</v>
      </c>
      <c r="S22" s="19">
        <v>30</v>
      </c>
      <c r="T22" s="7">
        <v>0</v>
      </c>
      <c r="U22" s="7">
        <v>0</v>
      </c>
      <c r="V22" s="7">
        <v>0</v>
      </c>
      <c r="W22" s="7">
        <v>0</v>
      </c>
      <c r="X22" s="40" t="s">
        <v>467</v>
      </c>
      <c r="Y22" s="13"/>
      <c r="Z22" s="13"/>
      <c r="AA22" s="13"/>
      <c r="AB22" s="13"/>
    </row>
    <row r="23" spans="1:28" s="14" customFormat="1" ht="60.9" customHeight="1" x14ac:dyDescent="0.25">
      <c r="A23" s="77"/>
      <c r="B23" s="72"/>
      <c r="C23" s="73"/>
      <c r="D23" s="73"/>
      <c r="E23" s="73"/>
      <c r="F23" s="70"/>
      <c r="G23" s="73"/>
      <c r="H23" s="70"/>
      <c r="I23" s="9" t="s">
        <v>90</v>
      </c>
      <c r="J23" s="10" t="s">
        <v>91</v>
      </c>
      <c r="K23" s="5" t="s">
        <v>92</v>
      </c>
      <c r="L23" s="5" t="s">
        <v>93</v>
      </c>
      <c r="M23" s="5">
        <v>0</v>
      </c>
      <c r="N23" s="5" t="s">
        <v>35</v>
      </c>
      <c r="O23" s="5">
        <v>0</v>
      </c>
      <c r="P23" s="19">
        <v>1</v>
      </c>
      <c r="Q23" s="21">
        <v>0</v>
      </c>
      <c r="R23" s="5">
        <v>0</v>
      </c>
      <c r="S23" s="19">
        <v>4</v>
      </c>
      <c r="T23" s="7">
        <v>1.2101657142857181</v>
      </c>
      <c r="U23" s="7">
        <v>10.891491428571442</v>
      </c>
      <c r="V23" s="7">
        <v>80</v>
      </c>
      <c r="W23" s="7">
        <v>92.101657142857164</v>
      </c>
      <c r="X23" s="40" t="s">
        <v>467</v>
      </c>
      <c r="Y23" s="13"/>
      <c r="Z23" s="13"/>
      <c r="AA23" s="13"/>
      <c r="AB23" s="13"/>
    </row>
    <row r="24" spans="1:28" s="14" customFormat="1" ht="69.900000000000006" customHeight="1" x14ac:dyDescent="0.25">
      <c r="A24" s="77"/>
      <c r="B24" s="72"/>
      <c r="C24" s="71" t="s">
        <v>94</v>
      </c>
      <c r="D24" s="71" t="s">
        <v>95</v>
      </c>
      <c r="E24" s="87">
        <v>0.38</v>
      </c>
      <c r="F24" s="70" t="s">
        <v>96</v>
      </c>
      <c r="G24" s="70" t="s">
        <v>97</v>
      </c>
      <c r="H24" s="70" t="s">
        <v>96</v>
      </c>
      <c r="I24" s="9" t="s">
        <v>98</v>
      </c>
      <c r="J24" s="10" t="s">
        <v>99</v>
      </c>
      <c r="K24" s="5" t="s">
        <v>100</v>
      </c>
      <c r="L24" s="5" t="s">
        <v>48</v>
      </c>
      <c r="M24" s="5" t="s">
        <v>34</v>
      </c>
      <c r="N24" s="5" t="s">
        <v>40</v>
      </c>
      <c r="O24" s="5">
        <v>0</v>
      </c>
      <c r="P24" s="16">
        <v>0.25</v>
      </c>
      <c r="Q24" s="16">
        <v>0</v>
      </c>
      <c r="R24" s="16">
        <v>0</v>
      </c>
      <c r="S24" s="16">
        <v>1</v>
      </c>
      <c r="T24" s="7">
        <v>0.3296</v>
      </c>
      <c r="U24" s="7">
        <v>3.0464000000000002</v>
      </c>
      <c r="V24" s="7">
        <v>0</v>
      </c>
      <c r="W24" s="7">
        <v>3.3759999999999999</v>
      </c>
      <c r="X24" s="40" t="s">
        <v>467</v>
      </c>
      <c r="Y24" s="13"/>
      <c r="Z24" s="13"/>
      <c r="AA24" s="13"/>
      <c r="AB24" s="13"/>
    </row>
    <row r="25" spans="1:28" s="14" customFormat="1" ht="69.900000000000006" customHeight="1" x14ac:dyDescent="0.25">
      <c r="A25" s="77"/>
      <c r="B25" s="72"/>
      <c r="C25" s="72"/>
      <c r="D25" s="72"/>
      <c r="E25" s="72"/>
      <c r="F25" s="70"/>
      <c r="G25" s="70"/>
      <c r="H25" s="70"/>
      <c r="I25" s="9" t="s">
        <v>101</v>
      </c>
      <c r="J25" s="10" t="s">
        <v>102</v>
      </c>
      <c r="K25" s="5" t="s">
        <v>103</v>
      </c>
      <c r="L25" s="5"/>
      <c r="M25" s="5" t="s">
        <v>34</v>
      </c>
      <c r="N25" s="5" t="s">
        <v>35</v>
      </c>
      <c r="O25" s="5">
        <v>0</v>
      </c>
      <c r="P25" s="19">
        <v>1</v>
      </c>
      <c r="Q25" s="19">
        <v>0</v>
      </c>
      <c r="R25" s="5">
        <v>0</v>
      </c>
      <c r="S25" s="19">
        <v>4</v>
      </c>
      <c r="T25" s="7">
        <v>0.1696</v>
      </c>
      <c r="U25" s="7">
        <v>1.4464000000000001</v>
      </c>
      <c r="V25" s="7">
        <v>0</v>
      </c>
      <c r="W25" s="7">
        <v>1.6160000000000001</v>
      </c>
      <c r="X25" s="40" t="s">
        <v>467</v>
      </c>
      <c r="Y25" s="13"/>
      <c r="Z25" s="13"/>
      <c r="AA25" s="13"/>
      <c r="AB25" s="13"/>
    </row>
    <row r="26" spans="1:28" s="14" customFormat="1" ht="80.099999999999994" customHeight="1" x14ac:dyDescent="0.25">
      <c r="A26" s="77"/>
      <c r="B26" s="72"/>
      <c r="C26" s="72"/>
      <c r="D26" s="72"/>
      <c r="E26" s="72"/>
      <c r="F26" s="71" t="s">
        <v>104</v>
      </c>
      <c r="G26" s="71" t="s">
        <v>105</v>
      </c>
      <c r="H26" s="71" t="s">
        <v>104</v>
      </c>
      <c r="I26" s="9" t="s">
        <v>106</v>
      </c>
      <c r="J26" s="10" t="s">
        <v>107</v>
      </c>
      <c r="K26" s="5" t="s">
        <v>108</v>
      </c>
      <c r="L26" s="5" t="s">
        <v>48</v>
      </c>
      <c r="M26" s="5" t="s">
        <v>34</v>
      </c>
      <c r="N26" s="5" t="s">
        <v>35</v>
      </c>
      <c r="O26" s="5">
        <v>0</v>
      </c>
      <c r="P26" s="16">
        <v>0.25</v>
      </c>
      <c r="Q26" s="16">
        <v>0</v>
      </c>
      <c r="R26" s="5">
        <v>0</v>
      </c>
      <c r="S26" s="16">
        <v>1</v>
      </c>
      <c r="T26" s="7">
        <v>0.34600000000000003</v>
      </c>
      <c r="U26" s="7">
        <v>5.5140000000000002</v>
      </c>
      <c r="V26" s="7">
        <v>0</v>
      </c>
      <c r="W26" s="7">
        <v>5.86</v>
      </c>
      <c r="X26" s="40" t="s">
        <v>467</v>
      </c>
      <c r="Y26" s="13"/>
      <c r="Z26" s="13"/>
      <c r="AA26" s="13"/>
      <c r="AB26" s="13"/>
    </row>
    <row r="27" spans="1:28" s="14" customFormat="1" ht="80.099999999999994" customHeight="1" x14ac:dyDescent="0.25">
      <c r="A27" s="77"/>
      <c r="B27" s="72"/>
      <c r="C27" s="73"/>
      <c r="D27" s="73"/>
      <c r="E27" s="73"/>
      <c r="F27" s="73"/>
      <c r="G27" s="73"/>
      <c r="H27" s="73"/>
      <c r="I27" s="9" t="s">
        <v>109</v>
      </c>
      <c r="J27" s="10" t="s">
        <v>110</v>
      </c>
      <c r="K27" s="5" t="s">
        <v>111</v>
      </c>
      <c r="L27" s="5" t="s">
        <v>48</v>
      </c>
      <c r="M27" s="5" t="s">
        <v>34</v>
      </c>
      <c r="N27" s="5" t="s">
        <v>40</v>
      </c>
      <c r="O27" s="5">
        <v>0</v>
      </c>
      <c r="P27" s="16">
        <v>0.25</v>
      </c>
      <c r="Q27" s="16">
        <v>0</v>
      </c>
      <c r="R27" s="16">
        <v>0</v>
      </c>
      <c r="S27" s="16">
        <v>1</v>
      </c>
      <c r="T27" s="7">
        <v>0.34600000000000003</v>
      </c>
      <c r="U27" s="7">
        <v>0.71399999999999997</v>
      </c>
      <c r="V27" s="7">
        <v>0</v>
      </c>
      <c r="W27" s="7">
        <v>1.06</v>
      </c>
      <c r="X27" s="40" t="s">
        <v>467</v>
      </c>
      <c r="Y27" s="13"/>
      <c r="Z27" s="13"/>
      <c r="AA27" s="13"/>
      <c r="AB27" s="13"/>
    </row>
    <row r="28" spans="1:28" s="14" customFormat="1" ht="136.80000000000001" x14ac:dyDescent="0.25">
      <c r="A28" s="22" t="s">
        <v>112</v>
      </c>
      <c r="B28" s="23" t="s">
        <v>113</v>
      </c>
      <c r="C28" s="5" t="s">
        <v>114</v>
      </c>
      <c r="D28" s="5" t="s">
        <v>115</v>
      </c>
      <c r="E28" s="5" t="s">
        <v>34</v>
      </c>
      <c r="F28" s="5" t="s">
        <v>112</v>
      </c>
      <c r="G28" s="5" t="s">
        <v>116</v>
      </c>
      <c r="H28" s="5" t="s">
        <v>112</v>
      </c>
      <c r="I28" s="9" t="s">
        <v>117</v>
      </c>
      <c r="J28" s="10" t="s">
        <v>118</v>
      </c>
      <c r="K28" s="5" t="s">
        <v>119</v>
      </c>
      <c r="L28" s="5" t="s">
        <v>120</v>
      </c>
      <c r="M28" s="5" t="s">
        <v>34</v>
      </c>
      <c r="N28" s="5" t="s">
        <v>35</v>
      </c>
      <c r="O28" s="5">
        <v>0</v>
      </c>
      <c r="P28" s="12">
        <v>2400</v>
      </c>
      <c r="Q28" s="12">
        <v>0</v>
      </c>
      <c r="R28" s="12">
        <v>0</v>
      </c>
      <c r="S28" s="12">
        <v>2400</v>
      </c>
      <c r="T28" s="7">
        <v>1.5892800000000002</v>
      </c>
      <c r="U28" s="7">
        <v>14.303520000000001</v>
      </c>
      <c r="V28" s="7">
        <v>140</v>
      </c>
      <c r="W28" s="7">
        <v>155.89279999999999</v>
      </c>
      <c r="X28" s="40" t="s">
        <v>467</v>
      </c>
      <c r="Y28" s="13"/>
      <c r="Z28" s="13"/>
      <c r="AA28" s="13"/>
      <c r="AB28" s="13"/>
    </row>
    <row r="29" spans="1:28" s="14" customFormat="1" ht="57" x14ac:dyDescent="0.25">
      <c r="A29" s="24"/>
      <c r="B29" s="25"/>
      <c r="C29" s="5"/>
      <c r="D29" s="5"/>
      <c r="E29" s="5"/>
      <c r="F29" s="26"/>
      <c r="G29" s="26"/>
      <c r="H29" s="71" t="s">
        <v>121</v>
      </c>
      <c r="I29" s="9" t="s">
        <v>122</v>
      </c>
      <c r="J29" s="10" t="s">
        <v>123</v>
      </c>
      <c r="K29" s="5" t="s">
        <v>124</v>
      </c>
      <c r="L29" s="5" t="s">
        <v>124</v>
      </c>
      <c r="M29" s="16">
        <v>1</v>
      </c>
      <c r="N29" s="5" t="s">
        <v>40</v>
      </c>
      <c r="O29" s="5">
        <v>0</v>
      </c>
      <c r="P29" s="16">
        <v>1</v>
      </c>
      <c r="Q29" s="16">
        <v>0</v>
      </c>
      <c r="R29" s="16">
        <v>0</v>
      </c>
      <c r="S29" s="16">
        <v>1</v>
      </c>
      <c r="T29" s="7">
        <v>0.52260000000000006</v>
      </c>
      <c r="U29" s="7">
        <v>1325.098</v>
      </c>
      <c r="V29" s="7">
        <v>0</v>
      </c>
      <c r="W29" s="7">
        <v>1325.6206000000002</v>
      </c>
      <c r="X29" s="40" t="s">
        <v>467</v>
      </c>
      <c r="Y29" s="13"/>
      <c r="Z29" s="13"/>
      <c r="AA29" s="13"/>
      <c r="AB29" s="13"/>
    </row>
    <row r="30" spans="1:28" s="14" customFormat="1" ht="57" x14ac:dyDescent="0.25">
      <c r="A30" s="24"/>
      <c r="B30" s="25"/>
      <c r="C30" s="5"/>
      <c r="D30" s="5"/>
      <c r="E30" s="5"/>
      <c r="F30" s="26"/>
      <c r="G30" s="26"/>
      <c r="H30" s="72"/>
      <c r="I30" s="9" t="s">
        <v>125</v>
      </c>
      <c r="J30" s="10" t="s">
        <v>126</v>
      </c>
      <c r="K30" s="5" t="s">
        <v>127</v>
      </c>
      <c r="L30" s="5" t="s">
        <v>127</v>
      </c>
      <c r="M30" s="16">
        <v>1</v>
      </c>
      <c r="N30" s="5" t="s">
        <v>40</v>
      </c>
      <c r="O30" s="5">
        <v>0</v>
      </c>
      <c r="P30" s="16">
        <v>1</v>
      </c>
      <c r="Q30" s="16">
        <v>0</v>
      </c>
      <c r="R30" s="16">
        <v>0</v>
      </c>
      <c r="S30" s="16">
        <v>1</v>
      </c>
      <c r="T30" s="7">
        <v>0.34840000000000004</v>
      </c>
      <c r="U30" s="7">
        <v>0</v>
      </c>
      <c r="V30" s="7">
        <v>0</v>
      </c>
      <c r="W30" s="7">
        <v>0.34840000000000004</v>
      </c>
      <c r="X30" s="40" t="s">
        <v>467</v>
      </c>
      <c r="Y30" s="13"/>
      <c r="Z30" s="13"/>
      <c r="AA30" s="13"/>
      <c r="AB30" s="13"/>
    </row>
    <row r="31" spans="1:28" s="14" customFormat="1" ht="68.400000000000006" x14ac:dyDescent="0.25">
      <c r="A31" s="24"/>
      <c r="B31" s="25"/>
      <c r="C31" s="5"/>
      <c r="D31" s="5"/>
      <c r="E31" s="5"/>
      <c r="F31" s="26"/>
      <c r="G31" s="26"/>
      <c r="H31" s="72"/>
      <c r="I31" s="9" t="s">
        <v>128</v>
      </c>
      <c r="J31" s="10" t="s">
        <v>129</v>
      </c>
      <c r="K31" s="5" t="s">
        <v>130</v>
      </c>
      <c r="L31" s="5" t="s">
        <v>131</v>
      </c>
      <c r="M31" s="5">
        <v>4</v>
      </c>
      <c r="N31" s="5" t="s">
        <v>35</v>
      </c>
      <c r="O31" s="5">
        <v>0</v>
      </c>
      <c r="P31" s="12">
        <v>5</v>
      </c>
      <c r="Q31" s="12">
        <v>0</v>
      </c>
      <c r="R31" s="5">
        <v>0</v>
      </c>
      <c r="S31" s="12">
        <v>8</v>
      </c>
      <c r="T31" s="7">
        <v>0.55744000000000005</v>
      </c>
      <c r="U31" s="7">
        <v>0</v>
      </c>
      <c r="V31" s="7">
        <v>0</v>
      </c>
      <c r="W31" s="7">
        <v>0.55744000000000005</v>
      </c>
      <c r="X31" s="40" t="s">
        <v>467</v>
      </c>
      <c r="Y31" s="13"/>
      <c r="Z31" s="13"/>
      <c r="AA31" s="13"/>
      <c r="AB31" s="13"/>
    </row>
    <row r="32" spans="1:28" s="14" customFormat="1" ht="57" x14ac:dyDescent="0.25">
      <c r="A32" s="24"/>
      <c r="B32" s="25"/>
      <c r="C32" s="5"/>
      <c r="D32" s="5"/>
      <c r="E32" s="5"/>
      <c r="F32" s="26"/>
      <c r="G32" s="26"/>
      <c r="H32" s="73"/>
      <c r="I32" s="9" t="s">
        <v>132</v>
      </c>
      <c r="J32" s="10" t="s">
        <v>133</v>
      </c>
      <c r="K32" s="5" t="s">
        <v>134</v>
      </c>
      <c r="L32" s="5" t="s">
        <v>135</v>
      </c>
      <c r="M32" s="5">
        <v>24</v>
      </c>
      <c r="N32" s="5" t="s">
        <v>35</v>
      </c>
      <c r="O32" s="5">
        <v>0</v>
      </c>
      <c r="P32" s="12">
        <v>30</v>
      </c>
      <c r="Q32" s="12">
        <v>0</v>
      </c>
      <c r="R32" s="5">
        <v>0</v>
      </c>
      <c r="S32" s="12">
        <v>48</v>
      </c>
      <c r="T32" s="7">
        <v>0.31356000000000006</v>
      </c>
      <c r="U32" s="7">
        <v>0</v>
      </c>
      <c r="V32" s="7">
        <v>0</v>
      </c>
      <c r="W32" s="7">
        <v>0.31356000000000006</v>
      </c>
      <c r="X32" s="40" t="s">
        <v>467</v>
      </c>
      <c r="Y32" s="13"/>
      <c r="Z32" s="13"/>
      <c r="AA32" s="13"/>
      <c r="AB32" s="13"/>
    </row>
    <row r="33" spans="1:28" s="14" customFormat="1" ht="84" customHeight="1" x14ac:dyDescent="0.25">
      <c r="A33" s="76" t="s">
        <v>136</v>
      </c>
      <c r="B33" s="71" t="s">
        <v>443</v>
      </c>
      <c r="C33" s="5" t="s">
        <v>457</v>
      </c>
      <c r="D33" s="5" t="s">
        <v>137</v>
      </c>
      <c r="E33" s="5" t="s">
        <v>34</v>
      </c>
      <c r="F33" s="71" t="s">
        <v>138</v>
      </c>
      <c r="G33" s="71" t="s">
        <v>458</v>
      </c>
      <c r="H33" s="71" t="s">
        <v>138</v>
      </c>
      <c r="I33" s="9" t="s">
        <v>139</v>
      </c>
      <c r="J33" s="10" t="s">
        <v>140</v>
      </c>
      <c r="K33" s="10" t="s">
        <v>141</v>
      </c>
      <c r="L33" s="5" t="s">
        <v>142</v>
      </c>
      <c r="M33" s="5">
        <v>1</v>
      </c>
      <c r="N33" s="5" t="s">
        <v>40</v>
      </c>
      <c r="O33" s="5">
        <v>0</v>
      </c>
      <c r="P33" s="19">
        <v>0</v>
      </c>
      <c r="Q33" s="19">
        <v>0</v>
      </c>
      <c r="R33" s="5">
        <v>0</v>
      </c>
      <c r="S33" s="19">
        <v>2</v>
      </c>
      <c r="T33" s="7">
        <v>0</v>
      </c>
      <c r="U33" s="7">
        <v>0</v>
      </c>
      <c r="V33" s="7">
        <v>0</v>
      </c>
      <c r="W33" s="7">
        <v>0</v>
      </c>
      <c r="X33" s="40" t="s">
        <v>467</v>
      </c>
      <c r="Y33" s="13"/>
      <c r="Z33" s="13"/>
      <c r="AA33" s="13"/>
      <c r="AB33" s="13"/>
    </row>
    <row r="34" spans="1:28" s="14" customFormat="1" ht="68.400000000000006" x14ac:dyDescent="0.25">
      <c r="A34" s="77"/>
      <c r="B34" s="72"/>
      <c r="C34" s="5" t="s">
        <v>143</v>
      </c>
      <c r="D34" s="5" t="s">
        <v>144</v>
      </c>
      <c r="E34" s="5" t="s">
        <v>34</v>
      </c>
      <c r="F34" s="72"/>
      <c r="G34" s="72"/>
      <c r="H34" s="72"/>
      <c r="I34" s="9" t="s">
        <v>145</v>
      </c>
      <c r="J34" s="10" t="s">
        <v>146</v>
      </c>
      <c r="K34" s="10" t="s">
        <v>147</v>
      </c>
      <c r="L34" s="5" t="s">
        <v>142</v>
      </c>
      <c r="M34" s="19">
        <v>1</v>
      </c>
      <c r="N34" s="19" t="s">
        <v>35</v>
      </c>
      <c r="O34" s="19">
        <v>0</v>
      </c>
      <c r="P34" s="19">
        <v>0</v>
      </c>
      <c r="Q34" s="19">
        <v>0</v>
      </c>
      <c r="R34" s="5">
        <v>0</v>
      </c>
      <c r="S34" s="19">
        <v>2</v>
      </c>
      <c r="T34" s="7">
        <v>0</v>
      </c>
      <c r="U34" s="7">
        <v>0</v>
      </c>
      <c r="V34" s="7">
        <v>0</v>
      </c>
      <c r="W34" s="7">
        <v>0</v>
      </c>
      <c r="X34" s="40" t="s">
        <v>467</v>
      </c>
      <c r="Y34" s="13"/>
      <c r="Z34" s="13"/>
      <c r="AA34" s="13"/>
      <c r="AB34" s="13"/>
    </row>
    <row r="35" spans="1:28" s="14" customFormat="1" ht="91.2" x14ac:dyDescent="0.25">
      <c r="A35" s="77"/>
      <c r="B35" s="72"/>
      <c r="C35" s="5" t="s">
        <v>148</v>
      </c>
      <c r="D35" s="5" t="s">
        <v>149</v>
      </c>
      <c r="E35" s="5" t="s">
        <v>34</v>
      </c>
      <c r="F35" s="72"/>
      <c r="G35" s="72"/>
      <c r="H35" s="72"/>
      <c r="I35" s="9" t="s">
        <v>150</v>
      </c>
      <c r="J35" s="10" t="s">
        <v>151</v>
      </c>
      <c r="K35" s="15" t="s">
        <v>152</v>
      </c>
      <c r="L35" s="5" t="s">
        <v>131</v>
      </c>
      <c r="M35" s="5">
        <v>4</v>
      </c>
      <c r="N35" s="5" t="s">
        <v>35</v>
      </c>
      <c r="O35" s="5">
        <v>0</v>
      </c>
      <c r="P35" s="5">
        <v>5</v>
      </c>
      <c r="Q35" s="5">
        <v>0</v>
      </c>
      <c r="R35" s="5">
        <v>0</v>
      </c>
      <c r="S35" s="12">
        <v>8</v>
      </c>
      <c r="T35" s="7">
        <v>4.0000000000000008E-2</v>
      </c>
      <c r="U35" s="7">
        <v>27.15113333333332</v>
      </c>
      <c r="V35" s="7">
        <v>0</v>
      </c>
      <c r="W35" s="7">
        <v>27.191133333333319</v>
      </c>
      <c r="X35" s="40" t="s">
        <v>467</v>
      </c>
      <c r="Y35" s="13"/>
      <c r="Z35" s="13"/>
      <c r="AA35" s="13"/>
      <c r="AB35" s="13"/>
    </row>
    <row r="36" spans="1:28" s="14" customFormat="1" ht="79.8" x14ac:dyDescent="0.25">
      <c r="A36" s="77"/>
      <c r="B36" s="72"/>
      <c r="C36" s="5" t="s">
        <v>153</v>
      </c>
      <c r="D36" s="5" t="s">
        <v>154</v>
      </c>
      <c r="E36" s="5" t="s">
        <v>34</v>
      </c>
      <c r="F36" s="72"/>
      <c r="G36" s="72"/>
      <c r="H36" s="72"/>
      <c r="I36" s="9" t="s">
        <v>155</v>
      </c>
      <c r="J36" s="10" t="s">
        <v>156</v>
      </c>
      <c r="K36" s="15" t="s">
        <v>157</v>
      </c>
      <c r="L36" s="5" t="s">
        <v>158</v>
      </c>
      <c r="M36" s="5">
        <v>4</v>
      </c>
      <c r="N36" s="5" t="s">
        <v>35</v>
      </c>
      <c r="O36" s="5">
        <v>0</v>
      </c>
      <c r="P36" s="19">
        <v>5</v>
      </c>
      <c r="Q36" s="19">
        <v>0</v>
      </c>
      <c r="R36" s="5">
        <v>0</v>
      </c>
      <c r="S36" s="19">
        <v>8</v>
      </c>
      <c r="T36" s="7">
        <v>1.1501259259259244</v>
      </c>
      <c r="U36" s="7">
        <v>10.351133333333333</v>
      </c>
      <c r="V36" s="7">
        <v>0</v>
      </c>
      <c r="W36" s="7">
        <v>11.501259259259257</v>
      </c>
      <c r="X36" s="40" t="s">
        <v>467</v>
      </c>
      <c r="Y36" s="13"/>
      <c r="Z36" s="13"/>
      <c r="AA36" s="13"/>
      <c r="AB36" s="13"/>
    </row>
    <row r="37" spans="1:28" s="14" customFormat="1" ht="57" x14ac:dyDescent="0.25">
      <c r="A37" s="77"/>
      <c r="B37" s="72"/>
      <c r="C37" s="5" t="s">
        <v>159</v>
      </c>
      <c r="D37" s="5" t="s">
        <v>160</v>
      </c>
      <c r="E37" s="5" t="s">
        <v>34</v>
      </c>
      <c r="F37" s="72"/>
      <c r="G37" s="72"/>
      <c r="H37" s="72"/>
      <c r="I37" s="9" t="s">
        <v>161</v>
      </c>
      <c r="J37" s="10" t="s">
        <v>162</v>
      </c>
      <c r="K37" s="15" t="s">
        <v>163</v>
      </c>
      <c r="L37" s="5" t="s">
        <v>164</v>
      </c>
      <c r="M37" s="19">
        <v>1</v>
      </c>
      <c r="N37" s="19" t="s">
        <v>40</v>
      </c>
      <c r="O37" s="19">
        <v>0</v>
      </c>
      <c r="P37" s="19">
        <v>1</v>
      </c>
      <c r="Q37" s="19">
        <v>0</v>
      </c>
      <c r="R37" s="5">
        <v>0</v>
      </c>
      <c r="S37" s="19">
        <v>1</v>
      </c>
      <c r="T37" s="7">
        <v>2.4050074074074077</v>
      </c>
      <c r="U37" s="7">
        <v>24.902266666666652</v>
      </c>
      <c r="V37" s="7">
        <v>0</v>
      </c>
      <c r="W37" s="7">
        <v>27.307274074074058</v>
      </c>
      <c r="X37" s="40" t="s">
        <v>467</v>
      </c>
      <c r="Y37" s="13"/>
      <c r="Z37" s="13"/>
      <c r="AA37" s="13"/>
      <c r="AB37" s="13"/>
    </row>
    <row r="38" spans="1:28" ht="36" customHeight="1" x14ac:dyDescent="0.25">
      <c r="A38" s="77"/>
      <c r="B38" s="72"/>
      <c r="C38" s="5" t="s">
        <v>165</v>
      </c>
      <c r="D38" s="5" t="s">
        <v>166</v>
      </c>
      <c r="E38" s="5">
        <v>0</v>
      </c>
      <c r="F38" s="72"/>
      <c r="G38" s="72"/>
      <c r="H38" s="72"/>
      <c r="I38" s="74" t="s">
        <v>167</v>
      </c>
      <c r="J38" s="67" t="s">
        <v>168</v>
      </c>
      <c r="K38" s="15" t="s">
        <v>169</v>
      </c>
      <c r="L38" s="15" t="s">
        <v>170</v>
      </c>
      <c r="M38" s="19">
        <v>1</v>
      </c>
      <c r="N38" s="16" t="s">
        <v>40</v>
      </c>
      <c r="O38" s="19">
        <v>0</v>
      </c>
      <c r="P38" s="5">
        <v>0</v>
      </c>
      <c r="Q38" s="5">
        <v>0</v>
      </c>
      <c r="R38" s="5">
        <v>0</v>
      </c>
      <c r="S38" s="12">
        <v>1</v>
      </c>
      <c r="T38" s="7">
        <v>3.1560000000000001</v>
      </c>
      <c r="U38" s="7">
        <v>16.89340000000006</v>
      </c>
      <c r="V38" s="7">
        <v>0</v>
      </c>
      <c r="W38" s="7">
        <v>20.049400000000063</v>
      </c>
      <c r="X38" s="40" t="s">
        <v>467</v>
      </c>
      <c r="Y38" s="13"/>
      <c r="Z38" s="13"/>
      <c r="AA38" s="13"/>
      <c r="AB38" s="13"/>
    </row>
    <row r="39" spans="1:28" ht="45.6" x14ac:dyDescent="0.25">
      <c r="A39" s="77"/>
      <c r="B39" s="72"/>
      <c r="C39" s="5" t="s">
        <v>171</v>
      </c>
      <c r="D39" s="5" t="s">
        <v>172</v>
      </c>
      <c r="E39" s="5" t="s">
        <v>34</v>
      </c>
      <c r="F39" s="72"/>
      <c r="G39" s="72"/>
      <c r="H39" s="72"/>
      <c r="I39" s="75"/>
      <c r="J39" s="68"/>
      <c r="K39" s="15" t="s">
        <v>173</v>
      </c>
      <c r="L39" s="15" t="s">
        <v>48</v>
      </c>
      <c r="M39" s="16" t="s">
        <v>34</v>
      </c>
      <c r="N39" s="16" t="s">
        <v>35</v>
      </c>
      <c r="O39" s="16">
        <v>0</v>
      </c>
      <c r="P39" s="16">
        <v>0.12</v>
      </c>
      <c r="Q39" s="16">
        <v>0</v>
      </c>
      <c r="R39" s="16">
        <v>0</v>
      </c>
      <c r="S39" s="16">
        <v>0.5</v>
      </c>
      <c r="T39" s="7">
        <v>0</v>
      </c>
      <c r="U39" s="7">
        <v>0</v>
      </c>
      <c r="V39" s="7">
        <v>0</v>
      </c>
      <c r="W39" s="7">
        <v>0</v>
      </c>
      <c r="X39" s="40" t="s">
        <v>467</v>
      </c>
      <c r="Y39" s="13"/>
      <c r="Z39" s="13"/>
      <c r="AA39" s="13"/>
      <c r="AB39" s="13"/>
    </row>
    <row r="40" spans="1:28" ht="48" customHeight="1" x14ac:dyDescent="0.25">
      <c r="A40" s="77" t="s">
        <v>136</v>
      </c>
      <c r="B40" s="72" t="s">
        <v>443</v>
      </c>
      <c r="C40" s="5" t="s">
        <v>174</v>
      </c>
      <c r="D40" s="5" t="s">
        <v>175</v>
      </c>
      <c r="E40" s="16">
        <v>0</v>
      </c>
      <c r="F40" s="72" t="s">
        <v>138</v>
      </c>
      <c r="G40" s="72" t="s">
        <v>458</v>
      </c>
      <c r="H40" s="85" t="s">
        <v>138</v>
      </c>
      <c r="I40" s="9" t="s">
        <v>176</v>
      </c>
      <c r="J40" s="10" t="s">
        <v>177</v>
      </c>
      <c r="K40" s="15" t="s">
        <v>178</v>
      </c>
      <c r="L40" s="15" t="s">
        <v>48</v>
      </c>
      <c r="M40" s="16">
        <v>0</v>
      </c>
      <c r="N40" s="5" t="s">
        <v>40</v>
      </c>
      <c r="O40" s="16">
        <v>0</v>
      </c>
      <c r="P40" s="16">
        <v>0.25</v>
      </c>
      <c r="Q40" s="16">
        <v>0</v>
      </c>
      <c r="R40" s="16">
        <v>0</v>
      </c>
      <c r="S40" s="16">
        <v>1</v>
      </c>
      <c r="T40" s="7">
        <v>1</v>
      </c>
      <c r="U40" s="7">
        <v>2.7600000000000002</v>
      </c>
      <c r="V40" s="7">
        <v>0</v>
      </c>
      <c r="W40" s="7">
        <v>3.7600000000000002</v>
      </c>
      <c r="X40" s="40" t="s">
        <v>467</v>
      </c>
      <c r="Y40" s="13"/>
      <c r="Z40" s="13"/>
      <c r="AA40" s="13"/>
      <c r="AB40" s="13"/>
    </row>
    <row r="41" spans="1:28" ht="79.8" x14ac:dyDescent="0.25">
      <c r="A41" s="77"/>
      <c r="B41" s="72"/>
      <c r="C41" s="5" t="s">
        <v>179</v>
      </c>
      <c r="D41" s="5" t="s">
        <v>180</v>
      </c>
      <c r="E41" s="5" t="s">
        <v>181</v>
      </c>
      <c r="F41" s="72"/>
      <c r="G41" s="72"/>
      <c r="H41" s="85"/>
      <c r="I41" s="9" t="s">
        <v>182</v>
      </c>
      <c r="J41" s="10" t="s">
        <v>183</v>
      </c>
      <c r="K41" s="26" t="s">
        <v>184</v>
      </c>
      <c r="L41" s="5" t="s">
        <v>185</v>
      </c>
      <c r="M41" s="26">
        <v>4</v>
      </c>
      <c r="N41" s="26" t="s">
        <v>35</v>
      </c>
      <c r="O41" s="26">
        <v>0</v>
      </c>
      <c r="P41" s="27">
        <v>5</v>
      </c>
      <c r="Q41" s="27">
        <v>0</v>
      </c>
      <c r="R41" s="5">
        <v>0</v>
      </c>
      <c r="S41" s="19">
        <v>8</v>
      </c>
      <c r="T41" s="7">
        <v>1.4000000000000001</v>
      </c>
      <c r="U41" s="7">
        <v>6.7511333333333203</v>
      </c>
      <c r="V41" s="7">
        <v>0</v>
      </c>
      <c r="W41" s="7">
        <v>8.1511333333333198</v>
      </c>
      <c r="X41" s="40" t="s">
        <v>467</v>
      </c>
      <c r="Y41" s="13"/>
      <c r="Z41" s="13"/>
      <c r="AA41" s="13"/>
      <c r="AB41" s="13"/>
    </row>
    <row r="42" spans="1:28" ht="68.400000000000006" x14ac:dyDescent="0.25">
      <c r="A42" s="77"/>
      <c r="B42" s="72"/>
      <c r="C42" s="5" t="s">
        <v>186</v>
      </c>
      <c r="D42" s="5" t="s">
        <v>187</v>
      </c>
      <c r="E42" s="5">
        <v>0</v>
      </c>
      <c r="F42" s="73"/>
      <c r="G42" s="73"/>
      <c r="H42" s="86"/>
      <c r="I42" s="9" t="s">
        <v>188</v>
      </c>
      <c r="J42" s="10" t="s">
        <v>189</v>
      </c>
      <c r="K42" s="15" t="s">
        <v>190</v>
      </c>
      <c r="L42" s="15" t="s">
        <v>191</v>
      </c>
      <c r="M42" s="5" t="s">
        <v>34</v>
      </c>
      <c r="N42" s="5" t="s">
        <v>40</v>
      </c>
      <c r="O42" s="5">
        <v>0</v>
      </c>
      <c r="P42" s="16">
        <v>1</v>
      </c>
      <c r="Q42" s="16">
        <v>0</v>
      </c>
      <c r="R42" s="16">
        <v>0</v>
      </c>
      <c r="S42" s="16">
        <v>1</v>
      </c>
      <c r="T42" s="7">
        <v>1.2000000000000002</v>
      </c>
      <c r="U42" s="7">
        <v>4.35113333333332</v>
      </c>
      <c r="V42" s="7">
        <v>0</v>
      </c>
      <c r="W42" s="7">
        <v>5.5511333333333202</v>
      </c>
      <c r="X42" s="40" t="s">
        <v>467</v>
      </c>
      <c r="Y42" s="13"/>
      <c r="Z42" s="13"/>
      <c r="AA42" s="13"/>
      <c r="AB42" s="13"/>
    </row>
    <row r="43" spans="1:28" ht="168" customHeight="1" x14ac:dyDescent="0.25">
      <c r="A43" s="77"/>
      <c r="B43" s="72"/>
      <c r="C43" s="5" t="s">
        <v>192</v>
      </c>
      <c r="D43" s="5" t="s">
        <v>193</v>
      </c>
      <c r="E43" s="5" t="s">
        <v>34</v>
      </c>
      <c r="F43" s="71" t="s">
        <v>194</v>
      </c>
      <c r="G43" s="71" t="s">
        <v>454</v>
      </c>
      <c r="H43" s="71" t="s">
        <v>194</v>
      </c>
      <c r="I43" s="9" t="s">
        <v>195</v>
      </c>
      <c r="J43" s="10" t="s">
        <v>196</v>
      </c>
      <c r="K43" s="15" t="s">
        <v>197</v>
      </c>
      <c r="L43" s="15" t="s">
        <v>48</v>
      </c>
      <c r="M43" s="5" t="s">
        <v>198</v>
      </c>
      <c r="N43" s="5" t="s">
        <v>40</v>
      </c>
      <c r="O43" s="16">
        <v>0</v>
      </c>
      <c r="P43" s="16">
        <v>1</v>
      </c>
      <c r="Q43" s="16">
        <v>0</v>
      </c>
      <c r="R43" s="16">
        <v>0</v>
      </c>
      <c r="S43" s="16">
        <v>1</v>
      </c>
      <c r="T43" s="7">
        <v>0.2</v>
      </c>
      <c r="U43" s="7">
        <v>8.24</v>
      </c>
      <c r="V43" s="7">
        <v>0</v>
      </c>
      <c r="W43" s="7">
        <v>8.4400000000000013</v>
      </c>
      <c r="X43" s="40" t="s">
        <v>467</v>
      </c>
      <c r="Y43" s="13"/>
      <c r="Z43" s="13"/>
      <c r="AA43" s="13"/>
      <c r="AB43" s="13"/>
    </row>
    <row r="44" spans="1:28" ht="102.6" x14ac:dyDescent="0.25">
      <c r="A44" s="77"/>
      <c r="B44" s="72"/>
      <c r="C44" s="5" t="s">
        <v>199</v>
      </c>
      <c r="D44" s="5" t="s">
        <v>200</v>
      </c>
      <c r="E44" s="5" t="s">
        <v>34</v>
      </c>
      <c r="F44" s="72"/>
      <c r="G44" s="72"/>
      <c r="H44" s="72"/>
      <c r="I44" s="9" t="s">
        <v>201</v>
      </c>
      <c r="J44" s="10" t="s">
        <v>202</v>
      </c>
      <c r="K44" s="15" t="s">
        <v>203</v>
      </c>
      <c r="L44" s="15" t="s">
        <v>48</v>
      </c>
      <c r="M44" s="16">
        <v>0</v>
      </c>
      <c r="N44" s="5" t="s">
        <v>40</v>
      </c>
      <c r="O44" s="5">
        <v>0</v>
      </c>
      <c r="P44" s="16">
        <v>0</v>
      </c>
      <c r="Q44" s="16">
        <v>0</v>
      </c>
      <c r="R44" s="5">
        <v>0</v>
      </c>
      <c r="S44" s="19">
        <v>9.9999999999999995E-7</v>
      </c>
      <c r="T44" s="7">
        <v>3.4000000000000004</v>
      </c>
      <c r="U44" s="7">
        <v>32.360000000000007</v>
      </c>
      <c r="V44" s="7">
        <v>0</v>
      </c>
      <c r="W44" s="7">
        <v>35.760000000000005</v>
      </c>
      <c r="X44" s="40" t="s">
        <v>467</v>
      </c>
      <c r="Y44" s="13"/>
      <c r="Z44" s="13"/>
      <c r="AA44" s="13"/>
      <c r="AB44" s="13"/>
    </row>
    <row r="45" spans="1:28" ht="79.8" x14ac:dyDescent="0.25">
      <c r="A45" s="77"/>
      <c r="B45" s="72"/>
      <c r="C45" s="5" t="s">
        <v>204</v>
      </c>
      <c r="D45" s="5" t="s">
        <v>205</v>
      </c>
      <c r="E45" s="5" t="s">
        <v>34</v>
      </c>
      <c r="F45" s="72"/>
      <c r="G45" s="72"/>
      <c r="H45" s="72"/>
      <c r="I45" s="9" t="s">
        <v>206</v>
      </c>
      <c r="J45" s="10" t="s">
        <v>207</v>
      </c>
      <c r="K45" s="15" t="s">
        <v>208</v>
      </c>
      <c r="L45" s="15" t="s">
        <v>209</v>
      </c>
      <c r="M45" s="19">
        <v>4</v>
      </c>
      <c r="N45" s="19" t="s">
        <v>35</v>
      </c>
      <c r="O45" s="19">
        <v>0</v>
      </c>
      <c r="P45" s="19">
        <v>5</v>
      </c>
      <c r="Q45" s="19">
        <v>0</v>
      </c>
      <c r="R45" s="5">
        <v>0</v>
      </c>
      <c r="S45" s="19">
        <v>8</v>
      </c>
      <c r="T45" s="7">
        <v>0.45200000000000123</v>
      </c>
      <c r="U45" s="7">
        <v>2.08</v>
      </c>
      <c r="V45" s="7">
        <v>0</v>
      </c>
      <c r="W45" s="7">
        <v>2.5320000000000018</v>
      </c>
      <c r="X45" s="40" t="s">
        <v>467</v>
      </c>
      <c r="Y45" s="13"/>
      <c r="Z45" s="13"/>
      <c r="AA45" s="13"/>
      <c r="AB45" s="13"/>
    </row>
    <row r="46" spans="1:28" ht="72" customHeight="1" x14ac:dyDescent="0.25">
      <c r="A46" s="77"/>
      <c r="B46" s="72"/>
      <c r="C46" s="5" t="s">
        <v>210</v>
      </c>
      <c r="D46" s="5" t="s">
        <v>211</v>
      </c>
      <c r="E46" s="5" t="s">
        <v>34</v>
      </c>
      <c r="F46" s="72"/>
      <c r="G46" s="72"/>
      <c r="H46" s="72"/>
      <c r="I46" s="9" t="s">
        <v>212</v>
      </c>
      <c r="J46" s="10" t="s">
        <v>213</v>
      </c>
      <c r="K46" s="5" t="s">
        <v>214</v>
      </c>
      <c r="L46" s="5" t="s">
        <v>48</v>
      </c>
      <c r="M46" s="5" t="s">
        <v>34</v>
      </c>
      <c r="N46" s="16" t="s">
        <v>35</v>
      </c>
      <c r="O46" s="16">
        <v>0</v>
      </c>
      <c r="P46" s="16">
        <v>0.05</v>
      </c>
      <c r="Q46" s="16">
        <v>0</v>
      </c>
      <c r="R46" s="5">
        <v>0</v>
      </c>
      <c r="S46" s="16">
        <v>0.2</v>
      </c>
      <c r="T46" s="7">
        <v>1.8</v>
      </c>
      <c r="U46" s="7">
        <v>4.16</v>
      </c>
      <c r="V46" s="7">
        <v>0</v>
      </c>
      <c r="W46" s="7">
        <v>5.9600000000000009</v>
      </c>
      <c r="X46" s="40" t="s">
        <v>467</v>
      </c>
      <c r="Y46" s="13"/>
      <c r="Z46" s="13"/>
      <c r="AA46" s="13"/>
      <c r="AB46" s="13"/>
    </row>
    <row r="47" spans="1:28" ht="84" customHeight="1" x14ac:dyDescent="0.25">
      <c r="A47" s="77" t="s">
        <v>215</v>
      </c>
      <c r="B47" s="72" t="s">
        <v>443</v>
      </c>
      <c r="C47" s="5" t="s">
        <v>216</v>
      </c>
      <c r="D47" s="5" t="s">
        <v>217</v>
      </c>
      <c r="E47" s="5" t="s">
        <v>34</v>
      </c>
      <c r="F47" s="72" t="s">
        <v>194</v>
      </c>
      <c r="G47" s="85" t="s">
        <v>454</v>
      </c>
      <c r="H47" s="72" t="s">
        <v>194</v>
      </c>
      <c r="I47" s="9" t="s">
        <v>218</v>
      </c>
      <c r="J47" s="10" t="s">
        <v>219</v>
      </c>
      <c r="K47" s="28" t="s">
        <v>220</v>
      </c>
      <c r="L47" s="29" t="s">
        <v>209</v>
      </c>
      <c r="M47" s="30">
        <v>1</v>
      </c>
      <c r="N47" s="16" t="s">
        <v>35</v>
      </c>
      <c r="O47" s="5">
        <v>0</v>
      </c>
      <c r="P47" s="5">
        <v>1</v>
      </c>
      <c r="Q47" s="5">
        <v>0</v>
      </c>
      <c r="R47" s="5">
        <v>0</v>
      </c>
      <c r="S47" s="12">
        <v>1</v>
      </c>
      <c r="T47" s="7">
        <v>0.60000000000000009</v>
      </c>
      <c r="U47" s="7">
        <v>16.2</v>
      </c>
      <c r="V47" s="7">
        <v>0</v>
      </c>
      <c r="W47" s="7">
        <v>16.8</v>
      </c>
      <c r="X47" s="40" t="s">
        <v>467</v>
      </c>
      <c r="Y47" s="13"/>
      <c r="Z47" s="13"/>
      <c r="AA47" s="13"/>
      <c r="AB47" s="13"/>
    </row>
    <row r="48" spans="1:28" ht="60" customHeight="1" x14ac:dyDescent="0.25">
      <c r="A48" s="77"/>
      <c r="B48" s="72"/>
      <c r="C48" s="71" t="s">
        <v>221</v>
      </c>
      <c r="D48" s="71" t="s">
        <v>222</v>
      </c>
      <c r="E48" s="87">
        <v>0</v>
      </c>
      <c r="F48" s="72"/>
      <c r="G48" s="85"/>
      <c r="H48" s="72"/>
      <c r="I48" s="9" t="s">
        <v>223</v>
      </c>
      <c r="J48" s="10" t="s">
        <v>224</v>
      </c>
      <c r="K48" s="15" t="s">
        <v>225</v>
      </c>
      <c r="L48" s="15" t="s">
        <v>209</v>
      </c>
      <c r="M48" s="5">
        <v>66</v>
      </c>
      <c r="N48" s="16" t="s">
        <v>40</v>
      </c>
      <c r="O48" s="5">
        <v>0</v>
      </c>
      <c r="P48" s="12">
        <v>4066</v>
      </c>
      <c r="Q48" s="12">
        <v>0</v>
      </c>
      <c r="R48" s="5">
        <v>0</v>
      </c>
      <c r="S48" s="12">
        <v>4066</v>
      </c>
      <c r="T48" s="7">
        <v>4.2</v>
      </c>
      <c r="U48" s="7">
        <v>30.28</v>
      </c>
      <c r="V48" s="7">
        <v>0</v>
      </c>
      <c r="W48" s="7">
        <v>34.480000000000004</v>
      </c>
      <c r="X48" s="40" t="s">
        <v>467</v>
      </c>
      <c r="Y48" s="13"/>
      <c r="Z48" s="13"/>
      <c r="AA48" s="13"/>
      <c r="AB48" s="13"/>
    </row>
    <row r="49" spans="1:28" ht="48" customHeight="1" x14ac:dyDescent="0.25">
      <c r="A49" s="77"/>
      <c r="B49" s="72"/>
      <c r="C49" s="73"/>
      <c r="D49" s="73"/>
      <c r="E49" s="73"/>
      <c r="F49" s="73"/>
      <c r="G49" s="86"/>
      <c r="H49" s="73"/>
      <c r="I49" s="9" t="s">
        <v>226</v>
      </c>
      <c r="J49" s="10" t="s">
        <v>227</v>
      </c>
      <c r="K49" s="15" t="s">
        <v>228</v>
      </c>
      <c r="L49" s="15" t="s">
        <v>48</v>
      </c>
      <c r="M49" s="16">
        <v>1</v>
      </c>
      <c r="N49" s="16" t="s">
        <v>40</v>
      </c>
      <c r="O49" s="16">
        <v>0</v>
      </c>
      <c r="P49" s="16">
        <v>1</v>
      </c>
      <c r="Q49" s="16">
        <v>0</v>
      </c>
      <c r="R49" s="16">
        <v>0</v>
      </c>
      <c r="S49" s="16">
        <v>1</v>
      </c>
      <c r="T49" s="7">
        <v>2</v>
      </c>
      <c r="U49" s="7">
        <v>20.547999999999998</v>
      </c>
      <c r="V49" s="7">
        <v>0</v>
      </c>
      <c r="W49" s="7">
        <v>22.547999999999998</v>
      </c>
      <c r="X49" s="40" t="s">
        <v>467</v>
      </c>
      <c r="Y49" s="13"/>
      <c r="Z49" s="13"/>
      <c r="AA49" s="13"/>
      <c r="AB49" s="13"/>
    </row>
    <row r="50" spans="1:28" ht="91.2" x14ac:dyDescent="0.25">
      <c r="A50" s="78"/>
      <c r="B50" s="73"/>
      <c r="C50" s="5" t="s">
        <v>229</v>
      </c>
      <c r="D50" s="5" t="s">
        <v>230</v>
      </c>
      <c r="E50" s="16">
        <v>0</v>
      </c>
      <c r="F50" s="31" t="s">
        <v>231</v>
      </c>
      <c r="G50" s="31" t="s">
        <v>232</v>
      </c>
      <c r="H50" s="31" t="s">
        <v>231</v>
      </c>
      <c r="I50" s="9" t="s">
        <v>233</v>
      </c>
      <c r="J50" s="10" t="s">
        <v>234</v>
      </c>
      <c r="K50" s="15" t="s">
        <v>222</v>
      </c>
      <c r="L50" s="15" t="s">
        <v>48</v>
      </c>
      <c r="M50" s="16">
        <v>0</v>
      </c>
      <c r="N50" s="16" t="s">
        <v>40</v>
      </c>
      <c r="O50" s="16">
        <v>0</v>
      </c>
      <c r="P50" s="16">
        <v>0.3</v>
      </c>
      <c r="Q50" s="16">
        <v>0</v>
      </c>
      <c r="R50" s="16">
        <v>0</v>
      </c>
      <c r="S50" s="16">
        <v>0.3</v>
      </c>
      <c r="T50" s="7">
        <v>4.749200000000001</v>
      </c>
      <c r="U50" s="7">
        <v>42.742800000000003</v>
      </c>
      <c r="V50" s="7">
        <v>0</v>
      </c>
      <c r="W50" s="7">
        <v>47.492000000000004</v>
      </c>
      <c r="X50" s="40" t="s">
        <v>467</v>
      </c>
      <c r="Y50" s="13"/>
      <c r="Z50" s="13"/>
      <c r="AA50" s="13"/>
      <c r="AB50" s="13"/>
    </row>
    <row r="51" spans="1:28" ht="45.6" x14ac:dyDescent="0.25">
      <c r="A51" s="76" t="s">
        <v>235</v>
      </c>
      <c r="B51" s="71" t="s">
        <v>459</v>
      </c>
      <c r="C51" s="71" t="s">
        <v>460</v>
      </c>
      <c r="D51" s="71" t="s">
        <v>236</v>
      </c>
      <c r="E51" s="71" t="s">
        <v>34</v>
      </c>
      <c r="F51" s="71" t="s">
        <v>237</v>
      </c>
      <c r="G51" s="71" t="s">
        <v>455</v>
      </c>
      <c r="H51" s="71" t="s">
        <v>237</v>
      </c>
      <c r="I51" s="9" t="s">
        <v>238</v>
      </c>
      <c r="J51" s="10" t="s">
        <v>239</v>
      </c>
      <c r="K51" s="15" t="s">
        <v>240</v>
      </c>
      <c r="L51" s="15" t="s">
        <v>48</v>
      </c>
      <c r="M51" s="15" t="s">
        <v>34</v>
      </c>
      <c r="N51" s="16" t="s">
        <v>40</v>
      </c>
      <c r="O51" s="16">
        <v>0</v>
      </c>
      <c r="P51" s="16">
        <v>0.25</v>
      </c>
      <c r="Q51" s="16">
        <v>0</v>
      </c>
      <c r="R51" s="16">
        <v>0</v>
      </c>
      <c r="S51" s="16">
        <v>1</v>
      </c>
      <c r="T51" s="7">
        <v>0.83800000000000008</v>
      </c>
      <c r="U51" s="7">
        <v>7.5420000000000007</v>
      </c>
      <c r="V51" s="7">
        <v>0</v>
      </c>
      <c r="W51" s="7">
        <v>8.3800000000000008</v>
      </c>
      <c r="X51" s="40" t="s">
        <v>467</v>
      </c>
      <c r="Y51" s="13"/>
      <c r="Z51" s="13"/>
      <c r="AA51" s="13"/>
      <c r="AB51" s="13"/>
    </row>
    <row r="52" spans="1:28" ht="45.6" x14ac:dyDescent="0.25">
      <c r="A52" s="77"/>
      <c r="B52" s="72"/>
      <c r="C52" s="72"/>
      <c r="D52" s="72"/>
      <c r="E52" s="72"/>
      <c r="F52" s="72"/>
      <c r="G52" s="72"/>
      <c r="H52" s="72"/>
      <c r="I52" s="74" t="s">
        <v>241</v>
      </c>
      <c r="J52" s="67" t="s">
        <v>242</v>
      </c>
      <c r="K52" s="15" t="s">
        <v>243</v>
      </c>
      <c r="L52" s="15" t="s">
        <v>209</v>
      </c>
      <c r="M52" s="15" t="s">
        <v>244</v>
      </c>
      <c r="N52" s="16" t="s">
        <v>35</v>
      </c>
      <c r="O52" s="15">
        <v>0</v>
      </c>
      <c r="P52" s="5">
        <v>0</v>
      </c>
      <c r="Q52" s="5">
        <v>0</v>
      </c>
      <c r="R52" s="5">
        <v>0</v>
      </c>
      <c r="S52" s="12">
        <v>1</v>
      </c>
      <c r="T52" s="7">
        <v>0</v>
      </c>
      <c r="U52" s="7">
        <v>0</v>
      </c>
      <c r="V52" s="7">
        <v>0</v>
      </c>
      <c r="W52" s="7">
        <v>0</v>
      </c>
      <c r="X52" s="40" t="s">
        <v>467</v>
      </c>
      <c r="Y52" s="13"/>
      <c r="Z52" s="13"/>
      <c r="AA52" s="13"/>
      <c r="AB52" s="13"/>
    </row>
    <row r="53" spans="1:28" ht="45.6" x14ac:dyDescent="0.25">
      <c r="A53" s="77"/>
      <c r="B53" s="72"/>
      <c r="C53" s="72"/>
      <c r="D53" s="72"/>
      <c r="E53" s="72"/>
      <c r="F53" s="73"/>
      <c r="G53" s="73"/>
      <c r="H53" s="73"/>
      <c r="I53" s="75"/>
      <c r="J53" s="68"/>
      <c r="K53" s="15" t="s">
        <v>245</v>
      </c>
      <c r="L53" s="15" t="s">
        <v>48</v>
      </c>
      <c r="M53" s="16">
        <v>0</v>
      </c>
      <c r="N53" s="16" t="s">
        <v>35</v>
      </c>
      <c r="O53" s="16">
        <v>0</v>
      </c>
      <c r="P53" s="16">
        <v>0</v>
      </c>
      <c r="Q53" s="16">
        <v>0</v>
      </c>
      <c r="R53" s="16">
        <v>0</v>
      </c>
      <c r="S53" s="16">
        <v>1</v>
      </c>
      <c r="T53" s="7">
        <v>0</v>
      </c>
      <c r="U53" s="7">
        <v>0</v>
      </c>
      <c r="V53" s="7">
        <v>0</v>
      </c>
      <c r="W53" s="7">
        <v>0</v>
      </c>
      <c r="X53" s="40" t="s">
        <v>467</v>
      </c>
      <c r="Y53" s="13"/>
      <c r="Z53" s="13"/>
      <c r="AA53" s="13"/>
      <c r="AB53" s="13"/>
    </row>
    <row r="54" spans="1:28" ht="102.6" x14ac:dyDescent="0.25">
      <c r="A54" s="77"/>
      <c r="B54" s="72"/>
      <c r="C54" s="73"/>
      <c r="D54" s="73"/>
      <c r="E54" s="73"/>
      <c r="F54" s="71" t="s">
        <v>246</v>
      </c>
      <c r="G54" s="32" t="s">
        <v>247</v>
      </c>
      <c r="H54" s="71" t="s">
        <v>469</v>
      </c>
      <c r="I54" s="9" t="s">
        <v>248</v>
      </c>
      <c r="J54" s="10" t="s">
        <v>249</v>
      </c>
      <c r="K54" s="15" t="s">
        <v>240</v>
      </c>
      <c r="L54" s="15" t="s">
        <v>48</v>
      </c>
      <c r="M54" s="16" t="s">
        <v>34</v>
      </c>
      <c r="N54" s="16" t="s">
        <v>35</v>
      </c>
      <c r="O54" s="16">
        <v>0</v>
      </c>
      <c r="P54" s="16">
        <v>0.25</v>
      </c>
      <c r="Q54" s="16">
        <v>0</v>
      </c>
      <c r="R54" s="16">
        <v>0</v>
      </c>
      <c r="S54" s="16">
        <v>1</v>
      </c>
      <c r="T54" s="7">
        <v>0.91316000000000008</v>
      </c>
      <c r="U54" s="7">
        <v>7.8184399999999998</v>
      </c>
      <c r="V54" s="7">
        <v>0</v>
      </c>
      <c r="W54" s="7">
        <v>8.7316000000000003</v>
      </c>
      <c r="X54" s="40" t="s">
        <v>467</v>
      </c>
      <c r="Y54" s="13"/>
      <c r="Z54" s="13"/>
      <c r="AA54" s="13"/>
      <c r="AB54" s="13"/>
    </row>
    <row r="55" spans="1:28" ht="114" x14ac:dyDescent="0.25">
      <c r="A55" s="77"/>
      <c r="B55" s="72"/>
      <c r="C55" s="71" t="s">
        <v>250</v>
      </c>
      <c r="D55" s="71" t="s">
        <v>251</v>
      </c>
      <c r="E55" s="71" t="s">
        <v>34</v>
      </c>
      <c r="F55" s="73"/>
      <c r="G55" s="33" t="s">
        <v>252</v>
      </c>
      <c r="H55" s="73"/>
      <c r="I55" s="9" t="s">
        <v>253</v>
      </c>
      <c r="J55" s="10" t="s">
        <v>254</v>
      </c>
      <c r="K55" s="15" t="s">
        <v>255</v>
      </c>
      <c r="L55" s="15" t="s">
        <v>209</v>
      </c>
      <c r="M55" s="19" t="s">
        <v>34</v>
      </c>
      <c r="N55" s="16" t="s">
        <v>35</v>
      </c>
      <c r="O55" s="19">
        <v>0</v>
      </c>
      <c r="P55" s="19">
        <v>2</v>
      </c>
      <c r="Q55" s="19">
        <v>0</v>
      </c>
      <c r="R55" s="5">
        <v>0</v>
      </c>
      <c r="S55" s="19">
        <v>8</v>
      </c>
      <c r="T55" s="7">
        <v>0.11316</v>
      </c>
      <c r="U55" s="7">
        <v>1.4184400000000001</v>
      </c>
      <c r="V55" s="7">
        <v>0</v>
      </c>
      <c r="W55" s="7">
        <v>1.5316000000000001</v>
      </c>
      <c r="X55" s="40" t="s">
        <v>467</v>
      </c>
      <c r="Y55" s="13"/>
      <c r="Z55" s="13"/>
      <c r="AA55" s="13"/>
      <c r="AB55" s="13"/>
    </row>
    <row r="56" spans="1:28" ht="45.6" x14ac:dyDescent="0.25">
      <c r="A56" s="77"/>
      <c r="B56" s="72"/>
      <c r="C56" s="72"/>
      <c r="D56" s="72"/>
      <c r="E56" s="72"/>
      <c r="F56" s="71" t="s">
        <v>256</v>
      </c>
      <c r="G56" s="71" t="s">
        <v>461</v>
      </c>
      <c r="H56" s="71" t="s">
        <v>256</v>
      </c>
      <c r="I56" s="9" t="s">
        <v>257</v>
      </c>
      <c r="J56" s="10" t="s">
        <v>258</v>
      </c>
      <c r="K56" s="15" t="s">
        <v>259</v>
      </c>
      <c r="L56" s="15" t="s">
        <v>209</v>
      </c>
      <c r="M56" s="15" t="s">
        <v>34</v>
      </c>
      <c r="N56" s="16" t="s">
        <v>35</v>
      </c>
      <c r="O56" s="19">
        <v>0</v>
      </c>
      <c r="P56" s="19">
        <v>1</v>
      </c>
      <c r="Q56" s="19">
        <v>0</v>
      </c>
      <c r="R56" s="5">
        <v>0</v>
      </c>
      <c r="S56" s="19">
        <v>6</v>
      </c>
      <c r="T56" s="7">
        <v>0.39758000000000004</v>
      </c>
      <c r="U56" s="7">
        <v>3.17822</v>
      </c>
      <c r="V56" s="7">
        <v>0</v>
      </c>
      <c r="W56" s="7">
        <v>3.5758000000000005</v>
      </c>
      <c r="X56" s="40" t="s">
        <v>467</v>
      </c>
      <c r="Y56" s="13"/>
      <c r="Z56" s="13"/>
      <c r="AA56" s="13"/>
      <c r="AB56" s="13"/>
    </row>
    <row r="57" spans="1:28" ht="45.6" x14ac:dyDescent="0.25">
      <c r="A57" s="77"/>
      <c r="B57" s="72"/>
      <c r="C57" s="73"/>
      <c r="D57" s="73"/>
      <c r="E57" s="73"/>
      <c r="F57" s="73"/>
      <c r="G57" s="73"/>
      <c r="H57" s="73"/>
      <c r="I57" s="9" t="s">
        <v>260</v>
      </c>
      <c r="J57" s="10" t="s">
        <v>261</v>
      </c>
      <c r="K57" s="15" t="s">
        <v>225</v>
      </c>
      <c r="L57" s="15" t="s">
        <v>209</v>
      </c>
      <c r="M57" s="15" t="s">
        <v>34</v>
      </c>
      <c r="N57" s="16" t="s">
        <v>35</v>
      </c>
      <c r="O57" s="19">
        <v>0</v>
      </c>
      <c r="P57" s="19">
        <v>250</v>
      </c>
      <c r="Q57" s="19">
        <v>0</v>
      </c>
      <c r="R57" s="5">
        <v>0</v>
      </c>
      <c r="S57" s="12">
        <v>1000</v>
      </c>
      <c r="T57" s="7">
        <v>0.39758000000000004</v>
      </c>
      <c r="U57" s="7">
        <v>3.9782200000000003</v>
      </c>
      <c r="V57" s="7">
        <v>0</v>
      </c>
      <c r="W57" s="7">
        <v>4.3758000000000008</v>
      </c>
      <c r="X57" s="40" t="s">
        <v>467</v>
      </c>
      <c r="Y57" s="13"/>
      <c r="Z57" s="13"/>
      <c r="AA57" s="13"/>
      <c r="AB57" s="13"/>
    </row>
    <row r="58" spans="1:28" ht="57" x14ac:dyDescent="0.25">
      <c r="A58" s="77"/>
      <c r="B58" s="72"/>
      <c r="C58" s="71" t="s">
        <v>262</v>
      </c>
      <c r="D58" s="71" t="s">
        <v>263</v>
      </c>
      <c r="E58" s="71" t="s">
        <v>34</v>
      </c>
      <c r="F58" s="71" t="s">
        <v>264</v>
      </c>
      <c r="G58" s="71" t="s">
        <v>444</v>
      </c>
      <c r="H58" s="71" t="s">
        <v>264</v>
      </c>
      <c r="I58" s="9" t="s">
        <v>265</v>
      </c>
      <c r="J58" s="10" t="s">
        <v>266</v>
      </c>
      <c r="K58" s="15" t="s">
        <v>267</v>
      </c>
      <c r="L58" s="15" t="s">
        <v>268</v>
      </c>
      <c r="M58" s="19">
        <v>0</v>
      </c>
      <c r="N58" s="16" t="s">
        <v>35</v>
      </c>
      <c r="O58" s="19">
        <v>0</v>
      </c>
      <c r="P58" s="19">
        <v>0</v>
      </c>
      <c r="Q58" s="19">
        <v>0</v>
      </c>
      <c r="R58" s="5">
        <v>0</v>
      </c>
      <c r="S58" s="19">
        <v>1</v>
      </c>
      <c r="T58" s="7">
        <v>0</v>
      </c>
      <c r="U58" s="7">
        <v>0</v>
      </c>
      <c r="V58" s="7">
        <v>0</v>
      </c>
      <c r="W58" s="7">
        <v>0</v>
      </c>
      <c r="X58" s="40" t="s">
        <v>467</v>
      </c>
      <c r="Y58" s="13"/>
      <c r="Z58" s="13"/>
      <c r="AA58" s="13"/>
      <c r="AB58" s="13"/>
    </row>
    <row r="59" spans="1:28" ht="79.8" x14ac:dyDescent="0.25">
      <c r="A59" s="77"/>
      <c r="B59" s="72"/>
      <c r="C59" s="72"/>
      <c r="D59" s="72"/>
      <c r="E59" s="72"/>
      <c r="F59" s="72"/>
      <c r="G59" s="72"/>
      <c r="H59" s="72"/>
      <c r="I59" s="9" t="s">
        <v>269</v>
      </c>
      <c r="J59" s="10" t="s">
        <v>270</v>
      </c>
      <c r="K59" s="15" t="s">
        <v>271</v>
      </c>
      <c r="L59" s="15" t="s">
        <v>209</v>
      </c>
      <c r="M59" s="19">
        <v>0</v>
      </c>
      <c r="N59" s="16" t="s">
        <v>35</v>
      </c>
      <c r="O59" s="19">
        <v>0</v>
      </c>
      <c r="P59" s="19">
        <v>0</v>
      </c>
      <c r="Q59" s="19">
        <v>0</v>
      </c>
      <c r="R59" s="5">
        <v>0</v>
      </c>
      <c r="S59" s="19">
        <v>1</v>
      </c>
      <c r="T59" s="7">
        <v>0</v>
      </c>
      <c r="U59" s="7">
        <v>0</v>
      </c>
      <c r="V59" s="7">
        <v>0</v>
      </c>
      <c r="W59" s="7">
        <v>0</v>
      </c>
      <c r="X59" s="5" t="s">
        <v>468</v>
      </c>
      <c r="Y59" s="13"/>
      <c r="Z59" s="13"/>
      <c r="AA59" s="13"/>
      <c r="AB59" s="13"/>
    </row>
    <row r="60" spans="1:28" ht="79.8" x14ac:dyDescent="0.25">
      <c r="A60" s="77"/>
      <c r="B60" s="72"/>
      <c r="C60" s="73"/>
      <c r="D60" s="73"/>
      <c r="E60" s="73"/>
      <c r="F60" s="72"/>
      <c r="G60" s="73"/>
      <c r="H60" s="73"/>
      <c r="I60" s="9" t="s">
        <v>272</v>
      </c>
      <c r="J60" s="10" t="s">
        <v>884</v>
      </c>
      <c r="K60" s="15" t="s">
        <v>273</v>
      </c>
      <c r="L60" s="15" t="s">
        <v>209</v>
      </c>
      <c r="M60" s="19" t="s">
        <v>34</v>
      </c>
      <c r="N60" s="16" t="s">
        <v>40</v>
      </c>
      <c r="O60" s="19">
        <v>0</v>
      </c>
      <c r="P60" s="19">
        <v>1</v>
      </c>
      <c r="Q60" s="19">
        <v>0</v>
      </c>
      <c r="R60" s="5">
        <v>0</v>
      </c>
      <c r="S60" s="19">
        <v>5</v>
      </c>
      <c r="T60" s="7">
        <v>1.9531599999999978</v>
      </c>
      <c r="U60" s="7">
        <v>17.578440000000001</v>
      </c>
      <c r="V60" s="7">
        <v>0</v>
      </c>
      <c r="W60" s="7">
        <v>19.531599999999997</v>
      </c>
      <c r="X60" s="8" t="s">
        <v>468</v>
      </c>
      <c r="Y60" s="13"/>
      <c r="Z60" s="13"/>
      <c r="AA60" s="13"/>
      <c r="AB60" s="13"/>
    </row>
    <row r="61" spans="1:28" ht="79.8" x14ac:dyDescent="0.25">
      <c r="A61" s="69" t="s">
        <v>274</v>
      </c>
      <c r="B61" s="71" t="s">
        <v>462</v>
      </c>
      <c r="C61" s="71" t="s">
        <v>275</v>
      </c>
      <c r="D61" s="71" t="s">
        <v>276</v>
      </c>
      <c r="E61" s="71" t="s">
        <v>34</v>
      </c>
      <c r="F61" s="71" t="s">
        <v>277</v>
      </c>
      <c r="G61" s="71" t="s">
        <v>463</v>
      </c>
      <c r="H61" s="71" t="s">
        <v>278</v>
      </c>
      <c r="I61" s="9" t="s">
        <v>279</v>
      </c>
      <c r="J61" s="10" t="s">
        <v>280</v>
      </c>
      <c r="K61" s="15" t="s">
        <v>281</v>
      </c>
      <c r="L61" s="15" t="s">
        <v>48</v>
      </c>
      <c r="M61" s="16">
        <v>0</v>
      </c>
      <c r="N61" s="16" t="s">
        <v>40</v>
      </c>
      <c r="O61" s="16">
        <v>0</v>
      </c>
      <c r="P61" s="16">
        <v>0.05</v>
      </c>
      <c r="Q61" s="16">
        <v>0</v>
      </c>
      <c r="R61" s="5">
        <v>0</v>
      </c>
      <c r="S61" s="16">
        <v>0.2</v>
      </c>
      <c r="T61" s="7">
        <v>8.0000000000000016E-2</v>
      </c>
      <c r="U61" s="7">
        <v>0.24</v>
      </c>
      <c r="V61" s="7">
        <v>0</v>
      </c>
      <c r="W61" s="7">
        <v>0.32000000000000006</v>
      </c>
      <c r="X61" s="8" t="s">
        <v>468</v>
      </c>
      <c r="Y61" s="13"/>
      <c r="Z61" s="13"/>
      <c r="AA61" s="13"/>
      <c r="AB61" s="13"/>
    </row>
    <row r="62" spans="1:28" ht="79.8" x14ac:dyDescent="0.25">
      <c r="A62" s="69"/>
      <c r="B62" s="72"/>
      <c r="C62" s="72"/>
      <c r="D62" s="72"/>
      <c r="E62" s="72"/>
      <c r="F62" s="72"/>
      <c r="G62" s="72"/>
      <c r="H62" s="72"/>
      <c r="I62" s="9" t="s">
        <v>282</v>
      </c>
      <c r="J62" s="10" t="s">
        <v>283</v>
      </c>
      <c r="K62" s="15" t="s">
        <v>284</v>
      </c>
      <c r="L62" s="15" t="s">
        <v>209</v>
      </c>
      <c r="M62" s="19">
        <v>0</v>
      </c>
      <c r="N62" s="16" t="s">
        <v>40</v>
      </c>
      <c r="O62" s="19">
        <v>0</v>
      </c>
      <c r="P62" s="19">
        <v>2</v>
      </c>
      <c r="Q62" s="19">
        <v>0</v>
      </c>
      <c r="R62" s="5">
        <v>0</v>
      </c>
      <c r="S62" s="19">
        <v>8</v>
      </c>
      <c r="T62" s="7">
        <v>1.2200000000000004</v>
      </c>
      <c r="U62" s="7">
        <v>12.26</v>
      </c>
      <c r="V62" s="7">
        <v>0</v>
      </c>
      <c r="W62" s="7">
        <v>13.480000000000002</v>
      </c>
      <c r="X62" s="8" t="s">
        <v>468</v>
      </c>
      <c r="Y62" s="13"/>
      <c r="Z62" s="13"/>
      <c r="AA62" s="13"/>
      <c r="AB62" s="13"/>
    </row>
    <row r="63" spans="1:28" ht="79.8" x14ac:dyDescent="0.25">
      <c r="A63" s="69"/>
      <c r="B63" s="72"/>
      <c r="C63" s="72"/>
      <c r="D63" s="72"/>
      <c r="E63" s="72"/>
      <c r="F63" s="72"/>
      <c r="G63" s="72"/>
      <c r="H63" s="72"/>
      <c r="I63" s="74" t="s">
        <v>285</v>
      </c>
      <c r="J63" s="67" t="s">
        <v>286</v>
      </c>
      <c r="K63" s="15" t="s">
        <v>287</v>
      </c>
      <c r="L63" s="15" t="s">
        <v>209</v>
      </c>
      <c r="M63" s="19">
        <v>0</v>
      </c>
      <c r="N63" s="16" t="s">
        <v>35</v>
      </c>
      <c r="O63" s="19">
        <v>0</v>
      </c>
      <c r="P63" s="19">
        <v>0</v>
      </c>
      <c r="Q63" s="19">
        <v>0</v>
      </c>
      <c r="R63" s="5">
        <v>0</v>
      </c>
      <c r="S63" s="19">
        <v>1</v>
      </c>
      <c r="T63" s="7">
        <v>0</v>
      </c>
      <c r="U63" s="7">
        <v>0</v>
      </c>
      <c r="V63" s="7">
        <v>0</v>
      </c>
      <c r="W63" s="7">
        <v>0</v>
      </c>
      <c r="X63" s="8" t="s">
        <v>468</v>
      </c>
      <c r="Y63" s="13"/>
      <c r="Z63" s="13"/>
      <c r="AA63" s="13"/>
      <c r="AB63" s="13"/>
    </row>
    <row r="64" spans="1:28" ht="79.8" x14ac:dyDescent="0.25">
      <c r="A64" s="69"/>
      <c r="B64" s="72"/>
      <c r="C64" s="72"/>
      <c r="D64" s="72"/>
      <c r="E64" s="72"/>
      <c r="F64" s="72"/>
      <c r="G64" s="72"/>
      <c r="H64" s="72"/>
      <c r="I64" s="81"/>
      <c r="J64" s="82"/>
      <c r="K64" s="15" t="s">
        <v>288</v>
      </c>
      <c r="L64" s="15" t="s">
        <v>48</v>
      </c>
      <c r="M64" s="16">
        <v>0</v>
      </c>
      <c r="N64" s="16" t="s">
        <v>35</v>
      </c>
      <c r="O64" s="16">
        <v>0</v>
      </c>
      <c r="P64" s="16">
        <v>0</v>
      </c>
      <c r="Q64" s="16">
        <v>0</v>
      </c>
      <c r="R64" s="5">
        <v>0</v>
      </c>
      <c r="S64" s="16">
        <v>0.5</v>
      </c>
      <c r="T64" s="7">
        <v>0</v>
      </c>
      <c r="U64" s="7">
        <v>0</v>
      </c>
      <c r="V64" s="7">
        <v>0</v>
      </c>
      <c r="W64" s="7">
        <v>0</v>
      </c>
      <c r="X64" s="8" t="s">
        <v>468</v>
      </c>
      <c r="Y64" s="13"/>
      <c r="Z64" s="13"/>
      <c r="AA64" s="13"/>
      <c r="AB64" s="13"/>
    </row>
    <row r="65" spans="1:28" ht="79.8" x14ac:dyDescent="0.25">
      <c r="A65" s="69"/>
      <c r="B65" s="72"/>
      <c r="C65" s="72"/>
      <c r="D65" s="72"/>
      <c r="E65" s="72"/>
      <c r="F65" s="72"/>
      <c r="G65" s="72"/>
      <c r="H65" s="72"/>
      <c r="I65" s="75"/>
      <c r="J65" s="68"/>
      <c r="K65" s="15" t="s">
        <v>289</v>
      </c>
      <c r="L65" s="15" t="s">
        <v>48</v>
      </c>
      <c r="M65" s="16">
        <v>0</v>
      </c>
      <c r="N65" s="16" t="s">
        <v>35</v>
      </c>
      <c r="O65" s="16">
        <v>0</v>
      </c>
      <c r="P65" s="16">
        <v>0</v>
      </c>
      <c r="Q65" s="16">
        <v>0</v>
      </c>
      <c r="R65" s="5">
        <v>0</v>
      </c>
      <c r="S65" s="16">
        <v>0.2</v>
      </c>
      <c r="T65" s="7">
        <v>0</v>
      </c>
      <c r="U65" s="7">
        <v>0</v>
      </c>
      <c r="V65" s="7">
        <v>0</v>
      </c>
      <c r="W65" s="7">
        <v>0</v>
      </c>
      <c r="X65" s="8" t="s">
        <v>468</v>
      </c>
      <c r="Y65" s="13"/>
      <c r="Z65" s="13"/>
      <c r="AA65" s="13"/>
      <c r="AB65" s="13"/>
    </row>
    <row r="66" spans="1:28" ht="79.8" x14ac:dyDescent="0.25">
      <c r="A66" s="69"/>
      <c r="B66" s="72"/>
      <c r="C66" s="73"/>
      <c r="D66" s="73"/>
      <c r="E66" s="73"/>
      <c r="F66" s="73"/>
      <c r="G66" s="73"/>
      <c r="H66" s="73"/>
      <c r="I66" s="9" t="s">
        <v>290</v>
      </c>
      <c r="J66" s="10" t="s">
        <v>291</v>
      </c>
      <c r="K66" s="15" t="s">
        <v>292</v>
      </c>
      <c r="L66" s="15" t="s">
        <v>209</v>
      </c>
      <c r="M66" s="19">
        <v>0</v>
      </c>
      <c r="N66" s="16" t="s">
        <v>35</v>
      </c>
      <c r="O66" s="19">
        <v>0</v>
      </c>
      <c r="P66" s="19">
        <v>1</v>
      </c>
      <c r="Q66" s="19">
        <v>0</v>
      </c>
      <c r="R66" s="5">
        <v>0</v>
      </c>
      <c r="S66" s="19">
        <v>4</v>
      </c>
      <c r="T66" s="7">
        <v>0.4</v>
      </c>
      <c r="U66" s="7">
        <v>2.8000000000000003</v>
      </c>
      <c r="V66" s="7">
        <v>0</v>
      </c>
      <c r="W66" s="7">
        <v>3.2</v>
      </c>
      <c r="X66" s="8" t="s">
        <v>468</v>
      </c>
      <c r="Y66" s="13"/>
      <c r="Z66" s="13"/>
      <c r="AA66" s="13"/>
      <c r="AB66" s="13"/>
    </row>
    <row r="67" spans="1:28" ht="45.6" x14ac:dyDescent="0.25">
      <c r="A67" s="69"/>
      <c r="B67" s="72"/>
      <c r="C67" s="71" t="s">
        <v>445</v>
      </c>
      <c r="D67" s="71" t="s">
        <v>293</v>
      </c>
      <c r="E67" s="71" t="s">
        <v>34</v>
      </c>
      <c r="F67" s="71" t="s">
        <v>294</v>
      </c>
      <c r="G67" s="71" t="s">
        <v>464</v>
      </c>
      <c r="H67" s="71" t="s">
        <v>295</v>
      </c>
      <c r="I67" s="9" t="s">
        <v>296</v>
      </c>
      <c r="J67" s="10" t="s">
        <v>297</v>
      </c>
      <c r="K67" s="15" t="s">
        <v>298</v>
      </c>
      <c r="L67" s="15" t="s">
        <v>209</v>
      </c>
      <c r="M67" s="19">
        <v>1</v>
      </c>
      <c r="N67" s="16" t="s">
        <v>35</v>
      </c>
      <c r="O67" s="19">
        <v>0</v>
      </c>
      <c r="P67" s="19">
        <v>2</v>
      </c>
      <c r="Q67" s="19">
        <v>0</v>
      </c>
      <c r="R67" s="5">
        <v>0</v>
      </c>
      <c r="S67" s="19">
        <v>10</v>
      </c>
      <c r="T67" s="7">
        <v>0.44740000000000002</v>
      </c>
      <c r="U67" s="7">
        <v>2</v>
      </c>
      <c r="V67" s="7">
        <v>0</v>
      </c>
      <c r="W67" s="7">
        <v>2.4474</v>
      </c>
      <c r="X67" s="10" t="s">
        <v>467</v>
      </c>
      <c r="Y67" s="13"/>
      <c r="Z67" s="13"/>
      <c r="AA67" s="13"/>
      <c r="AB67" s="13"/>
    </row>
    <row r="68" spans="1:28" ht="45.6" x14ac:dyDescent="0.25">
      <c r="A68" s="69"/>
      <c r="B68" s="72"/>
      <c r="C68" s="72"/>
      <c r="D68" s="72"/>
      <c r="E68" s="72"/>
      <c r="F68" s="72"/>
      <c r="G68" s="72"/>
      <c r="H68" s="72"/>
      <c r="I68" s="9" t="s">
        <v>299</v>
      </c>
      <c r="J68" s="10" t="s">
        <v>300</v>
      </c>
      <c r="K68" s="15" t="s">
        <v>301</v>
      </c>
      <c r="L68" s="15" t="s">
        <v>209</v>
      </c>
      <c r="M68" s="15" t="s">
        <v>34</v>
      </c>
      <c r="N68" s="16" t="s">
        <v>40</v>
      </c>
      <c r="O68" s="19">
        <v>0</v>
      </c>
      <c r="P68" s="19">
        <v>2</v>
      </c>
      <c r="Q68" s="19">
        <v>0</v>
      </c>
      <c r="R68" s="5">
        <v>0</v>
      </c>
      <c r="S68" s="19">
        <v>2</v>
      </c>
      <c r="T68" s="7">
        <v>0.48</v>
      </c>
      <c r="U68" s="7">
        <v>7.1866000000000021</v>
      </c>
      <c r="V68" s="7">
        <v>0</v>
      </c>
      <c r="W68" s="7">
        <v>7.6666000000000016</v>
      </c>
      <c r="X68" s="10" t="s">
        <v>467</v>
      </c>
      <c r="Y68" s="13"/>
      <c r="Z68" s="13"/>
      <c r="AA68" s="13"/>
      <c r="AB68" s="13"/>
    </row>
    <row r="69" spans="1:28" ht="68.400000000000006" x14ac:dyDescent="0.25">
      <c r="A69" s="69"/>
      <c r="B69" s="72"/>
      <c r="C69" s="72"/>
      <c r="D69" s="72"/>
      <c r="E69" s="72"/>
      <c r="F69" s="72"/>
      <c r="G69" s="72"/>
      <c r="H69" s="72"/>
      <c r="I69" s="9" t="s">
        <v>302</v>
      </c>
      <c r="J69" s="10" t="s">
        <v>446</v>
      </c>
      <c r="K69" s="15" t="s">
        <v>303</v>
      </c>
      <c r="L69" s="15" t="s">
        <v>209</v>
      </c>
      <c r="M69" s="19">
        <v>0</v>
      </c>
      <c r="N69" s="16" t="s">
        <v>35</v>
      </c>
      <c r="O69" s="19">
        <v>0</v>
      </c>
      <c r="P69" s="19">
        <v>2</v>
      </c>
      <c r="Q69" s="19">
        <v>0</v>
      </c>
      <c r="R69" s="5">
        <v>0</v>
      </c>
      <c r="S69" s="19">
        <v>8</v>
      </c>
      <c r="T69" s="7">
        <v>0.64000000000000012</v>
      </c>
      <c r="U69" s="7">
        <v>2.4000000000000004</v>
      </c>
      <c r="V69" s="7">
        <v>0</v>
      </c>
      <c r="W69" s="7">
        <v>3.04</v>
      </c>
      <c r="X69" s="10" t="s">
        <v>467</v>
      </c>
      <c r="Y69" s="13"/>
      <c r="Z69" s="13"/>
      <c r="AA69" s="13"/>
      <c r="AB69" s="13"/>
    </row>
    <row r="70" spans="1:28" ht="45.6" x14ac:dyDescent="0.25">
      <c r="A70" s="69"/>
      <c r="B70" s="72"/>
      <c r="C70" s="72"/>
      <c r="D70" s="72"/>
      <c r="E70" s="72"/>
      <c r="F70" s="73"/>
      <c r="G70" s="73"/>
      <c r="H70" s="73"/>
      <c r="I70" s="9" t="s">
        <v>304</v>
      </c>
      <c r="J70" s="10" t="s">
        <v>305</v>
      </c>
      <c r="K70" s="15" t="s">
        <v>306</v>
      </c>
      <c r="L70" s="15" t="s">
        <v>209</v>
      </c>
      <c r="M70" s="19">
        <v>1</v>
      </c>
      <c r="N70" s="16" t="s">
        <v>35</v>
      </c>
      <c r="O70" s="19">
        <v>0</v>
      </c>
      <c r="P70" s="19">
        <v>1</v>
      </c>
      <c r="Q70" s="19">
        <v>0</v>
      </c>
      <c r="R70" s="5">
        <v>0</v>
      </c>
      <c r="S70" s="19">
        <v>9</v>
      </c>
      <c r="T70" s="7">
        <v>0.72000000000000008</v>
      </c>
      <c r="U70" s="7">
        <v>9</v>
      </c>
      <c r="V70" s="7">
        <v>0</v>
      </c>
      <c r="W70" s="7">
        <v>9.7200000000000006</v>
      </c>
      <c r="X70" s="10" t="s">
        <v>467</v>
      </c>
      <c r="Y70" s="13"/>
      <c r="Z70" s="13"/>
      <c r="AA70" s="13"/>
      <c r="AB70" s="13"/>
    </row>
    <row r="71" spans="1:28" ht="45.6" x14ac:dyDescent="0.25">
      <c r="A71" s="69"/>
      <c r="B71" s="72"/>
      <c r="C71" s="72"/>
      <c r="D71" s="72"/>
      <c r="E71" s="72"/>
      <c r="F71" s="71" t="s">
        <v>307</v>
      </c>
      <c r="G71" s="71" t="s">
        <v>465</v>
      </c>
      <c r="H71" s="71" t="s">
        <v>308</v>
      </c>
      <c r="I71" s="74" t="s">
        <v>309</v>
      </c>
      <c r="J71" s="67" t="s">
        <v>310</v>
      </c>
      <c r="K71" s="15" t="s">
        <v>311</v>
      </c>
      <c r="L71" s="15" t="s">
        <v>209</v>
      </c>
      <c r="M71" s="19">
        <v>0</v>
      </c>
      <c r="N71" s="16" t="s">
        <v>35</v>
      </c>
      <c r="O71" s="19">
        <v>0</v>
      </c>
      <c r="P71" s="19">
        <v>0</v>
      </c>
      <c r="Q71" s="19">
        <v>0</v>
      </c>
      <c r="R71" s="5">
        <v>0</v>
      </c>
      <c r="S71" s="19">
        <v>1</v>
      </c>
      <c r="T71" s="7">
        <v>0</v>
      </c>
      <c r="U71" s="7">
        <v>0</v>
      </c>
      <c r="V71" s="7">
        <v>0</v>
      </c>
      <c r="W71" s="7">
        <v>0</v>
      </c>
      <c r="X71" s="10" t="s">
        <v>467</v>
      </c>
      <c r="Y71" s="13"/>
      <c r="Z71" s="13"/>
      <c r="AA71" s="13"/>
      <c r="AB71" s="13"/>
    </row>
    <row r="72" spans="1:28" ht="45.6" x14ac:dyDescent="0.25">
      <c r="A72" s="69"/>
      <c r="B72" s="72"/>
      <c r="C72" s="73"/>
      <c r="D72" s="73"/>
      <c r="E72" s="73"/>
      <c r="F72" s="72"/>
      <c r="G72" s="72"/>
      <c r="H72" s="72"/>
      <c r="I72" s="75"/>
      <c r="J72" s="68"/>
      <c r="K72" s="15" t="s">
        <v>245</v>
      </c>
      <c r="L72" s="15" t="s">
        <v>48</v>
      </c>
      <c r="M72" s="16">
        <v>0</v>
      </c>
      <c r="N72" s="16" t="s">
        <v>35</v>
      </c>
      <c r="O72" s="16">
        <v>0</v>
      </c>
      <c r="P72" s="16">
        <v>0</v>
      </c>
      <c r="Q72" s="34">
        <v>0</v>
      </c>
      <c r="R72" s="34">
        <v>0</v>
      </c>
      <c r="S72" s="16">
        <v>0.5</v>
      </c>
      <c r="T72" s="7">
        <v>0</v>
      </c>
      <c r="U72" s="7">
        <v>0</v>
      </c>
      <c r="V72" s="7">
        <v>0</v>
      </c>
      <c r="W72" s="7">
        <v>0</v>
      </c>
      <c r="X72" s="10" t="s">
        <v>467</v>
      </c>
      <c r="Y72" s="13"/>
      <c r="Z72" s="13"/>
      <c r="AA72" s="13"/>
      <c r="AB72" s="13"/>
    </row>
    <row r="73" spans="1:28" ht="45.6" x14ac:dyDescent="0.25">
      <c r="A73" s="69"/>
      <c r="B73" s="72"/>
      <c r="C73" s="71" t="s">
        <v>312</v>
      </c>
      <c r="D73" s="71" t="s">
        <v>313</v>
      </c>
      <c r="E73" s="71" t="s">
        <v>34</v>
      </c>
      <c r="F73" s="72"/>
      <c r="G73" s="72"/>
      <c r="H73" s="72"/>
      <c r="I73" s="9" t="s">
        <v>314</v>
      </c>
      <c r="J73" s="10" t="s">
        <v>315</v>
      </c>
      <c r="K73" s="15" t="s">
        <v>316</v>
      </c>
      <c r="L73" s="15" t="s">
        <v>209</v>
      </c>
      <c r="M73" s="19">
        <v>1</v>
      </c>
      <c r="N73" s="16" t="s">
        <v>40</v>
      </c>
      <c r="O73" s="19">
        <v>0</v>
      </c>
      <c r="P73" s="19">
        <v>1</v>
      </c>
      <c r="Q73" s="19">
        <v>0</v>
      </c>
      <c r="R73" s="5">
        <v>0</v>
      </c>
      <c r="S73" s="19">
        <v>1</v>
      </c>
      <c r="T73" s="7">
        <v>0.23137142857142862</v>
      </c>
      <c r="U73" s="7">
        <v>1.9200000000000004</v>
      </c>
      <c r="V73" s="7">
        <v>0</v>
      </c>
      <c r="W73" s="7">
        <v>2.1513714285714292</v>
      </c>
      <c r="X73" s="10" t="s">
        <v>467</v>
      </c>
      <c r="Y73" s="13"/>
      <c r="Z73" s="13"/>
      <c r="AA73" s="13"/>
      <c r="AB73" s="13"/>
    </row>
    <row r="74" spans="1:28" ht="45.6" x14ac:dyDescent="0.25">
      <c r="A74" s="69"/>
      <c r="B74" s="72"/>
      <c r="C74" s="72"/>
      <c r="D74" s="72"/>
      <c r="E74" s="72"/>
      <c r="F74" s="72"/>
      <c r="G74" s="72"/>
      <c r="H74" s="72"/>
      <c r="I74" s="9" t="s">
        <v>317</v>
      </c>
      <c r="J74" s="10" t="s">
        <v>318</v>
      </c>
      <c r="K74" s="15" t="s">
        <v>319</v>
      </c>
      <c r="L74" s="15" t="s">
        <v>48</v>
      </c>
      <c r="M74" s="16">
        <v>0</v>
      </c>
      <c r="N74" s="16" t="s">
        <v>35</v>
      </c>
      <c r="O74" s="16">
        <v>0</v>
      </c>
      <c r="P74" s="16">
        <v>0.1</v>
      </c>
      <c r="Q74" s="16">
        <v>0</v>
      </c>
      <c r="R74" s="16">
        <v>0</v>
      </c>
      <c r="S74" s="16">
        <v>0.4</v>
      </c>
      <c r="T74" s="7">
        <v>4.0000000000000008E-2</v>
      </c>
      <c r="U74" s="7">
        <v>0.8</v>
      </c>
      <c r="V74" s="7">
        <v>0</v>
      </c>
      <c r="W74" s="7">
        <v>0.84000000000000008</v>
      </c>
      <c r="X74" s="10" t="s">
        <v>467</v>
      </c>
      <c r="Y74" s="13"/>
      <c r="Z74" s="13"/>
      <c r="AA74" s="13"/>
      <c r="AB74" s="13"/>
    </row>
    <row r="75" spans="1:28" ht="45.6" x14ac:dyDescent="0.25">
      <c r="A75" s="69"/>
      <c r="B75" s="72"/>
      <c r="C75" s="72"/>
      <c r="D75" s="72"/>
      <c r="E75" s="72"/>
      <c r="F75" s="72"/>
      <c r="G75" s="72"/>
      <c r="H75" s="72"/>
      <c r="I75" s="74" t="s">
        <v>320</v>
      </c>
      <c r="J75" s="83" t="s">
        <v>321</v>
      </c>
      <c r="K75" s="15" t="s">
        <v>322</v>
      </c>
      <c r="L75" s="15" t="s">
        <v>209</v>
      </c>
      <c r="M75" s="19" t="s">
        <v>244</v>
      </c>
      <c r="N75" s="16" t="s">
        <v>35</v>
      </c>
      <c r="O75" s="19">
        <v>0</v>
      </c>
      <c r="P75" s="19">
        <v>0</v>
      </c>
      <c r="Q75" s="19">
        <v>0</v>
      </c>
      <c r="R75" s="5">
        <v>0</v>
      </c>
      <c r="S75" s="19">
        <v>1</v>
      </c>
      <c r="T75" s="7">
        <v>0</v>
      </c>
      <c r="U75" s="7">
        <v>0</v>
      </c>
      <c r="V75" s="7">
        <v>24</v>
      </c>
      <c r="W75" s="7">
        <v>24</v>
      </c>
      <c r="X75" s="10" t="s">
        <v>467</v>
      </c>
      <c r="Y75" s="13"/>
      <c r="Z75" s="13"/>
      <c r="AA75" s="13"/>
      <c r="AB75" s="13"/>
    </row>
    <row r="76" spans="1:28" ht="45.6" x14ac:dyDescent="0.25">
      <c r="A76" s="69"/>
      <c r="B76" s="72"/>
      <c r="C76" s="72"/>
      <c r="D76" s="72"/>
      <c r="E76" s="72"/>
      <c r="F76" s="72"/>
      <c r="G76" s="72"/>
      <c r="H76" s="72"/>
      <c r="I76" s="75"/>
      <c r="J76" s="84"/>
      <c r="K76" s="15" t="s">
        <v>323</v>
      </c>
      <c r="L76" s="15" t="s">
        <v>48</v>
      </c>
      <c r="M76" s="16">
        <v>0</v>
      </c>
      <c r="N76" s="16" t="s">
        <v>35</v>
      </c>
      <c r="O76" s="16">
        <v>0</v>
      </c>
      <c r="P76" s="16">
        <v>0</v>
      </c>
      <c r="Q76" s="16">
        <v>0</v>
      </c>
      <c r="R76" s="16">
        <v>0</v>
      </c>
      <c r="S76" s="16">
        <v>1</v>
      </c>
      <c r="T76" s="7">
        <v>0</v>
      </c>
      <c r="U76" s="7">
        <v>0</v>
      </c>
      <c r="V76" s="7">
        <v>0</v>
      </c>
      <c r="W76" s="7">
        <v>0</v>
      </c>
      <c r="X76" s="10" t="s">
        <v>467</v>
      </c>
      <c r="Y76" s="13"/>
      <c r="Z76" s="13"/>
      <c r="AA76" s="13"/>
      <c r="AB76" s="13"/>
    </row>
    <row r="77" spans="1:28" ht="68.400000000000006" x14ac:dyDescent="0.25">
      <c r="A77" s="69"/>
      <c r="B77" s="72"/>
      <c r="C77" s="72"/>
      <c r="D77" s="72"/>
      <c r="E77" s="72"/>
      <c r="F77" s="72"/>
      <c r="G77" s="72"/>
      <c r="H77" s="72"/>
      <c r="I77" s="9" t="s">
        <v>324</v>
      </c>
      <c r="J77" s="10" t="s">
        <v>325</v>
      </c>
      <c r="K77" s="15" t="s">
        <v>326</v>
      </c>
      <c r="L77" s="15" t="s">
        <v>209</v>
      </c>
      <c r="M77" s="19">
        <v>1</v>
      </c>
      <c r="N77" s="16" t="s">
        <v>35</v>
      </c>
      <c r="O77" s="19">
        <v>0</v>
      </c>
      <c r="P77" s="19">
        <v>6</v>
      </c>
      <c r="Q77" s="19">
        <v>0</v>
      </c>
      <c r="R77" s="5">
        <v>0</v>
      </c>
      <c r="S77" s="19">
        <v>21</v>
      </c>
      <c r="T77" s="7">
        <v>0.42422857142857107</v>
      </c>
      <c r="U77" s="7">
        <v>3.5404000000000004</v>
      </c>
      <c r="V77" s="7">
        <v>0</v>
      </c>
      <c r="W77" s="7">
        <v>3.9646285714285714</v>
      </c>
      <c r="X77" s="10" t="s">
        <v>467</v>
      </c>
      <c r="Y77" s="13"/>
      <c r="Z77" s="13"/>
      <c r="AA77" s="13"/>
      <c r="AB77" s="13"/>
    </row>
    <row r="78" spans="1:28" ht="45.6" x14ac:dyDescent="0.25">
      <c r="A78" s="69"/>
      <c r="B78" s="72"/>
      <c r="C78" s="72"/>
      <c r="D78" s="72"/>
      <c r="E78" s="72"/>
      <c r="F78" s="72"/>
      <c r="G78" s="72"/>
      <c r="H78" s="72"/>
      <c r="I78" s="9" t="s">
        <v>327</v>
      </c>
      <c r="J78" s="10" t="s">
        <v>328</v>
      </c>
      <c r="K78" s="15" t="s">
        <v>329</v>
      </c>
      <c r="L78" s="15" t="s">
        <v>209</v>
      </c>
      <c r="M78" s="19" t="s">
        <v>34</v>
      </c>
      <c r="N78" s="16" t="s">
        <v>35</v>
      </c>
      <c r="O78" s="19">
        <v>0</v>
      </c>
      <c r="P78" s="19">
        <v>0</v>
      </c>
      <c r="Q78" s="19">
        <v>0</v>
      </c>
      <c r="R78" s="5">
        <v>0</v>
      </c>
      <c r="S78" s="19">
        <v>3</v>
      </c>
      <c r="T78" s="7">
        <v>0</v>
      </c>
      <c r="U78" s="7">
        <v>0</v>
      </c>
      <c r="V78" s="7">
        <v>0</v>
      </c>
      <c r="W78" s="7">
        <v>0</v>
      </c>
      <c r="X78" s="10" t="s">
        <v>467</v>
      </c>
      <c r="Y78" s="13"/>
      <c r="Z78" s="13"/>
      <c r="AA78" s="13"/>
      <c r="AB78" s="13"/>
    </row>
    <row r="79" spans="1:28" ht="57" x14ac:dyDescent="0.25">
      <c r="A79" s="69"/>
      <c r="B79" s="73"/>
      <c r="C79" s="73"/>
      <c r="D79" s="73"/>
      <c r="E79" s="73"/>
      <c r="F79" s="73"/>
      <c r="G79" s="73"/>
      <c r="H79" s="73"/>
      <c r="I79" s="9" t="s">
        <v>330</v>
      </c>
      <c r="J79" s="10" t="s">
        <v>331</v>
      </c>
      <c r="K79" s="5" t="s">
        <v>332</v>
      </c>
      <c r="L79" s="15" t="s">
        <v>209</v>
      </c>
      <c r="M79" s="19" t="s">
        <v>34</v>
      </c>
      <c r="N79" s="16" t="s">
        <v>35</v>
      </c>
      <c r="O79" s="19">
        <v>0</v>
      </c>
      <c r="P79" s="19">
        <v>0</v>
      </c>
      <c r="Q79" s="19">
        <v>0</v>
      </c>
      <c r="R79" s="5">
        <v>0</v>
      </c>
      <c r="S79" s="19">
        <v>3</v>
      </c>
      <c r="T79" s="7">
        <v>0</v>
      </c>
      <c r="U79" s="7">
        <v>0</v>
      </c>
      <c r="V79" s="7">
        <v>0</v>
      </c>
      <c r="W79" s="7">
        <v>0</v>
      </c>
      <c r="X79" s="10" t="s">
        <v>467</v>
      </c>
      <c r="Y79" s="13"/>
      <c r="Z79" s="13"/>
      <c r="AA79" s="13"/>
      <c r="AB79" s="13"/>
    </row>
    <row r="80" spans="1:28" ht="36" customHeight="1" x14ac:dyDescent="0.25">
      <c r="A80" s="76" t="s">
        <v>333</v>
      </c>
      <c r="B80" s="71" t="s">
        <v>334</v>
      </c>
      <c r="C80" s="71" t="s">
        <v>335</v>
      </c>
      <c r="D80" s="71" t="s">
        <v>336</v>
      </c>
      <c r="E80" s="71" t="s">
        <v>34</v>
      </c>
      <c r="F80" s="71" t="s">
        <v>337</v>
      </c>
      <c r="G80" s="71" t="s">
        <v>338</v>
      </c>
      <c r="H80" s="71" t="s">
        <v>337</v>
      </c>
      <c r="I80" s="9" t="s">
        <v>339</v>
      </c>
      <c r="J80" s="10" t="s">
        <v>340</v>
      </c>
      <c r="K80" s="10" t="s">
        <v>341</v>
      </c>
      <c r="L80" s="15" t="s">
        <v>48</v>
      </c>
      <c r="M80" s="16">
        <v>1</v>
      </c>
      <c r="N80" s="16" t="s">
        <v>40</v>
      </c>
      <c r="O80" s="16">
        <v>0</v>
      </c>
      <c r="P80" s="16">
        <v>1</v>
      </c>
      <c r="Q80" s="16">
        <v>0</v>
      </c>
      <c r="R80" s="16">
        <v>0</v>
      </c>
      <c r="S80" s="16">
        <v>1</v>
      </c>
      <c r="T80" s="7">
        <v>5.7200000000000001E-2</v>
      </c>
      <c r="U80" s="7">
        <v>4.0000000000000008E-2</v>
      </c>
      <c r="V80" s="7">
        <v>0</v>
      </c>
      <c r="W80" s="7">
        <v>9.7200000000000009E-2</v>
      </c>
      <c r="X80" s="10" t="s">
        <v>467</v>
      </c>
      <c r="Y80" s="13"/>
      <c r="Z80" s="13"/>
      <c r="AA80" s="13"/>
      <c r="AB80" s="13"/>
    </row>
    <row r="81" spans="1:28" ht="36" customHeight="1" x14ac:dyDescent="0.25">
      <c r="A81" s="77"/>
      <c r="B81" s="72"/>
      <c r="C81" s="79"/>
      <c r="D81" s="72"/>
      <c r="E81" s="72"/>
      <c r="F81" s="72"/>
      <c r="G81" s="72"/>
      <c r="H81" s="72"/>
      <c r="I81" s="9" t="s">
        <v>342</v>
      </c>
      <c r="J81" s="10" t="s">
        <v>343</v>
      </c>
      <c r="K81" s="10" t="s">
        <v>344</v>
      </c>
      <c r="L81" s="15" t="s">
        <v>209</v>
      </c>
      <c r="M81" s="19">
        <v>0</v>
      </c>
      <c r="N81" s="16" t="s">
        <v>40</v>
      </c>
      <c r="O81" s="19">
        <v>0</v>
      </c>
      <c r="P81" s="19">
        <v>1</v>
      </c>
      <c r="Q81" s="19">
        <v>0</v>
      </c>
      <c r="R81" s="5">
        <v>0</v>
      </c>
      <c r="S81" s="19">
        <v>1</v>
      </c>
      <c r="T81" s="7">
        <v>5.7200000000000001E-2</v>
      </c>
      <c r="U81" s="7">
        <v>3.1496000000000004</v>
      </c>
      <c r="V81" s="7">
        <v>0</v>
      </c>
      <c r="W81" s="7">
        <v>3.2068000000000008</v>
      </c>
      <c r="X81" s="10" t="s">
        <v>467</v>
      </c>
      <c r="Y81" s="13"/>
      <c r="Z81" s="13"/>
      <c r="AA81" s="13"/>
      <c r="AB81" s="13"/>
    </row>
    <row r="82" spans="1:28" ht="45.6" x14ac:dyDescent="0.25">
      <c r="A82" s="77"/>
      <c r="B82" s="72"/>
      <c r="C82" s="79"/>
      <c r="D82" s="72"/>
      <c r="E82" s="72"/>
      <c r="F82" s="72"/>
      <c r="G82" s="72"/>
      <c r="H82" s="72"/>
      <c r="I82" s="74" t="s">
        <v>345</v>
      </c>
      <c r="J82" s="67" t="s">
        <v>346</v>
      </c>
      <c r="K82" s="10" t="s">
        <v>347</v>
      </c>
      <c r="L82" s="15" t="s">
        <v>209</v>
      </c>
      <c r="M82" s="19">
        <v>0</v>
      </c>
      <c r="N82" s="16" t="s">
        <v>35</v>
      </c>
      <c r="O82" s="19">
        <v>0</v>
      </c>
      <c r="P82" s="19">
        <v>1</v>
      </c>
      <c r="Q82" s="19">
        <v>0</v>
      </c>
      <c r="R82" s="5">
        <v>0</v>
      </c>
      <c r="S82" s="19">
        <v>1</v>
      </c>
      <c r="T82" s="7">
        <v>0.41720000000000002</v>
      </c>
      <c r="U82" s="7">
        <v>1.5948000000000002</v>
      </c>
      <c r="V82" s="7">
        <v>0</v>
      </c>
      <c r="W82" s="7">
        <v>2.012</v>
      </c>
      <c r="X82" s="10" t="s">
        <v>467</v>
      </c>
      <c r="Y82" s="13"/>
      <c r="Z82" s="13"/>
      <c r="AA82" s="13"/>
      <c r="AB82" s="13"/>
    </row>
    <row r="83" spans="1:28" ht="45.6" x14ac:dyDescent="0.25">
      <c r="A83" s="77"/>
      <c r="B83" s="72"/>
      <c r="C83" s="79"/>
      <c r="D83" s="72"/>
      <c r="E83" s="72"/>
      <c r="F83" s="73"/>
      <c r="G83" s="73"/>
      <c r="H83" s="73"/>
      <c r="I83" s="75"/>
      <c r="J83" s="68"/>
      <c r="K83" s="10" t="s">
        <v>348</v>
      </c>
      <c r="L83" s="15" t="s">
        <v>48</v>
      </c>
      <c r="M83" s="16">
        <v>0</v>
      </c>
      <c r="N83" s="16" t="s">
        <v>35</v>
      </c>
      <c r="O83" s="16">
        <v>0</v>
      </c>
      <c r="P83" s="16">
        <v>0.1</v>
      </c>
      <c r="Q83" s="16">
        <v>0</v>
      </c>
      <c r="R83" s="5">
        <v>0</v>
      </c>
      <c r="S83" s="16">
        <v>0.5</v>
      </c>
      <c r="T83" s="7">
        <v>0</v>
      </c>
      <c r="U83" s="7">
        <v>0</v>
      </c>
      <c r="V83" s="7">
        <v>0</v>
      </c>
      <c r="W83" s="7">
        <v>0</v>
      </c>
      <c r="X83" s="10" t="s">
        <v>467</v>
      </c>
      <c r="Y83" s="13"/>
      <c r="Z83" s="13"/>
      <c r="AA83" s="13"/>
      <c r="AB83" s="13"/>
    </row>
    <row r="84" spans="1:28" ht="125.4" x14ac:dyDescent="0.25">
      <c r="A84" s="77"/>
      <c r="B84" s="72"/>
      <c r="C84" s="79"/>
      <c r="D84" s="72"/>
      <c r="E84" s="72"/>
      <c r="F84" s="5" t="s">
        <v>349</v>
      </c>
      <c r="G84" s="5" t="s">
        <v>350</v>
      </c>
      <c r="H84" s="5" t="s">
        <v>349</v>
      </c>
      <c r="I84" s="9" t="s">
        <v>351</v>
      </c>
      <c r="J84" s="10" t="s">
        <v>352</v>
      </c>
      <c r="K84" s="10" t="s">
        <v>353</v>
      </c>
      <c r="L84" s="15" t="s">
        <v>209</v>
      </c>
      <c r="M84" s="19">
        <v>0</v>
      </c>
      <c r="N84" s="16" t="s">
        <v>35</v>
      </c>
      <c r="O84" s="19">
        <v>0</v>
      </c>
      <c r="P84" s="19">
        <v>1</v>
      </c>
      <c r="Q84" s="19">
        <v>0</v>
      </c>
      <c r="R84" s="5">
        <v>0</v>
      </c>
      <c r="S84" s="19">
        <v>1</v>
      </c>
      <c r="T84" s="7">
        <v>0.35360000000000003</v>
      </c>
      <c r="U84" s="7">
        <v>3.1824000000000003</v>
      </c>
      <c r="V84" s="7">
        <v>0</v>
      </c>
      <c r="W84" s="7">
        <v>3.536</v>
      </c>
      <c r="X84" s="10" t="s">
        <v>467</v>
      </c>
      <c r="Y84" s="13"/>
      <c r="Z84" s="13"/>
      <c r="AA84" s="13"/>
      <c r="AB84" s="13"/>
    </row>
    <row r="85" spans="1:28" ht="24" customHeight="1" x14ac:dyDescent="0.25">
      <c r="A85" s="77"/>
      <c r="B85" s="72"/>
      <c r="C85" s="79"/>
      <c r="D85" s="72"/>
      <c r="E85" s="72"/>
      <c r="F85" s="71" t="s">
        <v>447</v>
      </c>
      <c r="G85" s="71" t="s">
        <v>354</v>
      </c>
      <c r="H85" s="71" t="s">
        <v>355</v>
      </c>
      <c r="I85" s="74" t="s">
        <v>356</v>
      </c>
      <c r="J85" s="67" t="s">
        <v>357</v>
      </c>
      <c r="K85" s="10" t="s">
        <v>358</v>
      </c>
      <c r="L85" s="15" t="s">
        <v>209</v>
      </c>
      <c r="M85" s="19">
        <v>0</v>
      </c>
      <c r="N85" s="16" t="s">
        <v>35</v>
      </c>
      <c r="O85" s="19">
        <v>0</v>
      </c>
      <c r="P85" s="19">
        <v>1</v>
      </c>
      <c r="Q85" s="19">
        <v>0</v>
      </c>
      <c r="R85" s="5">
        <v>0</v>
      </c>
      <c r="S85" s="19">
        <v>1</v>
      </c>
      <c r="T85" s="7">
        <v>1.1224000000000001</v>
      </c>
      <c r="U85" s="7">
        <v>10.592400000000001</v>
      </c>
      <c r="V85" s="7">
        <v>0</v>
      </c>
      <c r="W85" s="7">
        <v>11.714800000000002</v>
      </c>
      <c r="X85" s="10" t="s">
        <v>467</v>
      </c>
      <c r="Y85" s="13"/>
      <c r="Z85" s="13"/>
      <c r="AA85" s="13"/>
      <c r="AB85" s="13"/>
    </row>
    <row r="86" spans="1:28" ht="45.6" x14ac:dyDescent="0.25">
      <c r="A86" s="77"/>
      <c r="B86" s="72"/>
      <c r="C86" s="79"/>
      <c r="D86" s="72"/>
      <c r="E86" s="72"/>
      <c r="F86" s="72"/>
      <c r="G86" s="72"/>
      <c r="H86" s="72"/>
      <c r="I86" s="75"/>
      <c r="J86" s="68"/>
      <c r="K86" s="10" t="s">
        <v>359</v>
      </c>
      <c r="L86" s="15" t="s">
        <v>48</v>
      </c>
      <c r="M86" s="16">
        <v>0</v>
      </c>
      <c r="N86" s="16" t="s">
        <v>35</v>
      </c>
      <c r="O86" s="16">
        <v>0</v>
      </c>
      <c r="P86" s="16">
        <v>0</v>
      </c>
      <c r="Q86" s="16">
        <v>0</v>
      </c>
      <c r="R86" s="16">
        <v>0</v>
      </c>
      <c r="S86" s="16">
        <v>0.6</v>
      </c>
      <c r="T86" s="7">
        <v>0</v>
      </c>
      <c r="U86" s="7">
        <v>0</v>
      </c>
      <c r="V86" s="7">
        <v>0</v>
      </c>
      <c r="W86" s="7">
        <v>0</v>
      </c>
      <c r="X86" s="10" t="s">
        <v>467</v>
      </c>
      <c r="Y86" s="13"/>
      <c r="Z86" s="13"/>
      <c r="AA86" s="13"/>
      <c r="AB86" s="13"/>
    </row>
    <row r="87" spans="1:28" ht="45.6" x14ac:dyDescent="0.25">
      <c r="A87" s="77"/>
      <c r="B87" s="72" t="s">
        <v>334</v>
      </c>
      <c r="C87" s="80"/>
      <c r="D87" s="73"/>
      <c r="E87" s="73"/>
      <c r="F87" s="72"/>
      <c r="G87" s="72"/>
      <c r="H87" s="72"/>
      <c r="I87" s="9" t="s">
        <v>360</v>
      </c>
      <c r="J87" s="10" t="s">
        <v>361</v>
      </c>
      <c r="K87" s="10" t="s">
        <v>362</v>
      </c>
      <c r="L87" s="15" t="s">
        <v>48</v>
      </c>
      <c r="M87" s="16" t="s">
        <v>34</v>
      </c>
      <c r="N87" s="16" t="s">
        <v>40</v>
      </c>
      <c r="O87" s="16">
        <v>0</v>
      </c>
      <c r="P87" s="16">
        <v>1</v>
      </c>
      <c r="Q87" s="16">
        <v>0</v>
      </c>
      <c r="R87" s="16">
        <v>0</v>
      </c>
      <c r="S87" s="16">
        <v>1</v>
      </c>
      <c r="T87" s="7">
        <v>8.1200000000000008E-2</v>
      </c>
      <c r="U87" s="7">
        <v>0.24000000000000005</v>
      </c>
      <c r="V87" s="7">
        <v>0</v>
      </c>
      <c r="W87" s="7">
        <v>0.3212000000000001</v>
      </c>
      <c r="X87" s="10" t="s">
        <v>467</v>
      </c>
      <c r="Y87" s="13"/>
      <c r="Z87" s="13"/>
      <c r="AA87" s="13"/>
      <c r="AB87" s="13"/>
    </row>
    <row r="88" spans="1:28" ht="68.400000000000006" x14ac:dyDescent="0.25">
      <c r="A88" s="77"/>
      <c r="B88" s="72"/>
      <c r="C88" s="71" t="s">
        <v>456</v>
      </c>
      <c r="D88" s="71" t="s">
        <v>363</v>
      </c>
      <c r="E88" s="71" t="s">
        <v>34</v>
      </c>
      <c r="F88" s="72" t="s">
        <v>447</v>
      </c>
      <c r="G88" s="72" t="s">
        <v>354</v>
      </c>
      <c r="H88" s="72"/>
      <c r="I88" s="9" t="s">
        <v>364</v>
      </c>
      <c r="J88" s="10" t="s">
        <v>365</v>
      </c>
      <c r="K88" s="10" t="s">
        <v>366</v>
      </c>
      <c r="L88" s="15" t="s">
        <v>209</v>
      </c>
      <c r="M88" s="19">
        <v>0</v>
      </c>
      <c r="N88" s="19" t="s">
        <v>35</v>
      </c>
      <c r="O88" s="19">
        <v>0</v>
      </c>
      <c r="P88" s="19">
        <v>1</v>
      </c>
      <c r="Q88" s="19">
        <v>0</v>
      </c>
      <c r="R88" s="5">
        <v>0</v>
      </c>
      <c r="S88" s="19">
        <v>4</v>
      </c>
      <c r="T88" s="7">
        <v>0.4012</v>
      </c>
      <c r="U88" s="7">
        <v>3.6107999999999998</v>
      </c>
      <c r="V88" s="7">
        <v>0</v>
      </c>
      <c r="W88" s="7">
        <v>4.0119999999999996</v>
      </c>
      <c r="X88" s="10" t="s">
        <v>467</v>
      </c>
      <c r="Y88" s="13"/>
      <c r="Z88" s="13"/>
      <c r="AA88" s="13"/>
      <c r="AB88" s="13"/>
    </row>
    <row r="89" spans="1:28" ht="79.8" x14ac:dyDescent="0.25">
      <c r="A89" s="77"/>
      <c r="B89" s="72"/>
      <c r="C89" s="72"/>
      <c r="D89" s="72"/>
      <c r="E89" s="72"/>
      <c r="F89" s="73"/>
      <c r="G89" s="73"/>
      <c r="H89" s="73"/>
      <c r="I89" s="9" t="s">
        <v>367</v>
      </c>
      <c r="J89" s="10" t="s">
        <v>368</v>
      </c>
      <c r="K89" s="10" t="s">
        <v>369</v>
      </c>
      <c r="L89" s="15" t="s">
        <v>209</v>
      </c>
      <c r="M89" s="19">
        <v>0</v>
      </c>
      <c r="N89" s="19" t="s">
        <v>35</v>
      </c>
      <c r="O89" s="19">
        <v>0</v>
      </c>
      <c r="P89" s="19">
        <v>0</v>
      </c>
      <c r="Q89" s="19">
        <v>0</v>
      </c>
      <c r="R89" s="5">
        <v>0</v>
      </c>
      <c r="S89" s="19">
        <v>1</v>
      </c>
      <c r="T89" s="7">
        <v>0</v>
      </c>
      <c r="U89" s="7">
        <v>0</v>
      </c>
      <c r="V89" s="7">
        <v>0</v>
      </c>
      <c r="W89" s="7">
        <v>0</v>
      </c>
      <c r="X89" s="10" t="s">
        <v>467</v>
      </c>
      <c r="Y89" s="13"/>
      <c r="Z89" s="13"/>
      <c r="AA89" s="13"/>
      <c r="AB89" s="13"/>
    </row>
    <row r="90" spans="1:28" ht="45.6" x14ac:dyDescent="0.25">
      <c r="A90" s="77"/>
      <c r="B90" s="72"/>
      <c r="C90" s="72"/>
      <c r="D90" s="72"/>
      <c r="E90" s="72"/>
      <c r="F90" s="71" t="s">
        <v>448</v>
      </c>
      <c r="G90" s="71" t="s">
        <v>370</v>
      </c>
      <c r="H90" s="71" t="s">
        <v>371</v>
      </c>
      <c r="I90" s="74" t="s">
        <v>372</v>
      </c>
      <c r="J90" s="67" t="s">
        <v>373</v>
      </c>
      <c r="K90" s="10" t="s">
        <v>374</v>
      </c>
      <c r="L90" s="15" t="s">
        <v>209</v>
      </c>
      <c r="M90" s="19">
        <v>0</v>
      </c>
      <c r="N90" s="19" t="s">
        <v>35</v>
      </c>
      <c r="O90" s="19">
        <v>0</v>
      </c>
      <c r="P90" s="19">
        <v>0</v>
      </c>
      <c r="Q90" s="19">
        <v>0</v>
      </c>
      <c r="R90" s="5">
        <v>0</v>
      </c>
      <c r="S90" s="19">
        <v>1</v>
      </c>
      <c r="T90" s="7">
        <v>0</v>
      </c>
      <c r="U90" s="7">
        <v>0</v>
      </c>
      <c r="V90" s="7">
        <v>0</v>
      </c>
      <c r="W90" s="7">
        <v>0</v>
      </c>
      <c r="X90" s="10" t="s">
        <v>467</v>
      </c>
      <c r="Y90" s="13"/>
      <c r="Z90" s="13"/>
      <c r="AA90" s="13"/>
      <c r="AB90" s="13"/>
    </row>
    <row r="91" spans="1:28" ht="45.6" x14ac:dyDescent="0.25">
      <c r="A91" s="77"/>
      <c r="B91" s="72"/>
      <c r="C91" s="72"/>
      <c r="D91" s="72"/>
      <c r="E91" s="72"/>
      <c r="F91" s="72"/>
      <c r="G91" s="72"/>
      <c r="H91" s="72"/>
      <c r="I91" s="75"/>
      <c r="J91" s="68"/>
      <c r="K91" s="15" t="s">
        <v>375</v>
      </c>
      <c r="L91" s="15" t="s">
        <v>48</v>
      </c>
      <c r="M91" s="16">
        <v>0</v>
      </c>
      <c r="N91" s="16" t="s">
        <v>35</v>
      </c>
      <c r="O91" s="16">
        <v>0</v>
      </c>
      <c r="P91" s="16">
        <v>0</v>
      </c>
      <c r="Q91" s="34">
        <v>0</v>
      </c>
      <c r="R91" s="34">
        <v>0</v>
      </c>
      <c r="S91" s="16">
        <v>0.3</v>
      </c>
      <c r="T91" s="7">
        <v>0</v>
      </c>
      <c r="U91" s="7">
        <v>0</v>
      </c>
      <c r="V91" s="7">
        <v>0</v>
      </c>
      <c r="W91" s="7">
        <v>0</v>
      </c>
      <c r="X91" s="10" t="s">
        <v>467</v>
      </c>
      <c r="Y91" s="13"/>
      <c r="Z91" s="13"/>
      <c r="AA91" s="13"/>
      <c r="AB91" s="13"/>
    </row>
    <row r="92" spans="1:28" ht="45.6" x14ac:dyDescent="0.25">
      <c r="A92" s="77"/>
      <c r="B92" s="72"/>
      <c r="C92" s="72"/>
      <c r="D92" s="72"/>
      <c r="E92" s="72"/>
      <c r="F92" s="72"/>
      <c r="G92" s="72"/>
      <c r="H92" s="72"/>
      <c r="I92" s="9" t="s">
        <v>376</v>
      </c>
      <c r="J92" s="10" t="s">
        <v>377</v>
      </c>
      <c r="K92" s="15" t="s">
        <v>378</v>
      </c>
      <c r="L92" s="15" t="s">
        <v>209</v>
      </c>
      <c r="M92" s="19">
        <v>0</v>
      </c>
      <c r="N92" s="19" t="s">
        <v>40</v>
      </c>
      <c r="O92" s="19">
        <v>0</v>
      </c>
      <c r="P92" s="19">
        <v>1</v>
      </c>
      <c r="Q92" s="19">
        <v>0</v>
      </c>
      <c r="R92" s="5">
        <v>0</v>
      </c>
      <c r="S92" s="19">
        <v>1</v>
      </c>
      <c r="T92" s="7">
        <v>4.0000000000000008E-2</v>
      </c>
      <c r="U92" s="7">
        <v>2.0051999999999999</v>
      </c>
      <c r="V92" s="7">
        <v>0</v>
      </c>
      <c r="W92" s="7">
        <v>2.0451999999999999</v>
      </c>
      <c r="X92" s="10" t="s">
        <v>467</v>
      </c>
      <c r="Y92" s="13"/>
      <c r="Z92" s="13"/>
      <c r="AA92" s="13"/>
      <c r="AB92" s="13"/>
    </row>
    <row r="93" spans="1:28" ht="45.6" x14ac:dyDescent="0.25">
      <c r="A93" s="77"/>
      <c r="B93" s="72"/>
      <c r="C93" s="72"/>
      <c r="D93" s="72"/>
      <c r="E93" s="72"/>
      <c r="F93" s="73"/>
      <c r="G93" s="73"/>
      <c r="H93" s="73"/>
      <c r="I93" s="9" t="s">
        <v>379</v>
      </c>
      <c r="J93" s="10" t="s">
        <v>380</v>
      </c>
      <c r="K93" s="15" t="s">
        <v>381</v>
      </c>
      <c r="L93" s="15" t="s">
        <v>209</v>
      </c>
      <c r="M93" s="19">
        <v>1</v>
      </c>
      <c r="N93" s="19" t="s">
        <v>40</v>
      </c>
      <c r="O93" s="19">
        <v>0</v>
      </c>
      <c r="P93" s="19">
        <v>1</v>
      </c>
      <c r="Q93" s="19">
        <v>0</v>
      </c>
      <c r="R93" s="5">
        <v>0</v>
      </c>
      <c r="S93" s="19">
        <v>1</v>
      </c>
      <c r="T93" s="7">
        <v>0.62840000000000007</v>
      </c>
      <c r="U93" s="7">
        <v>4.0103999999999997</v>
      </c>
      <c r="V93" s="7">
        <v>0</v>
      </c>
      <c r="W93" s="7">
        <v>4.6387999999999998</v>
      </c>
      <c r="X93" s="10" t="s">
        <v>467</v>
      </c>
      <c r="Y93" s="13"/>
      <c r="Z93" s="13"/>
      <c r="AA93" s="13"/>
      <c r="AB93" s="13"/>
    </row>
    <row r="94" spans="1:28" ht="45.6" x14ac:dyDescent="0.25">
      <c r="A94" s="77"/>
      <c r="B94" s="72"/>
      <c r="C94" s="72"/>
      <c r="D94" s="72"/>
      <c r="E94" s="72"/>
      <c r="F94" s="71" t="s">
        <v>449</v>
      </c>
      <c r="G94" s="71" t="s">
        <v>382</v>
      </c>
      <c r="H94" s="71" t="s">
        <v>450</v>
      </c>
      <c r="I94" s="74" t="s">
        <v>383</v>
      </c>
      <c r="J94" s="71" t="s">
        <v>384</v>
      </c>
      <c r="K94" s="15" t="s">
        <v>385</v>
      </c>
      <c r="L94" s="15" t="s">
        <v>209</v>
      </c>
      <c r="M94" s="19">
        <v>1</v>
      </c>
      <c r="N94" s="19" t="s">
        <v>35</v>
      </c>
      <c r="O94" s="19">
        <v>0</v>
      </c>
      <c r="P94" s="19">
        <v>1</v>
      </c>
      <c r="Q94" s="19">
        <v>0</v>
      </c>
      <c r="R94" s="5">
        <v>0</v>
      </c>
      <c r="S94" s="19">
        <v>1</v>
      </c>
      <c r="T94" s="7">
        <v>0.61760000000000004</v>
      </c>
      <c r="U94" s="7">
        <v>5.5583999999999998</v>
      </c>
      <c r="V94" s="7">
        <v>0</v>
      </c>
      <c r="W94" s="7">
        <v>6.1760000000000002</v>
      </c>
      <c r="X94" s="10" t="s">
        <v>467</v>
      </c>
      <c r="Y94" s="13"/>
      <c r="Z94" s="13"/>
      <c r="AA94" s="13"/>
      <c r="AB94" s="13"/>
    </row>
    <row r="95" spans="1:28" ht="45.6" x14ac:dyDescent="0.25">
      <c r="A95" s="77"/>
      <c r="B95" s="72"/>
      <c r="C95" s="73"/>
      <c r="D95" s="73"/>
      <c r="E95" s="73"/>
      <c r="F95" s="73"/>
      <c r="G95" s="73"/>
      <c r="H95" s="73"/>
      <c r="I95" s="75"/>
      <c r="J95" s="73"/>
      <c r="K95" s="15" t="s">
        <v>386</v>
      </c>
      <c r="L95" s="15" t="s">
        <v>48</v>
      </c>
      <c r="M95" s="16" t="s">
        <v>34</v>
      </c>
      <c r="N95" s="16" t="s">
        <v>35</v>
      </c>
      <c r="O95" s="16">
        <v>0</v>
      </c>
      <c r="P95" s="16">
        <v>0.25</v>
      </c>
      <c r="Q95" s="16">
        <v>0</v>
      </c>
      <c r="R95" s="5">
        <v>0</v>
      </c>
      <c r="S95" s="16">
        <v>1</v>
      </c>
      <c r="T95" s="7">
        <v>0</v>
      </c>
      <c r="U95" s="7">
        <v>0</v>
      </c>
      <c r="V95" s="7">
        <v>0</v>
      </c>
      <c r="W95" s="7">
        <v>0</v>
      </c>
      <c r="X95" s="10" t="s">
        <v>467</v>
      </c>
      <c r="Y95" s="13"/>
      <c r="Z95" s="13"/>
      <c r="AA95" s="13"/>
      <c r="AB95" s="13"/>
    </row>
    <row r="96" spans="1:28" ht="45.6" x14ac:dyDescent="0.25">
      <c r="A96" s="77"/>
      <c r="B96" s="72"/>
      <c r="C96" s="71" t="s">
        <v>387</v>
      </c>
      <c r="D96" s="71" t="s">
        <v>388</v>
      </c>
      <c r="E96" s="71" t="s">
        <v>34</v>
      </c>
      <c r="F96" s="71" t="s">
        <v>389</v>
      </c>
      <c r="G96" s="71" t="s">
        <v>390</v>
      </c>
      <c r="H96" s="71" t="s">
        <v>391</v>
      </c>
      <c r="I96" s="71" t="s">
        <v>392</v>
      </c>
      <c r="J96" s="71" t="s">
        <v>393</v>
      </c>
      <c r="K96" s="15" t="s">
        <v>394</v>
      </c>
      <c r="L96" s="15" t="s">
        <v>209</v>
      </c>
      <c r="M96" s="15" t="s">
        <v>244</v>
      </c>
      <c r="N96" s="15" t="s">
        <v>35</v>
      </c>
      <c r="O96" s="15">
        <v>0</v>
      </c>
      <c r="P96" s="19">
        <v>0</v>
      </c>
      <c r="Q96" s="5">
        <v>0</v>
      </c>
      <c r="R96" s="5">
        <v>0</v>
      </c>
      <c r="S96" s="19">
        <v>1</v>
      </c>
      <c r="T96" s="7">
        <v>0.26</v>
      </c>
      <c r="U96" s="7">
        <v>2.3400000000000003</v>
      </c>
      <c r="V96" s="7">
        <v>0</v>
      </c>
      <c r="W96" s="7">
        <v>2.6000000000000005</v>
      </c>
      <c r="X96" s="10" t="s">
        <v>467</v>
      </c>
      <c r="Y96" s="13"/>
      <c r="Z96" s="13"/>
      <c r="AA96" s="13"/>
      <c r="AB96" s="13"/>
    </row>
    <row r="97" spans="1:28" ht="45.6" x14ac:dyDescent="0.25">
      <c r="A97" s="77"/>
      <c r="B97" s="72"/>
      <c r="C97" s="72"/>
      <c r="D97" s="72"/>
      <c r="E97" s="72"/>
      <c r="F97" s="73"/>
      <c r="G97" s="73"/>
      <c r="H97" s="73"/>
      <c r="I97" s="73"/>
      <c r="J97" s="73"/>
      <c r="K97" s="15" t="s">
        <v>386</v>
      </c>
      <c r="L97" s="15" t="s">
        <v>48</v>
      </c>
      <c r="M97" s="16">
        <v>0</v>
      </c>
      <c r="N97" s="16" t="s">
        <v>35</v>
      </c>
      <c r="O97" s="16">
        <v>0</v>
      </c>
      <c r="P97" s="16">
        <v>0.05</v>
      </c>
      <c r="Q97" s="16">
        <v>0</v>
      </c>
      <c r="R97" s="5">
        <v>0</v>
      </c>
      <c r="S97" s="16">
        <v>0.4</v>
      </c>
      <c r="T97" s="7">
        <v>0</v>
      </c>
      <c r="U97" s="7">
        <v>0</v>
      </c>
      <c r="V97" s="7">
        <v>0</v>
      </c>
      <c r="W97" s="7">
        <v>0</v>
      </c>
      <c r="X97" s="10" t="s">
        <v>467</v>
      </c>
      <c r="Y97" s="13"/>
      <c r="Z97" s="13"/>
      <c r="AA97" s="13"/>
      <c r="AB97" s="13"/>
    </row>
    <row r="98" spans="1:28" ht="84" customHeight="1" x14ac:dyDescent="0.25">
      <c r="A98" s="77"/>
      <c r="B98" s="72"/>
      <c r="C98" s="72"/>
      <c r="D98" s="72"/>
      <c r="E98" s="72"/>
      <c r="F98" s="5" t="s">
        <v>395</v>
      </c>
      <c r="G98" s="5" t="s">
        <v>396</v>
      </c>
      <c r="H98" s="5" t="s">
        <v>397</v>
      </c>
      <c r="I98" s="9" t="s">
        <v>398</v>
      </c>
      <c r="J98" s="10" t="s">
        <v>399</v>
      </c>
      <c r="K98" s="15" t="s">
        <v>400</v>
      </c>
      <c r="L98" s="15" t="s">
        <v>401</v>
      </c>
      <c r="M98" s="19">
        <v>0</v>
      </c>
      <c r="N98" s="19" t="s">
        <v>35</v>
      </c>
      <c r="O98" s="19">
        <v>0</v>
      </c>
      <c r="P98" s="19">
        <v>0</v>
      </c>
      <c r="Q98" s="19">
        <v>0</v>
      </c>
      <c r="R98" s="5">
        <v>0</v>
      </c>
      <c r="S98" s="19">
        <v>1</v>
      </c>
      <c r="T98" s="7">
        <v>0</v>
      </c>
      <c r="U98" s="7">
        <v>0</v>
      </c>
      <c r="V98" s="7">
        <v>0</v>
      </c>
      <c r="W98" s="7">
        <v>0</v>
      </c>
      <c r="X98" s="10" t="s">
        <v>467</v>
      </c>
      <c r="Y98" s="13"/>
      <c r="Z98" s="13"/>
      <c r="AA98" s="13"/>
      <c r="AB98" s="13"/>
    </row>
    <row r="99" spans="1:28" ht="36" customHeight="1" x14ac:dyDescent="0.25">
      <c r="A99" s="77"/>
      <c r="B99" s="72"/>
      <c r="C99" s="72"/>
      <c r="D99" s="72"/>
      <c r="E99" s="72"/>
      <c r="F99" s="71" t="s">
        <v>402</v>
      </c>
      <c r="G99" s="71" t="s">
        <v>403</v>
      </c>
      <c r="H99" s="71" t="s">
        <v>404</v>
      </c>
      <c r="I99" s="74" t="s">
        <v>405</v>
      </c>
      <c r="J99" s="67" t="s">
        <v>406</v>
      </c>
      <c r="K99" s="15" t="s">
        <v>466</v>
      </c>
      <c r="L99" s="15" t="s">
        <v>209</v>
      </c>
      <c r="M99" s="19">
        <v>0</v>
      </c>
      <c r="N99" s="19" t="s">
        <v>35</v>
      </c>
      <c r="O99" s="19">
        <v>0</v>
      </c>
      <c r="P99" s="19">
        <v>0</v>
      </c>
      <c r="Q99" s="19">
        <v>0</v>
      </c>
      <c r="R99" s="5">
        <v>0</v>
      </c>
      <c r="S99" s="19">
        <v>1</v>
      </c>
      <c r="T99" s="7">
        <v>0</v>
      </c>
      <c r="U99" s="7">
        <v>0</v>
      </c>
      <c r="V99" s="7">
        <v>0</v>
      </c>
      <c r="W99" s="7">
        <v>0</v>
      </c>
      <c r="X99" s="10" t="s">
        <v>467</v>
      </c>
      <c r="Y99" s="13"/>
      <c r="Z99" s="13"/>
      <c r="AA99" s="13"/>
      <c r="AB99" s="13"/>
    </row>
    <row r="100" spans="1:28" ht="45.6" x14ac:dyDescent="0.25">
      <c r="A100" s="77"/>
      <c r="B100" s="72"/>
      <c r="C100" s="72"/>
      <c r="D100" s="72"/>
      <c r="E100" s="72"/>
      <c r="F100" s="72"/>
      <c r="G100" s="72"/>
      <c r="H100" s="72"/>
      <c r="I100" s="75"/>
      <c r="J100" s="68"/>
      <c r="K100" s="15" t="s">
        <v>348</v>
      </c>
      <c r="L100" s="15" t="s">
        <v>48</v>
      </c>
      <c r="M100" s="16">
        <v>0</v>
      </c>
      <c r="N100" s="16" t="s">
        <v>35</v>
      </c>
      <c r="O100" s="16">
        <v>0</v>
      </c>
      <c r="P100" s="16">
        <v>0</v>
      </c>
      <c r="Q100" s="16">
        <v>0</v>
      </c>
      <c r="R100" s="5">
        <v>0</v>
      </c>
      <c r="S100" s="16">
        <v>0.5</v>
      </c>
      <c r="T100" s="7">
        <v>0</v>
      </c>
      <c r="U100" s="7">
        <v>0</v>
      </c>
      <c r="V100" s="7">
        <v>0</v>
      </c>
      <c r="W100" s="7">
        <v>0</v>
      </c>
      <c r="X100" s="10" t="s">
        <v>467</v>
      </c>
      <c r="Y100" s="13"/>
      <c r="Z100" s="13"/>
      <c r="AA100" s="13"/>
      <c r="AB100" s="13"/>
    </row>
    <row r="101" spans="1:28" ht="45.6" x14ac:dyDescent="0.25">
      <c r="A101" s="77"/>
      <c r="B101" s="72"/>
      <c r="C101" s="72"/>
      <c r="D101" s="72"/>
      <c r="E101" s="72"/>
      <c r="F101" s="72"/>
      <c r="G101" s="72"/>
      <c r="H101" s="72"/>
      <c r="I101" s="9" t="s">
        <v>407</v>
      </c>
      <c r="J101" s="10" t="s">
        <v>451</v>
      </c>
      <c r="K101" s="15" t="s">
        <v>408</v>
      </c>
      <c r="L101" s="15" t="s">
        <v>209</v>
      </c>
      <c r="M101" s="19" t="s">
        <v>34</v>
      </c>
      <c r="N101" s="19" t="s">
        <v>40</v>
      </c>
      <c r="O101" s="19">
        <v>0</v>
      </c>
      <c r="P101" s="19">
        <v>1</v>
      </c>
      <c r="Q101" s="19">
        <v>0</v>
      </c>
      <c r="R101" s="5">
        <v>0</v>
      </c>
      <c r="S101" s="19">
        <v>2</v>
      </c>
      <c r="T101" s="7">
        <v>0.72000000000000008</v>
      </c>
      <c r="U101" s="7">
        <v>6.48</v>
      </c>
      <c r="V101" s="7">
        <v>0</v>
      </c>
      <c r="W101" s="7">
        <v>7.2</v>
      </c>
      <c r="X101" s="10" t="s">
        <v>467</v>
      </c>
      <c r="Y101" s="13"/>
      <c r="Z101" s="13"/>
      <c r="AA101" s="13"/>
      <c r="AB101" s="13"/>
    </row>
    <row r="102" spans="1:28" ht="68.400000000000006" x14ac:dyDescent="0.25">
      <c r="A102" s="77"/>
      <c r="B102" s="72"/>
      <c r="C102" s="72"/>
      <c r="D102" s="72"/>
      <c r="E102" s="72"/>
      <c r="F102" s="72"/>
      <c r="G102" s="72"/>
      <c r="H102" s="72"/>
      <c r="I102" s="9" t="s">
        <v>409</v>
      </c>
      <c r="J102" s="10" t="s">
        <v>410</v>
      </c>
      <c r="K102" s="15" t="s">
        <v>411</v>
      </c>
      <c r="L102" s="15" t="s">
        <v>412</v>
      </c>
      <c r="M102" s="19">
        <v>0</v>
      </c>
      <c r="N102" s="19" t="s">
        <v>35</v>
      </c>
      <c r="O102" s="19">
        <v>0</v>
      </c>
      <c r="P102" s="19">
        <v>0</v>
      </c>
      <c r="Q102" s="19">
        <v>0</v>
      </c>
      <c r="R102" s="5">
        <v>0</v>
      </c>
      <c r="S102" s="19">
        <v>1</v>
      </c>
      <c r="T102" s="7">
        <v>0</v>
      </c>
      <c r="U102" s="7">
        <v>0</v>
      </c>
      <c r="V102" s="7">
        <v>0</v>
      </c>
      <c r="W102" s="7">
        <v>0</v>
      </c>
      <c r="X102" s="10" t="s">
        <v>467</v>
      </c>
      <c r="Y102" s="13"/>
      <c r="Z102" s="13"/>
      <c r="AA102" s="13"/>
      <c r="AB102" s="13"/>
    </row>
    <row r="103" spans="1:28" ht="12" customHeight="1" x14ac:dyDescent="0.25">
      <c r="A103" s="77"/>
      <c r="B103" s="72"/>
      <c r="C103" s="73"/>
      <c r="D103" s="73"/>
      <c r="E103" s="73"/>
      <c r="F103" s="72"/>
      <c r="G103" s="72"/>
      <c r="H103" s="72"/>
      <c r="I103" s="74" t="s">
        <v>413</v>
      </c>
      <c r="J103" s="67" t="s">
        <v>414</v>
      </c>
      <c r="K103" s="15" t="s">
        <v>415</v>
      </c>
      <c r="L103" s="15" t="s">
        <v>416</v>
      </c>
      <c r="M103" s="19">
        <v>0</v>
      </c>
      <c r="N103" s="19" t="s">
        <v>35</v>
      </c>
      <c r="O103" s="19">
        <v>0</v>
      </c>
      <c r="P103" s="19">
        <v>0</v>
      </c>
      <c r="Q103" s="19">
        <v>0</v>
      </c>
      <c r="R103" s="5">
        <v>0</v>
      </c>
      <c r="S103" s="19">
        <v>1</v>
      </c>
      <c r="T103" s="7">
        <v>0</v>
      </c>
      <c r="U103" s="7">
        <v>0</v>
      </c>
      <c r="V103" s="7">
        <v>0</v>
      </c>
      <c r="W103" s="7">
        <v>0</v>
      </c>
      <c r="X103" s="10" t="s">
        <v>467</v>
      </c>
      <c r="Y103" s="13"/>
      <c r="Z103" s="13"/>
      <c r="AA103" s="13"/>
      <c r="AB103" s="13"/>
    </row>
    <row r="104" spans="1:28" ht="12" customHeight="1" x14ac:dyDescent="0.25">
      <c r="A104" s="77"/>
      <c r="B104" s="72"/>
      <c r="C104" s="71"/>
      <c r="D104" s="71"/>
      <c r="E104" s="71"/>
      <c r="F104" s="72"/>
      <c r="G104" s="72"/>
      <c r="H104" s="72"/>
      <c r="I104" s="81"/>
      <c r="J104" s="82"/>
      <c r="K104" s="15" t="s">
        <v>417</v>
      </c>
      <c r="L104" s="15" t="s">
        <v>418</v>
      </c>
      <c r="M104" s="19">
        <v>0</v>
      </c>
      <c r="N104" s="19" t="s">
        <v>35</v>
      </c>
      <c r="O104" s="19">
        <v>0</v>
      </c>
      <c r="P104" s="19">
        <v>0</v>
      </c>
      <c r="Q104" s="19">
        <v>0</v>
      </c>
      <c r="R104" s="5">
        <v>0</v>
      </c>
      <c r="S104" s="19">
        <v>4</v>
      </c>
      <c r="T104" s="7">
        <v>0</v>
      </c>
      <c r="U104" s="7">
        <v>0</v>
      </c>
      <c r="V104" s="7">
        <v>0</v>
      </c>
      <c r="W104" s="7">
        <v>0</v>
      </c>
      <c r="X104" s="10" t="s">
        <v>467</v>
      </c>
      <c r="Y104" s="13"/>
      <c r="Z104" s="13"/>
      <c r="AA104" s="13"/>
      <c r="AB104" s="13"/>
    </row>
    <row r="105" spans="1:28" ht="45.6" x14ac:dyDescent="0.25">
      <c r="A105" s="77"/>
      <c r="B105" s="72"/>
      <c r="C105" s="72"/>
      <c r="D105" s="72"/>
      <c r="E105" s="72"/>
      <c r="F105" s="73"/>
      <c r="G105" s="73"/>
      <c r="H105" s="73"/>
      <c r="I105" s="75"/>
      <c r="J105" s="68"/>
      <c r="K105" s="15" t="s">
        <v>419</v>
      </c>
      <c r="L105" s="15" t="s">
        <v>209</v>
      </c>
      <c r="M105" s="19">
        <v>0</v>
      </c>
      <c r="N105" s="19" t="s">
        <v>35</v>
      </c>
      <c r="O105" s="19">
        <v>0</v>
      </c>
      <c r="P105" s="19">
        <v>0</v>
      </c>
      <c r="Q105" s="19">
        <v>0</v>
      </c>
      <c r="R105" s="5">
        <v>0</v>
      </c>
      <c r="S105" s="19">
        <v>4</v>
      </c>
      <c r="T105" s="7">
        <v>0</v>
      </c>
      <c r="U105" s="7">
        <v>0</v>
      </c>
      <c r="V105" s="7">
        <v>0</v>
      </c>
      <c r="W105" s="7">
        <v>0</v>
      </c>
      <c r="X105" s="10" t="s">
        <v>467</v>
      </c>
      <c r="Y105" s="13"/>
      <c r="Z105" s="13"/>
      <c r="AA105" s="13"/>
      <c r="AB105" s="13"/>
    </row>
    <row r="106" spans="1:28" ht="125.4" x14ac:dyDescent="0.25">
      <c r="A106" s="77"/>
      <c r="B106" s="35" t="s">
        <v>334</v>
      </c>
      <c r="C106" s="72"/>
      <c r="D106" s="72"/>
      <c r="E106" s="72"/>
      <c r="F106" s="71" t="s">
        <v>883</v>
      </c>
      <c r="G106" s="71"/>
      <c r="H106" s="71" t="s">
        <v>882</v>
      </c>
      <c r="I106" s="9" t="s">
        <v>420</v>
      </c>
      <c r="J106" s="10"/>
      <c r="K106" s="15"/>
      <c r="L106" s="15"/>
      <c r="M106" s="15"/>
      <c r="N106" s="15"/>
      <c r="O106" s="5"/>
      <c r="P106" s="5"/>
      <c r="Q106" s="5"/>
      <c r="R106" s="5"/>
      <c r="S106" s="19"/>
      <c r="T106" s="7"/>
      <c r="U106" s="7"/>
      <c r="V106" s="7"/>
      <c r="W106" s="7"/>
      <c r="X106" s="10"/>
      <c r="Y106" s="13"/>
      <c r="Z106" s="13"/>
      <c r="AA106" s="13"/>
      <c r="AB106" s="13"/>
    </row>
    <row r="107" spans="1:28" ht="45.6" x14ac:dyDescent="0.25">
      <c r="A107" s="78"/>
      <c r="B107" s="35"/>
      <c r="C107" s="72"/>
      <c r="D107" s="72"/>
      <c r="E107" s="72"/>
      <c r="F107" s="73"/>
      <c r="G107" s="73"/>
      <c r="H107" s="73"/>
      <c r="I107" s="9" t="s">
        <v>421</v>
      </c>
      <c r="J107" s="10" t="s">
        <v>422</v>
      </c>
      <c r="K107" s="15" t="s">
        <v>423</v>
      </c>
      <c r="L107" s="15" t="s">
        <v>48</v>
      </c>
      <c r="M107" s="15" t="s">
        <v>34</v>
      </c>
      <c r="N107" s="16" t="s">
        <v>35</v>
      </c>
      <c r="O107" s="16">
        <v>0.25</v>
      </c>
      <c r="P107" s="16">
        <v>0.25</v>
      </c>
      <c r="Q107" s="16">
        <v>0</v>
      </c>
      <c r="R107" s="16">
        <v>0</v>
      </c>
      <c r="S107" s="16">
        <v>1</v>
      </c>
      <c r="T107" s="7">
        <v>0.12</v>
      </c>
      <c r="U107" s="7">
        <v>1.62</v>
      </c>
      <c r="V107" s="7">
        <v>0</v>
      </c>
      <c r="W107" s="7">
        <v>1.74</v>
      </c>
      <c r="X107" s="10" t="s">
        <v>467</v>
      </c>
      <c r="Y107" s="13"/>
      <c r="Z107" s="13"/>
      <c r="AA107" s="13"/>
      <c r="AB107" s="13"/>
    </row>
    <row r="108" spans="1:28" ht="79.8" x14ac:dyDescent="0.25">
      <c r="A108" s="69" t="s">
        <v>424</v>
      </c>
      <c r="B108" s="70" t="s">
        <v>425</v>
      </c>
      <c r="C108" s="72"/>
      <c r="D108" s="72"/>
      <c r="E108" s="72"/>
      <c r="F108" s="71" t="s">
        <v>426</v>
      </c>
      <c r="G108" s="71" t="s">
        <v>427</v>
      </c>
      <c r="H108" s="71" t="s">
        <v>428</v>
      </c>
      <c r="I108" s="9" t="s">
        <v>429</v>
      </c>
      <c r="J108" s="10" t="s">
        <v>430</v>
      </c>
      <c r="K108" s="15" t="s">
        <v>431</v>
      </c>
      <c r="L108" s="15" t="s">
        <v>209</v>
      </c>
      <c r="M108" s="21">
        <v>33</v>
      </c>
      <c r="N108" s="21" t="s">
        <v>35</v>
      </c>
      <c r="O108" s="19">
        <v>40</v>
      </c>
      <c r="P108" s="19">
        <v>40</v>
      </c>
      <c r="Q108" s="19">
        <v>0</v>
      </c>
      <c r="R108" s="19">
        <v>0</v>
      </c>
      <c r="S108" s="21">
        <v>40</v>
      </c>
      <c r="T108" s="7">
        <v>0.44000000000000006</v>
      </c>
      <c r="U108" s="7">
        <v>2.8000000000000003</v>
      </c>
      <c r="V108" s="7">
        <v>0</v>
      </c>
      <c r="W108" s="7">
        <v>3.24</v>
      </c>
      <c r="X108" s="10" t="s">
        <v>467</v>
      </c>
      <c r="Y108" s="13"/>
      <c r="Z108" s="13"/>
      <c r="AA108" s="13"/>
      <c r="AB108" s="13"/>
    </row>
    <row r="109" spans="1:28" ht="45.6" x14ac:dyDescent="0.25">
      <c r="A109" s="69"/>
      <c r="B109" s="70"/>
      <c r="C109" s="72"/>
      <c r="D109" s="72"/>
      <c r="E109" s="72"/>
      <c r="F109" s="72"/>
      <c r="G109" s="72"/>
      <c r="H109" s="72"/>
      <c r="I109" s="74" t="s">
        <v>432</v>
      </c>
      <c r="J109" s="67" t="s">
        <v>433</v>
      </c>
      <c r="K109" s="15" t="s">
        <v>434</v>
      </c>
      <c r="L109" s="15" t="s">
        <v>209</v>
      </c>
      <c r="M109" s="15" t="s">
        <v>435</v>
      </c>
      <c r="N109" s="15" t="s">
        <v>35</v>
      </c>
      <c r="O109" s="5">
        <v>0</v>
      </c>
      <c r="P109" s="5">
        <v>0</v>
      </c>
      <c r="Q109" s="5">
        <v>0</v>
      </c>
      <c r="R109" s="5">
        <v>0</v>
      </c>
      <c r="S109" s="19">
        <v>38</v>
      </c>
      <c r="T109" s="7">
        <v>0.4</v>
      </c>
      <c r="U109" s="7">
        <v>4.7600000000000007</v>
      </c>
      <c r="V109" s="7">
        <v>0</v>
      </c>
      <c r="W109" s="7">
        <v>5.16</v>
      </c>
      <c r="X109" s="10" t="s">
        <v>467</v>
      </c>
      <c r="Y109" s="13"/>
      <c r="Z109" s="13"/>
      <c r="AA109" s="13"/>
      <c r="AB109" s="13"/>
    </row>
    <row r="110" spans="1:28" ht="45.6" x14ac:dyDescent="0.25">
      <c r="A110" s="69"/>
      <c r="B110" s="70"/>
      <c r="C110" s="72"/>
      <c r="D110" s="72"/>
      <c r="E110" s="72"/>
      <c r="F110" s="72"/>
      <c r="G110" s="72"/>
      <c r="H110" s="72"/>
      <c r="I110" s="75"/>
      <c r="J110" s="68"/>
      <c r="K110" s="15" t="s">
        <v>436</v>
      </c>
      <c r="L110" s="15" t="s">
        <v>209</v>
      </c>
      <c r="M110" s="15" t="s">
        <v>34</v>
      </c>
      <c r="N110" s="15" t="s">
        <v>35</v>
      </c>
      <c r="O110" s="5">
        <v>33</v>
      </c>
      <c r="P110" s="5">
        <v>33</v>
      </c>
      <c r="Q110" s="5">
        <v>0</v>
      </c>
      <c r="R110" s="5">
        <v>0</v>
      </c>
      <c r="S110" s="19">
        <v>38</v>
      </c>
      <c r="T110" s="7">
        <v>0</v>
      </c>
      <c r="U110" s="7">
        <v>0</v>
      </c>
      <c r="V110" s="7">
        <v>0</v>
      </c>
      <c r="W110" s="7">
        <v>0</v>
      </c>
      <c r="X110" s="10" t="s">
        <v>467</v>
      </c>
      <c r="Y110" s="13"/>
      <c r="Z110" s="13"/>
      <c r="AA110" s="13"/>
      <c r="AB110" s="13"/>
    </row>
    <row r="111" spans="1:28" ht="45.6" x14ac:dyDescent="0.25">
      <c r="A111" s="69"/>
      <c r="B111" s="70"/>
      <c r="C111" s="73"/>
      <c r="D111" s="73"/>
      <c r="E111" s="73"/>
      <c r="F111" s="73"/>
      <c r="G111" s="73"/>
      <c r="H111" s="73"/>
      <c r="I111" s="9" t="s">
        <v>437</v>
      </c>
      <c r="J111" s="10" t="s">
        <v>438</v>
      </c>
      <c r="K111" s="15" t="s">
        <v>439</v>
      </c>
      <c r="L111" s="15" t="s">
        <v>209</v>
      </c>
      <c r="M111" s="15" t="s">
        <v>244</v>
      </c>
      <c r="N111" s="15" t="s">
        <v>35</v>
      </c>
      <c r="O111" s="5">
        <v>0</v>
      </c>
      <c r="P111" s="5">
        <v>0</v>
      </c>
      <c r="Q111" s="5">
        <v>0</v>
      </c>
      <c r="R111" s="5">
        <v>0</v>
      </c>
      <c r="S111" s="19">
        <v>1</v>
      </c>
      <c r="T111" s="7">
        <v>0</v>
      </c>
      <c r="U111" s="7">
        <v>0</v>
      </c>
      <c r="V111" s="7">
        <v>0</v>
      </c>
      <c r="W111" s="7">
        <v>0</v>
      </c>
      <c r="X111" s="10" t="s">
        <v>467</v>
      </c>
      <c r="Y111" s="13"/>
      <c r="Z111" s="13"/>
      <c r="AA111" s="13"/>
      <c r="AB111" s="13"/>
    </row>
    <row r="112" spans="1:28" ht="11.4" x14ac:dyDescent="0.25">
      <c r="F112" s="1"/>
    </row>
    <row r="113" spans="6:6" ht="11.4" x14ac:dyDescent="0.25">
      <c r="F113" s="1"/>
    </row>
    <row r="114" spans="6:6" ht="11.4" x14ac:dyDescent="0.25">
      <c r="F114" s="1"/>
    </row>
    <row r="115" spans="6:6" ht="11.4" x14ac:dyDescent="0.25">
      <c r="F115" s="1"/>
    </row>
    <row r="116" spans="6:6" ht="11.4" x14ac:dyDescent="0.25">
      <c r="F116" s="1"/>
    </row>
    <row r="117" spans="6:6" ht="11.4" x14ac:dyDescent="0.25">
      <c r="F117" s="1"/>
    </row>
    <row r="118" spans="6:6" ht="11.4" x14ac:dyDescent="0.25">
      <c r="F118" s="1"/>
    </row>
    <row r="119" spans="6:6" ht="11.4" x14ac:dyDescent="0.25">
      <c r="F119" s="1"/>
    </row>
    <row r="120" spans="6:6" ht="11.4" x14ac:dyDescent="0.25">
      <c r="F120" s="1"/>
    </row>
    <row r="121" spans="6:6" ht="11.4" x14ac:dyDescent="0.25">
      <c r="F121" s="1"/>
    </row>
    <row r="122" spans="6:6" ht="11.4" x14ac:dyDescent="0.25">
      <c r="F122" s="1"/>
    </row>
    <row r="123" spans="6:6" ht="11.4" x14ac:dyDescent="0.25">
      <c r="F123" s="1"/>
    </row>
    <row r="124" spans="6:6" ht="11.4" x14ac:dyDescent="0.25">
      <c r="F124" s="1"/>
    </row>
    <row r="125" spans="6:6" ht="11.4" x14ac:dyDescent="0.25">
      <c r="F125" s="1"/>
    </row>
    <row r="126" spans="6:6" ht="11.4" x14ac:dyDescent="0.25">
      <c r="F126" s="1"/>
    </row>
    <row r="127" spans="6:6" ht="11.4" x14ac:dyDescent="0.25">
      <c r="F127" s="1"/>
    </row>
    <row r="128" spans="6:6" ht="11.4" x14ac:dyDescent="0.25">
      <c r="F128" s="1"/>
    </row>
    <row r="129" spans="6:6" ht="11.4" x14ac:dyDescent="0.25">
      <c r="F129" s="1"/>
    </row>
    <row r="130" spans="6:6" ht="11.4" x14ac:dyDescent="0.25">
      <c r="F130" s="1"/>
    </row>
    <row r="131" spans="6:6" ht="11.4" x14ac:dyDescent="0.25">
      <c r="F131" s="1"/>
    </row>
    <row r="132" spans="6:6" ht="11.4" x14ac:dyDescent="0.25">
      <c r="F132" s="1"/>
    </row>
    <row r="133" spans="6:6" ht="11.4" x14ac:dyDescent="0.25">
      <c r="F133" s="1"/>
    </row>
    <row r="134" spans="6:6" ht="11.4" x14ac:dyDescent="0.25">
      <c r="F134" s="1"/>
    </row>
    <row r="135" spans="6:6" ht="11.4" x14ac:dyDescent="0.25">
      <c r="F135" s="1"/>
    </row>
    <row r="136" spans="6:6" ht="11.4" x14ac:dyDescent="0.25">
      <c r="F136" s="1"/>
    </row>
    <row r="137" spans="6:6" ht="11.4" x14ac:dyDescent="0.25">
      <c r="F137" s="1"/>
    </row>
    <row r="138" spans="6:6" ht="11.4" x14ac:dyDescent="0.25">
      <c r="F138" s="1"/>
    </row>
    <row r="139" spans="6:6" ht="11.4" x14ac:dyDescent="0.25">
      <c r="F139" s="1"/>
    </row>
    <row r="140" spans="6:6" ht="11.4" x14ac:dyDescent="0.25">
      <c r="F140" s="1"/>
    </row>
    <row r="141" spans="6:6" ht="11.4" x14ac:dyDescent="0.25">
      <c r="F141" s="1"/>
    </row>
    <row r="142" spans="6:6" ht="11.4" x14ac:dyDescent="0.25">
      <c r="F142" s="1"/>
    </row>
    <row r="143" spans="6:6" ht="11.4" x14ac:dyDescent="0.25">
      <c r="F143" s="1"/>
    </row>
    <row r="144" spans="6:6" ht="11.4" x14ac:dyDescent="0.25">
      <c r="F144" s="1"/>
    </row>
    <row r="145" spans="6:6" ht="11.4" x14ac:dyDescent="0.25">
      <c r="F145" s="1"/>
    </row>
    <row r="146" spans="6:6" ht="11.4" x14ac:dyDescent="0.25">
      <c r="F146" s="1"/>
    </row>
    <row r="147" spans="6:6" ht="11.4" x14ac:dyDescent="0.25">
      <c r="F147" s="1"/>
    </row>
    <row r="148" spans="6:6" ht="11.4" x14ac:dyDescent="0.25">
      <c r="F148" s="1"/>
    </row>
    <row r="149" spans="6:6" ht="11.4" x14ac:dyDescent="0.25">
      <c r="F149" s="1"/>
    </row>
    <row r="150" spans="6:6" ht="11.4" x14ac:dyDescent="0.25">
      <c r="F150" s="1"/>
    </row>
    <row r="151" spans="6:6" ht="11.4" x14ac:dyDescent="0.25">
      <c r="F151" s="1"/>
    </row>
    <row r="152" spans="6:6" ht="11.4" x14ac:dyDescent="0.25">
      <c r="F152" s="1"/>
    </row>
    <row r="153" spans="6:6" ht="11.4" x14ac:dyDescent="0.25">
      <c r="F153" s="1"/>
    </row>
    <row r="154" spans="6:6" ht="11.4" x14ac:dyDescent="0.25">
      <c r="F154" s="1"/>
    </row>
    <row r="155" spans="6:6" ht="11.4" x14ac:dyDescent="0.25">
      <c r="F155" s="1"/>
    </row>
    <row r="156" spans="6:6" ht="11.4" x14ac:dyDescent="0.25">
      <c r="F156" s="1"/>
    </row>
    <row r="157" spans="6:6" ht="11.4" x14ac:dyDescent="0.25">
      <c r="F157" s="1"/>
    </row>
    <row r="158" spans="6:6" ht="11.4" x14ac:dyDescent="0.25">
      <c r="F158" s="1"/>
    </row>
    <row r="159" spans="6:6" ht="11.4" x14ac:dyDescent="0.25">
      <c r="F159" s="1"/>
    </row>
    <row r="160" spans="6:6" ht="11.4" x14ac:dyDescent="0.25">
      <c r="F160" s="1"/>
    </row>
    <row r="161" spans="6:6" ht="11.4" x14ac:dyDescent="0.25">
      <c r="F161" s="1"/>
    </row>
    <row r="162" spans="6:6" ht="11.4" x14ac:dyDescent="0.25">
      <c r="F162" s="1"/>
    </row>
    <row r="163" spans="6:6" ht="11.4" x14ac:dyDescent="0.25">
      <c r="F163" s="1"/>
    </row>
    <row r="164" spans="6:6" ht="11.4" x14ac:dyDescent="0.25">
      <c r="F164" s="1"/>
    </row>
    <row r="165" spans="6:6" ht="11.4" x14ac:dyDescent="0.25">
      <c r="F165" s="1"/>
    </row>
    <row r="166" spans="6:6" ht="11.4" x14ac:dyDescent="0.25">
      <c r="F166" s="1"/>
    </row>
    <row r="167" spans="6:6" ht="11.4" x14ac:dyDescent="0.25">
      <c r="F167" s="1"/>
    </row>
    <row r="168" spans="6:6" ht="11.4" x14ac:dyDescent="0.25">
      <c r="F168" s="1"/>
    </row>
    <row r="169" spans="6:6" ht="11.4" x14ac:dyDescent="0.25">
      <c r="F169" s="1"/>
    </row>
    <row r="170" spans="6:6" ht="11.4" x14ac:dyDescent="0.25">
      <c r="F170" s="1"/>
    </row>
    <row r="171" spans="6:6" ht="11.4" x14ac:dyDescent="0.25">
      <c r="F171" s="1"/>
    </row>
    <row r="172" spans="6:6" ht="11.4" x14ac:dyDescent="0.25">
      <c r="F172" s="1"/>
    </row>
    <row r="173" spans="6:6" ht="11.4" x14ac:dyDescent="0.25">
      <c r="F173" s="1"/>
    </row>
    <row r="174" spans="6:6" ht="11.4" x14ac:dyDescent="0.25">
      <c r="F174" s="1"/>
    </row>
    <row r="175" spans="6:6" ht="11.4" x14ac:dyDescent="0.25">
      <c r="F175" s="1"/>
    </row>
    <row r="176" spans="6:6" ht="11.4" x14ac:dyDescent="0.25">
      <c r="F176" s="1"/>
    </row>
    <row r="177" spans="6:6" ht="11.4" x14ac:dyDescent="0.25">
      <c r="F177" s="1"/>
    </row>
    <row r="178" spans="6:6" ht="11.4" x14ac:dyDescent="0.25">
      <c r="F178" s="1"/>
    </row>
    <row r="179" spans="6:6" ht="11.4" x14ac:dyDescent="0.25">
      <c r="F179" s="1"/>
    </row>
    <row r="180" spans="6:6" ht="11.4" x14ac:dyDescent="0.25">
      <c r="F180" s="1"/>
    </row>
    <row r="181" spans="6:6" ht="11.4" x14ac:dyDescent="0.25">
      <c r="F181" s="1"/>
    </row>
    <row r="182" spans="6:6" ht="11.4" x14ac:dyDescent="0.25">
      <c r="F182" s="1"/>
    </row>
    <row r="183" spans="6:6" ht="11.4" x14ac:dyDescent="0.25">
      <c r="F183" s="1"/>
    </row>
    <row r="184" spans="6:6" ht="11.4" x14ac:dyDescent="0.25">
      <c r="F184" s="1"/>
    </row>
    <row r="185" spans="6:6" ht="11.4" x14ac:dyDescent="0.25">
      <c r="F185" s="1"/>
    </row>
    <row r="186" spans="6:6" ht="11.4" x14ac:dyDescent="0.25">
      <c r="F186" s="1"/>
    </row>
    <row r="187" spans="6:6" ht="11.4" x14ac:dyDescent="0.25">
      <c r="F187" s="1"/>
    </row>
    <row r="188" spans="6:6" ht="11.4" x14ac:dyDescent="0.25">
      <c r="F188" s="1"/>
    </row>
    <row r="189" spans="6:6" ht="11.4" x14ac:dyDescent="0.25">
      <c r="F189" s="1"/>
    </row>
    <row r="190" spans="6:6" ht="11.4" x14ac:dyDescent="0.25">
      <c r="F190" s="1"/>
    </row>
    <row r="191" spans="6:6" ht="11.4" x14ac:dyDescent="0.25">
      <c r="F191" s="1"/>
    </row>
    <row r="192" spans="6:6" ht="11.4" x14ac:dyDescent="0.25">
      <c r="F192" s="1"/>
    </row>
    <row r="193" spans="6:6" ht="11.4" x14ac:dyDescent="0.25">
      <c r="F193" s="1"/>
    </row>
    <row r="194" spans="6:6" ht="11.4" x14ac:dyDescent="0.25">
      <c r="F194" s="1"/>
    </row>
    <row r="195" spans="6:6" ht="11.4" x14ac:dyDescent="0.25">
      <c r="F195" s="1"/>
    </row>
    <row r="196" spans="6:6" ht="11.4" x14ac:dyDescent="0.25">
      <c r="F196" s="1"/>
    </row>
    <row r="197" spans="6:6" ht="11.4" x14ac:dyDescent="0.25">
      <c r="F197" s="1"/>
    </row>
    <row r="198" spans="6:6" ht="11.4" x14ac:dyDescent="0.25">
      <c r="F198" s="1"/>
    </row>
    <row r="199" spans="6:6" ht="11.4" x14ac:dyDescent="0.25">
      <c r="F199" s="1"/>
    </row>
    <row r="200" spans="6:6" ht="11.4" x14ac:dyDescent="0.25">
      <c r="F200" s="1"/>
    </row>
    <row r="201" spans="6:6" ht="11.4" x14ac:dyDescent="0.25">
      <c r="F201" s="1"/>
    </row>
    <row r="202" spans="6:6" ht="11.4" x14ac:dyDescent="0.25">
      <c r="F202" s="1"/>
    </row>
    <row r="203" spans="6:6" ht="11.4" x14ac:dyDescent="0.25">
      <c r="F203" s="1"/>
    </row>
    <row r="204" spans="6:6" ht="11.4" x14ac:dyDescent="0.25">
      <c r="F204" s="1"/>
    </row>
    <row r="205" spans="6:6" ht="11.4" x14ac:dyDescent="0.25">
      <c r="F205" s="1"/>
    </row>
    <row r="206" spans="6:6" ht="11.4" x14ac:dyDescent="0.25">
      <c r="F206" s="1"/>
    </row>
    <row r="207" spans="6:6" ht="11.4" x14ac:dyDescent="0.25">
      <c r="F207" s="1"/>
    </row>
    <row r="208" spans="6:6" ht="11.4" x14ac:dyDescent="0.25">
      <c r="F208" s="1"/>
    </row>
    <row r="209" spans="6:23" ht="11.4" x14ac:dyDescent="0.25">
      <c r="F209" s="1"/>
    </row>
    <row r="210" spans="6:23" ht="11.4" x14ac:dyDescent="0.25">
      <c r="F210" s="1"/>
    </row>
    <row r="211" spans="6:23" ht="11.4" x14ac:dyDescent="0.25">
      <c r="F211" s="1"/>
    </row>
    <row r="212" spans="6:23" ht="11.4" x14ac:dyDescent="0.25">
      <c r="F212" s="1"/>
    </row>
    <row r="213" spans="6:23" s="36" customFormat="1" ht="11.4" x14ac:dyDescent="0.25">
      <c r="F213" s="1"/>
      <c r="G213" s="1"/>
      <c r="K213" s="1"/>
      <c r="W213" s="37"/>
    </row>
    <row r="214" spans="6:23" s="36" customFormat="1" ht="11.4" x14ac:dyDescent="0.25">
      <c r="F214" s="1"/>
      <c r="G214" s="1"/>
      <c r="K214" s="1"/>
      <c r="W214" s="37"/>
    </row>
    <row r="215" spans="6:23" s="36" customFormat="1" ht="11.4" x14ac:dyDescent="0.25">
      <c r="F215" s="1"/>
      <c r="G215" s="1"/>
      <c r="K215" s="1"/>
      <c r="W215" s="37"/>
    </row>
    <row r="216" spans="6:23" s="36" customFormat="1" ht="11.4" x14ac:dyDescent="0.25">
      <c r="F216" s="1"/>
      <c r="G216" s="1"/>
      <c r="K216" s="1"/>
      <c r="W216" s="37"/>
    </row>
    <row r="217" spans="6:23" s="36" customFormat="1" ht="11.4" x14ac:dyDescent="0.25">
      <c r="F217" s="1"/>
      <c r="G217" s="1"/>
      <c r="K217" s="1"/>
      <c r="W217" s="37"/>
    </row>
    <row r="218" spans="6:23" s="36" customFormat="1" ht="11.4" x14ac:dyDescent="0.25">
      <c r="F218" s="1"/>
      <c r="G218" s="1"/>
      <c r="K218" s="1"/>
      <c r="W218" s="37"/>
    </row>
    <row r="219" spans="6:23" s="36" customFormat="1" ht="11.4" x14ac:dyDescent="0.25">
      <c r="F219" s="1"/>
      <c r="G219" s="1"/>
      <c r="K219" s="1"/>
      <c r="W219" s="37"/>
    </row>
    <row r="220" spans="6:23" s="36" customFormat="1" ht="11.4" x14ac:dyDescent="0.25">
      <c r="F220" s="1"/>
      <c r="G220" s="1"/>
      <c r="K220" s="1"/>
      <c r="W220" s="37"/>
    </row>
    <row r="221" spans="6:23" s="36" customFormat="1" ht="11.4" x14ac:dyDescent="0.25">
      <c r="F221" s="1"/>
      <c r="G221" s="1"/>
      <c r="K221" s="1"/>
      <c r="W221" s="37"/>
    </row>
    <row r="222" spans="6:23" s="36" customFormat="1" ht="11.4" x14ac:dyDescent="0.25">
      <c r="F222" s="1"/>
      <c r="G222" s="1"/>
      <c r="K222" s="1"/>
      <c r="W222" s="37"/>
    </row>
    <row r="223" spans="6:23" s="36" customFormat="1" ht="11.4" x14ac:dyDescent="0.25">
      <c r="F223" s="1"/>
      <c r="G223" s="1"/>
      <c r="K223" s="1"/>
      <c r="W223" s="37"/>
    </row>
    <row r="224" spans="6:23" s="36" customFormat="1" ht="11.4" x14ac:dyDescent="0.25">
      <c r="F224" s="1"/>
      <c r="G224" s="1"/>
      <c r="K224" s="1"/>
      <c r="W224" s="37"/>
    </row>
    <row r="225" spans="6:23" s="36" customFormat="1" ht="11.4" x14ac:dyDescent="0.25">
      <c r="F225" s="1"/>
      <c r="G225" s="1"/>
      <c r="K225" s="1"/>
      <c r="W225" s="37"/>
    </row>
    <row r="226" spans="6:23" s="36" customFormat="1" ht="11.4" x14ac:dyDescent="0.25">
      <c r="F226" s="1"/>
      <c r="G226" s="1"/>
      <c r="K226" s="1"/>
      <c r="W226" s="37"/>
    </row>
    <row r="227" spans="6:23" s="36" customFormat="1" ht="11.4" x14ac:dyDescent="0.25">
      <c r="F227" s="1"/>
      <c r="G227" s="1"/>
      <c r="K227" s="1"/>
      <c r="W227" s="37"/>
    </row>
    <row r="228" spans="6:23" s="36" customFormat="1" ht="11.4" x14ac:dyDescent="0.25">
      <c r="F228" s="1"/>
      <c r="G228" s="1"/>
      <c r="K228" s="1"/>
      <c r="W228" s="37"/>
    </row>
    <row r="229" spans="6:23" s="36" customFormat="1" ht="11.4" x14ac:dyDescent="0.25">
      <c r="F229" s="1"/>
      <c r="G229" s="1"/>
      <c r="K229" s="1"/>
      <c r="W229" s="37"/>
    </row>
    <row r="230" spans="6:23" s="36" customFormat="1" ht="11.4" x14ac:dyDescent="0.25">
      <c r="F230" s="1"/>
      <c r="G230" s="1"/>
      <c r="K230" s="1"/>
      <c r="W230" s="37"/>
    </row>
    <row r="231" spans="6:23" s="36" customFormat="1" ht="11.4" x14ac:dyDescent="0.25">
      <c r="F231" s="1"/>
      <c r="G231" s="1"/>
      <c r="K231" s="1"/>
      <c r="W231" s="37"/>
    </row>
    <row r="232" spans="6:23" s="36" customFormat="1" ht="11.4" x14ac:dyDescent="0.25">
      <c r="F232" s="1"/>
      <c r="G232" s="1"/>
      <c r="K232" s="1"/>
      <c r="W232" s="37"/>
    </row>
    <row r="233" spans="6:23" s="36" customFormat="1" ht="11.4" x14ac:dyDescent="0.25">
      <c r="F233" s="1"/>
      <c r="G233" s="1"/>
      <c r="K233" s="1"/>
      <c r="W233" s="37"/>
    </row>
    <row r="234" spans="6:23" s="36" customFormat="1" ht="11.4" x14ac:dyDescent="0.25">
      <c r="F234" s="1"/>
      <c r="G234" s="1"/>
      <c r="K234" s="1"/>
      <c r="W234" s="37"/>
    </row>
    <row r="235" spans="6:23" s="36" customFormat="1" ht="11.4" x14ac:dyDescent="0.25">
      <c r="F235" s="1"/>
      <c r="G235" s="1"/>
      <c r="K235" s="1"/>
      <c r="W235" s="37"/>
    </row>
    <row r="236" spans="6:23" s="36" customFormat="1" ht="11.4" x14ac:dyDescent="0.25">
      <c r="F236" s="1"/>
      <c r="G236" s="1"/>
      <c r="K236" s="1"/>
      <c r="W236" s="37"/>
    </row>
    <row r="237" spans="6:23" s="36" customFormat="1" ht="11.4" x14ac:dyDescent="0.25">
      <c r="F237" s="1"/>
      <c r="G237" s="1"/>
      <c r="K237" s="1"/>
      <c r="W237" s="37"/>
    </row>
    <row r="238" spans="6:23" s="36" customFormat="1" ht="11.4" x14ac:dyDescent="0.25">
      <c r="F238" s="1"/>
      <c r="G238" s="1"/>
      <c r="K238" s="1"/>
      <c r="W238" s="37"/>
    </row>
    <row r="239" spans="6:23" s="36" customFormat="1" ht="11.4" x14ac:dyDescent="0.25">
      <c r="F239" s="1"/>
      <c r="G239" s="1"/>
      <c r="K239" s="1"/>
      <c r="W239" s="37"/>
    </row>
    <row r="240" spans="6:23" s="36" customFormat="1" ht="11.4" x14ac:dyDescent="0.25">
      <c r="F240" s="1"/>
      <c r="G240" s="1"/>
      <c r="K240" s="1"/>
      <c r="W240" s="37"/>
    </row>
    <row r="241" spans="6:23" s="36" customFormat="1" ht="11.4" x14ac:dyDescent="0.25">
      <c r="F241" s="1"/>
      <c r="G241" s="1"/>
      <c r="K241" s="1"/>
      <c r="W241" s="37"/>
    </row>
    <row r="242" spans="6:23" s="36" customFormat="1" ht="11.4" x14ac:dyDescent="0.25">
      <c r="F242" s="1"/>
      <c r="G242" s="1"/>
      <c r="K242" s="1"/>
      <c r="W242" s="37"/>
    </row>
    <row r="243" spans="6:23" s="36" customFormat="1" ht="11.4" x14ac:dyDescent="0.25">
      <c r="F243" s="1"/>
      <c r="G243" s="1"/>
      <c r="K243" s="1"/>
      <c r="W243" s="37"/>
    </row>
    <row r="244" spans="6:23" s="36" customFormat="1" ht="11.4" x14ac:dyDescent="0.25">
      <c r="F244" s="1"/>
      <c r="G244" s="1"/>
      <c r="K244" s="1"/>
      <c r="W244" s="37"/>
    </row>
    <row r="245" spans="6:23" s="36" customFormat="1" ht="11.4" x14ac:dyDescent="0.25">
      <c r="F245" s="1"/>
      <c r="G245" s="1"/>
      <c r="K245" s="1"/>
      <c r="W245" s="37"/>
    </row>
    <row r="246" spans="6:23" s="36" customFormat="1" ht="11.4" x14ac:dyDescent="0.25">
      <c r="F246" s="1"/>
      <c r="G246" s="1"/>
      <c r="K246" s="1"/>
      <c r="W246" s="37"/>
    </row>
    <row r="247" spans="6:23" s="36" customFormat="1" ht="11.4" x14ac:dyDescent="0.25">
      <c r="F247" s="1"/>
      <c r="G247" s="1"/>
      <c r="K247" s="1"/>
      <c r="W247" s="37"/>
    </row>
    <row r="248" spans="6:23" s="36" customFormat="1" ht="11.4" x14ac:dyDescent="0.25">
      <c r="F248" s="1"/>
      <c r="G248" s="1"/>
      <c r="K248" s="1"/>
      <c r="W248" s="37"/>
    </row>
    <row r="249" spans="6:23" s="36" customFormat="1" ht="11.4" x14ac:dyDescent="0.25">
      <c r="F249" s="1"/>
      <c r="G249" s="1"/>
      <c r="K249" s="1"/>
      <c r="W249" s="37"/>
    </row>
    <row r="250" spans="6:23" s="36" customFormat="1" ht="11.4" x14ac:dyDescent="0.25">
      <c r="F250" s="1"/>
      <c r="G250" s="1"/>
      <c r="K250" s="1"/>
      <c r="W250" s="37"/>
    </row>
    <row r="251" spans="6:23" s="36" customFormat="1" ht="11.4" x14ac:dyDescent="0.25">
      <c r="F251" s="1"/>
      <c r="G251" s="1"/>
      <c r="K251" s="1"/>
      <c r="W251" s="37"/>
    </row>
    <row r="252" spans="6:23" s="36" customFormat="1" ht="11.4" x14ac:dyDescent="0.25">
      <c r="F252" s="1"/>
      <c r="G252" s="1"/>
      <c r="K252" s="1"/>
      <c r="W252" s="37"/>
    </row>
    <row r="253" spans="6:23" s="36" customFormat="1" ht="11.4" x14ac:dyDescent="0.25">
      <c r="F253" s="1"/>
      <c r="G253" s="1"/>
      <c r="K253" s="1"/>
      <c r="W253" s="37"/>
    </row>
    <row r="254" spans="6:23" s="36" customFormat="1" ht="11.4" x14ac:dyDescent="0.25">
      <c r="F254" s="1"/>
      <c r="G254" s="1"/>
      <c r="K254" s="1"/>
      <c r="W254" s="37"/>
    </row>
    <row r="255" spans="6:23" s="36" customFormat="1" ht="11.4" x14ac:dyDescent="0.25">
      <c r="F255" s="1"/>
      <c r="G255" s="1"/>
      <c r="K255" s="1"/>
      <c r="W255" s="37"/>
    </row>
    <row r="256" spans="6:23" s="36" customFormat="1" ht="11.4" x14ac:dyDescent="0.25">
      <c r="F256" s="1"/>
      <c r="G256" s="1"/>
      <c r="K256" s="1"/>
      <c r="W256" s="37"/>
    </row>
    <row r="257" spans="6:23" s="36" customFormat="1" ht="11.4" x14ac:dyDescent="0.25">
      <c r="F257" s="1"/>
      <c r="G257" s="1"/>
      <c r="K257" s="1"/>
      <c r="W257" s="37"/>
    </row>
    <row r="258" spans="6:23" s="36" customFormat="1" ht="11.4" x14ac:dyDescent="0.25">
      <c r="F258" s="1"/>
      <c r="G258" s="1"/>
      <c r="K258" s="1"/>
      <c r="W258" s="37"/>
    </row>
    <row r="259" spans="6:23" s="36" customFormat="1" ht="11.4" x14ac:dyDescent="0.25">
      <c r="F259" s="1"/>
      <c r="G259" s="1"/>
      <c r="K259" s="1"/>
      <c r="W259" s="37"/>
    </row>
    <row r="260" spans="6:23" s="36" customFormat="1" ht="11.4" x14ac:dyDescent="0.25">
      <c r="F260" s="1"/>
      <c r="G260" s="1"/>
      <c r="K260" s="1"/>
      <c r="W260" s="37"/>
    </row>
    <row r="261" spans="6:23" s="36" customFormat="1" ht="11.4" x14ac:dyDescent="0.25">
      <c r="F261" s="1"/>
      <c r="G261" s="1"/>
      <c r="K261" s="1"/>
      <c r="W261" s="37"/>
    </row>
    <row r="262" spans="6:23" s="36" customFormat="1" ht="11.4" x14ac:dyDescent="0.25">
      <c r="F262" s="1"/>
      <c r="G262" s="1"/>
      <c r="K262" s="1"/>
      <c r="W262" s="37"/>
    </row>
    <row r="263" spans="6:23" s="36" customFormat="1" ht="11.4" x14ac:dyDescent="0.25">
      <c r="F263" s="1"/>
      <c r="G263" s="1"/>
      <c r="K263" s="1"/>
      <c r="W263" s="37"/>
    </row>
    <row r="264" spans="6:23" s="36" customFormat="1" ht="11.4" x14ac:dyDescent="0.25">
      <c r="F264" s="1"/>
      <c r="G264" s="1"/>
      <c r="K264" s="1"/>
      <c r="W264" s="37"/>
    </row>
    <row r="265" spans="6:23" s="36" customFormat="1" ht="11.4" x14ac:dyDescent="0.25">
      <c r="F265" s="1"/>
      <c r="G265" s="1"/>
      <c r="K265" s="1"/>
      <c r="W265" s="37"/>
    </row>
    <row r="266" spans="6:23" s="36" customFormat="1" ht="11.4" x14ac:dyDescent="0.25">
      <c r="F266" s="1"/>
      <c r="G266" s="1"/>
      <c r="K266" s="1"/>
      <c r="W266" s="37"/>
    </row>
    <row r="267" spans="6:23" s="36" customFormat="1" ht="11.4" x14ac:dyDescent="0.25">
      <c r="F267" s="1"/>
      <c r="G267" s="1"/>
      <c r="K267" s="1"/>
      <c r="W267" s="37"/>
    </row>
    <row r="268" spans="6:23" s="36" customFormat="1" ht="11.4" x14ac:dyDescent="0.25">
      <c r="F268" s="1"/>
      <c r="G268" s="1"/>
      <c r="K268" s="1"/>
      <c r="W268" s="37"/>
    </row>
    <row r="269" spans="6:23" s="36" customFormat="1" ht="11.4" x14ac:dyDescent="0.25">
      <c r="F269" s="1"/>
      <c r="G269" s="1"/>
      <c r="K269" s="1"/>
      <c r="W269" s="37"/>
    </row>
    <row r="270" spans="6:23" s="36" customFormat="1" ht="11.4" x14ac:dyDescent="0.25">
      <c r="F270" s="1"/>
      <c r="G270" s="1"/>
      <c r="K270" s="1"/>
      <c r="W270" s="37"/>
    </row>
    <row r="271" spans="6:23" s="36" customFormat="1" ht="11.4" x14ac:dyDescent="0.25">
      <c r="F271" s="1"/>
      <c r="G271" s="1"/>
      <c r="K271" s="1"/>
      <c r="W271" s="37"/>
    </row>
    <row r="272" spans="6:23" s="36" customFormat="1" ht="11.4" x14ac:dyDescent="0.25">
      <c r="F272" s="1"/>
      <c r="G272" s="1"/>
      <c r="K272" s="1"/>
      <c r="W272" s="37"/>
    </row>
    <row r="273" spans="6:23" s="36" customFormat="1" ht="11.4" x14ac:dyDescent="0.25">
      <c r="F273" s="1"/>
      <c r="G273" s="1"/>
      <c r="K273" s="1"/>
      <c r="W273" s="37"/>
    </row>
    <row r="274" spans="6:23" s="36" customFormat="1" ht="11.4" x14ac:dyDescent="0.25">
      <c r="F274" s="1"/>
      <c r="G274" s="1"/>
      <c r="K274" s="1"/>
      <c r="W274" s="37"/>
    </row>
    <row r="275" spans="6:23" s="36" customFormat="1" ht="11.4" x14ac:dyDescent="0.25">
      <c r="F275" s="1"/>
      <c r="G275" s="1"/>
      <c r="K275" s="1"/>
      <c r="W275" s="37"/>
    </row>
    <row r="276" spans="6:23" s="36" customFormat="1" ht="11.4" x14ac:dyDescent="0.25">
      <c r="F276" s="1"/>
      <c r="G276" s="1"/>
      <c r="K276" s="1"/>
      <c r="W276" s="37"/>
    </row>
    <row r="277" spans="6:23" s="36" customFormat="1" ht="11.4" x14ac:dyDescent="0.25">
      <c r="F277" s="1"/>
      <c r="G277" s="1"/>
      <c r="K277" s="1"/>
      <c r="W277" s="37"/>
    </row>
    <row r="278" spans="6:23" s="36" customFormat="1" ht="11.4" x14ac:dyDescent="0.25">
      <c r="F278" s="1"/>
      <c r="G278" s="1"/>
      <c r="K278" s="1"/>
      <c r="W278" s="37"/>
    </row>
    <row r="279" spans="6:23" s="36" customFormat="1" ht="11.4" x14ac:dyDescent="0.25">
      <c r="F279" s="1"/>
      <c r="G279" s="1"/>
      <c r="K279" s="1"/>
      <c r="W279" s="37"/>
    </row>
    <row r="280" spans="6:23" s="36" customFormat="1" ht="11.4" x14ac:dyDescent="0.25">
      <c r="F280" s="1"/>
      <c r="G280" s="1"/>
      <c r="K280" s="1"/>
      <c r="W280" s="37"/>
    </row>
    <row r="281" spans="6:23" s="36" customFormat="1" ht="11.4" x14ac:dyDescent="0.25">
      <c r="F281" s="1"/>
      <c r="G281" s="1"/>
      <c r="K281" s="1"/>
      <c r="W281" s="37"/>
    </row>
    <row r="282" spans="6:23" s="36" customFormat="1" ht="11.4" x14ac:dyDescent="0.25">
      <c r="F282" s="1"/>
      <c r="G282" s="1"/>
      <c r="K282" s="1"/>
      <c r="W282" s="37"/>
    </row>
    <row r="283" spans="6:23" s="36" customFormat="1" ht="11.4" x14ac:dyDescent="0.25">
      <c r="F283" s="1"/>
      <c r="G283" s="1"/>
      <c r="K283" s="1"/>
      <c r="W283" s="37"/>
    </row>
    <row r="284" spans="6:23" s="36" customFormat="1" ht="11.4" x14ac:dyDescent="0.25">
      <c r="F284" s="1"/>
      <c r="G284" s="1"/>
      <c r="K284" s="1"/>
      <c r="W284" s="37"/>
    </row>
    <row r="285" spans="6:23" s="36" customFormat="1" ht="11.4" x14ac:dyDescent="0.25">
      <c r="F285" s="1"/>
      <c r="G285" s="1"/>
      <c r="K285" s="1"/>
      <c r="W285" s="37"/>
    </row>
    <row r="286" spans="6:23" s="36" customFormat="1" ht="11.4" x14ac:dyDescent="0.25">
      <c r="F286" s="1"/>
      <c r="G286" s="1"/>
      <c r="K286" s="1"/>
      <c r="W286" s="37"/>
    </row>
    <row r="287" spans="6:23" s="36" customFormat="1" ht="11.4" x14ac:dyDescent="0.25">
      <c r="F287" s="1"/>
      <c r="G287" s="1"/>
      <c r="K287" s="1"/>
      <c r="W287" s="37"/>
    </row>
    <row r="288" spans="6:23" s="36" customFormat="1" ht="11.4" x14ac:dyDescent="0.25">
      <c r="F288" s="1"/>
      <c r="G288" s="1"/>
      <c r="K288" s="1"/>
      <c r="W288" s="37"/>
    </row>
    <row r="289" spans="6:23" s="36" customFormat="1" ht="11.4" x14ac:dyDescent="0.25">
      <c r="F289" s="1"/>
      <c r="G289" s="1"/>
      <c r="K289" s="1"/>
      <c r="W289" s="37"/>
    </row>
    <row r="290" spans="6:23" s="36" customFormat="1" ht="11.4" x14ac:dyDescent="0.25">
      <c r="F290" s="1"/>
      <c r="G290" s="1"/>
      <c r="K290" s="1"/>
      <c r="W290" s="37"/>
    </row>
    <row r="291" spans="6:23" s="36" customFormat="1" ht="11.4" x14ac:dyDescent="0.25">
      <c r="F291" s="1"/>
      <c r="G291" s="1"/>
      <c r="K291" s="1"/>
      <c r="W291" s="37"/>
    </row>
    <row r="292" spans="6:23" s="36" customFormat="1" ht="11.4" x14ac:dyDescent="0.25">
      <c r="F292" s="1"/>
      <c r="G292" s="1"/>
      <c r="K292" s="1"/>
      <c r="W292" s="37"/>
    </row>
    <row r="293" spans="6:23" s="36" customFormat="1" ht="11.4" x14ac:dyDescent="0.25">
      <c r="F293" s="1"/>
      <c r="G293" s="1"/>
      <c r="K293" s="1"/>
      <c r="W293" s="37"/>
    </row>
    <row r="294" spans="6:23" s="36" customFormat="1" ht="11.4" x14ac:dyDescent="0.25">
      <c r="F294" s="1"/>
      <c r="G294" s="1"/>
      <c r="K294" s="1"/>
      <c r="W294" s="37"/>
    </row>
    <row r="295" spans="6:23" s="36" customFormat="1" ht="11.4" x14ac:dyDescent="0.25">
      <c r="F295" s="1"/>
      <c r="G295" s="1"/>
      <c r="K295" s="1"/>
      <c r="W295" s="37"/>
    </row>
    <row r="296" spans="6:23" s="36" customFormat="1" ht="11.4" x14ac:dyDescent="0.25">
      <c r="F296" s="1"/>
      <c r="G296" s="1"/>
      <c r="K296" s="1"/>
      <c r="W296" s="37"/>
    </row>
    <row r="297" spans="6:23" s="36" customFormat="1" ht="11.4" x14ac:dyDescent="0.25">
      <c r="F297" s="1"/>
      <c r="G297" s="1"/>
      <c r="K297" s="1"/>
      <c r="W297" s="37"/>
    </row>
    <row r="298" spans="6:23" s="36" customFormat="1" ht="11.4" x14ac:dyDescent="0.25">
      <c r="F298" s="1"/>
      <c r="G298" s="1"/>
      <c r="K298" s="1"/>
      <c r="W298" s="37"/>
    </row>
    <row r="299" spans="6:23" s="36" customFormat="1" ht="11.4" x14ac:dyDescent="0.25">
      <c r="F299" s="1"/>
      <c r="G299" s="1"/>
      <c r="K299" s="1"/>
      <c r="W299" s="37"/>
    </row>
    <row r="300" spans="6:23" s="36" customFormat="1" ht="11.4" x14ac:dyDescent="0.25">
      <c r="F300" s="1"/>
      <c r="G300" s="1"/>
      <c r="K300" s="1"/>
      <c r="W300" s="37"/>
    </row>
    <row r="301" spans="6:23" s="36" customFormat="1" ht="11.4" x14ac:dyDescent="0.25">
      <c r="F301" s="1"/>
      <c r="G301" s="1"/>
      <c r="K301" s="1"/>
      <c r="W301" s="37"/>
    </row>
    <row r="302" spans="6:23" s="36" customFormat="1" ht="11.4" x14ac:dyDescent="0.25">
      <c r="F302" s="1"/>
      <c r="G302" s="1"/>
      <c r="K302" s="1"/>
      <c r="W302" s="37"/>
    </row>
    <row r="303" spans="6:23" s="36" customFormat="1" ht="11.4" x14ac:dyDescent="0.25">
      <c r="F303" s="1"/>
      <c r="G303" s="1"/>
      <c r="K303" s="1"/>
      <c r="W303" s="37"/>
    </row>
    <row r="304" spans="6:23" s="36" customFormat="1" ht="11.4" x14ac:dyDescent="0.25">
      <c r="F304" s="1"/>
      <c r="G304" s="1"/>
      <c r="K304" s="1"/>
      <c r="W304" s="37"/>
    </row>
    <row r="305" spans="6:23" s="36" customFormat="1" ht="11.4" x14ac:dyDescent="0.25">
      <c r="F305" s="1"/>
      <c r="G305" s="1"/>
      <c r="K305" s="1"/>
      <c r="W305" s="37"/>
    </row>
    <row r="306" spans="6:23" s="36" customFormat="1" ht="11.4" x14ac:dyDescent="0.25">
      <c r="F306" s="1"/>
      <c r="G306" s="1"/>
      <c r="K306" s="1"/>
      <c r="W306" s="37"/>
    </row>
    <row r="307" spans="6:23" s="36" customFormat="1" ht="11.4" x14ac:dyDescent="0.25">
      <c r="F307" s="1"/>
      <c r="G307" s="1"/>
      <c r="K307" s="1"/>
      <c r="W307" s="37"/>
    </row>
    <row r="308" spans="6:23" s="36" customFormat="1" ht="11.4" x14ac:dyDescent="0.25">
      <c r="F308" s="1"/>
      <c r="G308" s="1"/>
      <c r="K308" s="1"/>
      <c r="W308" s="37"/>
    </row>
    <row r="309" spans="6:23" s="36" customFormat="1" ht="11.4" x14ac:dyDescent="0.25">
      <c r="F309" s="1"/>
      <c r="G309" s="1"/>
      <c r="K309" s="1"/>
      <c r="W309" s="37"/>
    </row>
    <row r="310" spans="6:23" s="36" customFormat="1" ht="11.4" x14ac:dyDescent="0.25">
      <c r="F310" s="1"/>
      <c r="G310" s="1"/>
      <c r="K310" s="1"/>
      <c r="W310" s="37"/>
    </row>
    <row r="311" spans="6:23" s="36" customFormat="1" ht="11.4" x14ac:dyDescent="0.25">
      <c r="F311" s="1"/>
      <c r="G311" s="1"/>
      <c r="K311" s="1"/>
      <c r="W311" s="37"/>
    </row>
    <row r="312" spans="6:23" s="36" customFormat="1" ht="11.4" x14ac:dyDescent="0.25">
      <c r="F312" s="1"/>
      <c r="G312" s="1"/>
      <c r="K312" s="1"/>
      <c r="W312" s="37"/>
    </row>
    <row r="313" spans="6:23" s="36" customFormat="1" ht="11.4" x14ac:dyDescent="0.25">
      <c r="F313" s="1"/>
      <c r="G313" s="1"/>
      <c r="K313" s="1"/>
      <c r="W313" s="37"/>
    </row>
    <row r="314" spans="6:23" s="36" customFormat="1" ht="11.4" x14ac:dyDescent="0.25">
      <c r="F314" s="1"/>
      <c r="G314" s="1"/>
      <c r="K314" s="1"/>
      <c r="W314" s="37"/>
    </row>
    <row r="315" spans="6:23" s="36" customFormat="1" ht="11.4" x14ac:dyDescent="0.25">
      <c r="F315" s="1"/>
      <c r="G315" s="1"/>
      <c r="K315" s="1"/>
      <c r="W315" s="37"/>
    </row>
    <row r="316" spans="6:23" s="36" customFormat="1" ht="11.4" x14ac:dyDescent="0.25">
      <c r="F316" s="1"/>
      <c r="G316" s="1"/>
      <c r="K316" s="1"/>
      <c r="W316" s="37"/>
    </row>
    <row r="317" spans="6:23" s="36" customFormat="1" ht="11.4" x14ac:dyDescent="0.25">
      <c r="F317" s="1"/>
      <c r="G317" s="1"/>
      <c r="K317" s="1"/>
      <c r="W317" s="37"/>
    </row>
    <row r="318" spans="6:23" s="36" customFormat="1" ht="11.4" x14ac:dyDescent="0.25">
      <c r="F318" s="1"/>
      <c r="G318" s="1"/>
      <c r="K318" s="1"/>
      <c r="W318" s="37"/>
    </row>
    <row r="319" spans="6:23" s="36" customFormat="1" ht="11.4" x14ac:dyDescent="0.25">
      <c r="F319" s="1"/>
      <c r="G319" s="1"/>
      <c r="K319" s="1"/>
      <c r="W319" s="37"/>
    </row>
    <row r="320" spans="6:23" s="36" customFormat="1" ht="11.4" x14ac:dyDescent="0.25">
      <c r="F320" s="1"/>
      <c r="G320" s="1"/>
      <c r="K320" s="1"/>
      <c r="W320" s="37"/>
    </row>
    <row r="321" spans="6:23" s="36" customFormat="1" ht="11.4" x14ac:dyDescent="0.25">
      <c r="F321" s="1"/>
      <c r="G321" s="1"/>
      <c r="K321" s="1"/>
      <c r="W321" s="37"/>
    </row>
    <row r="322" spans="6:23" s="36" customFormat="1" ht="11.4" x14ac:dyDescent="0.25">
      <c r="F322" s="1"/>
      <c r="G322" s="1"/>
      <c r="K322" s="1"/>
      <c r="W322" s="37"/>
    </row>
    <row r="323" spans="6:23" s="36" customFormat="1" ht="11.4" x14ac:dyDescent="0.25">
      <c r="F323" s="1"/>
      <c r="G323" s="1"/>
      <c r="K323" s="1"/>
      <c r="W323" s="37"/>
    </row>
    <row r="324" spans="6:23" s="36" customFormat="1" ht="11.4" x14ac:dyDescent="0.25">
      <c r="F324" s="1"/>
      <c r="G324" s="1"/>
      <c r="K324" s="1"/>
      <c r="W324" s="37"/>
    </row>
    <row r="325" spans="6:23" s="36" customFormat="1" ht="11.4" x14ac:dyDescent="0.25">
      <c r="F325" s="1"/>
      <c r="G325" s="1"/>
      <c r="K325" s="1"/>
      <c r="W325" s="37"/>
    </row>
    <row r="326" spans="6:23" s="36" customFormat="1" ht="11.4" x14ac:dyDescent="0.25">
      <c r="F326" s="1"/>
      <c r="G326" s="1"/>
      <c r="K326" s="1"/>
      <c r="W326" s="37"/>
    </row>
    <row r="327" spans="6:23" s="36" customFormat="1" ht="11.4" x14ac:dyDescent="0.25">
      <c r="F327" s="1"/>
      <c r="G327" s="1"/>
      <c r="K327" s="1"/>
      <c r="W327" s="37"/>
    </row>
    <row r="328" spans="6:23" s="36" customFormat="1" ht="11.4" x14ac:dyDescent="0.25">
      <c r="F328" s="1"/>
      <c r="G328" s="1"/>
      <c r="K328" s="1"/>
      <c r="W328" s="37"/>
    </row>
    <row r="329" spans="6:23" s="36" customFormat="1" ht="11.4" x14ac:dyDescent="0.25">
      <c r="F329" s="1"/>
      <c r="G329" s="1"/>
      <c r="K329" s="1"/>
      <c r="W329" s="37"/>
    </row>
    <row r="330" spans="6:23" s="36" customFormat="1" ht="11.4" x14ac:dyDescent="0.25">
      <c r="F330" s="1"/>
      <c r="G330" s="1"/>
      <c r="K330" s="1"/>
      <c r="W330" s="37"/>
    </row>
    <row r="331" spans="6:23" s="36" customFormat="1" ht="11.4" x14ac:dyDescent="0.25">
      <c r="F331" s="1"/>
      <c r="G331" s="1"/>
      <c r="K331" s="1"/>
      <c r="W331" s="37"/>
    </row>
    <row r="332" spans="6:23" s="36" customFormat="1" ht="11.4" x14ac:dyDescent="0.25">
      <c r="F332" s="1"/>
      <c r="G332" s="1"/>
      <c r="K332" s="1"/>
      <c r="W332" s="37"/>
    </row>
    <row r="333" spans="6:23" s="36" customFormat="1" ht="11.4" x14ac:dyDescent="0.25">
      <c r="F333" s="1"/>
      <c r="G333" s="1"/>
      <c r="K333" s="1"/>
      <c r="W333" s="37"/>
    </row>
    <row r="334" spans="6:23" s="36" customFormat="1" ht="11.4" x14ac:dyDescent="0.25">
      <c r="F334" s="1"/>
      <c r="G334" s="1"/>
      <c r="K334" s="1"/>
      <c r="W334" s="37"/>
    </row>
    <row r="335" spans="6:23" s="36" customFormat="1" ht="11.4" x14ac:dyDescent="0.25">
      <c r="F335" s="1"/>
      <c r="G335" s="1"/>
      <c r="K335" s="1"/>
      <c r="W335" s="37"/>
    </row>
    <row r="336" spans="6:23" s="36" customFormat="1" ht="11.4" x14ac:dyDescent="0.25">
      <c r="F336" s="1"/>
      <c r="G336" s="1"/>
      <c r="K336" s="1"/>
      <c r="W336" s="37"/>
    </row>
    <row r="337" spans="6:23" s="36" customFormat="1" ht="11.4" x14ac:dyDescent="0.25">
      <c r="F337" s="1"/>
      <c r="G337" s="1"/>
      <c r="K337" s="1"/>
      <c r="W337" s="37"/>
    </row>
    <row r="338" spans="6:23" s="36" customFormat="1" ht="11.4" x14ac:dyDescent="0.25">
      <c r="F338" s="1"/>
      <c r="G338" s="1"/>
      <c r="K338" s="1"/>
      <c r="W338" s="37"/>
    </row>
    <row r="339" spans="6:23" s="36" customFormat="1" ht="11.4" x14ac:dyDescent="0.25">
      <c r="F339" s="1"/>
      <c r="G339" s="1"/>
      <c r="K339" s="1"/>
      <c r="W339" s="37"/>
    </row>
    <row r="340" spans="6:23" s="36" customFormat="1" ht="11.4" x14ac:dyDescent="0.25">
      <c r="F340" s="1"/>
      <c r="G340" s="1"/>
      <c r="K340" s="1"/>
      <c r="W340" s="37"/>
    </row>
    <row r="341" spans="6:23" s="36" customFormat="1" ht="11.4" x14ac:dyDescent="0.25">
      <c r="F341" s="1"/>
      <c r="G341" s="1"/>
      <c r="K341" s="1"/>
      <c r="W341" s="37"/>
    </row>
    <row r="342" spans="6:23" s="36" customFormat="1" ht="11.4" x14ac:dyDescent="0.25">
      <c r="F342" s="1"/>
      <c r="G342" s="1"/>
      <c r="K342" s="1"/>
      <c r="W342" s="37"/>
    </row>
    <row r="343" spans="6:23" s="36" customFormat="1" ht="11.4" x14ac:dyDescent="0.25">
      <c r="F343" s="1"/>
      <c r="G343" s="1"/>
      <c r="K343" s="1"/>
      <c r="W343" s="37"/>
    </row>
    <row r="344" spans="6:23" s="36" customFormat="1" ht="11.4" x14ac:dyDescent="0.25">
      <c r="F344" s="1"/>
      <c r="G344" s="1"/>
      <c r="K344" s="1"/>
      <c r="W344" s="37"/>
    </row>
    <row r="345" spans="6:23" s="36" customFormat="1" ht="11.4" x14ac:dyDescent="0.25">
      <c r="F345" s="1"/>
      <c r="G345" s="1"/>
      <c r="K345" s="1"/>
      <c r="W345" s="37"/>
    </row>
    <row r="346" spans="6:23" s="36" customFormat="1" ht="11.4" x14ac:dyDescent="0.25">
      <c r="F346" s="1"/>
      <c r="G346" s="1"/>
      <c r="K346" s="1"/>
      <c r="W346" s="37"/>
    </row>
    <row r="347" spans="6:23" s="36" customFormat="1" ht="11.4" x14ac:dyDescent="0.25">
      <c r="F347" s="1"/>
      <c r="G347" s="1"/>
      <c r="K347" s="1"/>
      <c r="W347" s="37"/>
    </row>
    <row r="348" spans="6:23" s="36" customFormat="1" ht="11.4" x14ac:dyDescent="0.25">
      <c r="F348" s="1"/>
      <c r="G348" s="1"/>
      <c r="K348" s="1"/>
      <c r="W348" s="37"/>
    </row>
    <row r="349" spans="6:23" s="36" customFormat="1" ht="11.4" x14ac:dyDescent="0.25">
      <c r="F349" s="1"/>
      <c r="G349" s="1"/>
      <c r="K349" s="1"/>
      <c r="W349" s="37"/>
    </row>
    <row r="350" spans="6:23" s="36" customFormat="1" ht="11.4" x14ac:dyDescent="0.25">
      <c r="F350" s="1"/>
      <c r="G350" s="1"/>
      <c r="K350" s="1"/>
      <c r="W350" s="37"/>
    </row>
    <row r="351" spans="6:23" s="36" customFormat="1" ht="11.4" x14ac:dyDescent="0.25">
      <c r="F351" s="1"/>
      <c r="G351" s="1"/>
      <c r="K351" s="1"/>
      <c r="W351" s="37"/>
    </row>
    <row r="352" spans="6:23" s="36" customFormat="1" ht="11.4" x14ac:dyDescent="0.25">
      <c r="F352" s="1"/>
      <c r="G352" s="1"/>
      <c r="K352" s="1"/>
      <c r="W352" s="37"/>
    </row>
    <row r="353" spans="6:23" s="36" customFormat="1" ht="11.4" x14ac:dyDescent="0.25">
      <c r="F353" s="1"/>
      <c r="G353" s="1"/>
      <c r="K353" s="1"/>
      <c r="W353" s="37"/>
    </row>
    <row r="354" spans="6:23" s="36" customFormat="1" ht="11.4" x14ac:dyDescent="0.25">
      <c r="F354" s="1"/>
      <c r="G354" s="1"/>
      <c r="K354" s="1"/>
      <c r="W354" s="37"/>
    </row>
    <row r="355" spans="6:23" s="36" customFormat="1" ht="11.4" x14ac:dyDescent="0.25">
      <c r="F355" s="1"/>
      <c r="G355" s="1"/>
      <c r="K355" s="1"/>
      <c r="W355" s="37"/>
    </row>
    <row r="356" spans="6:23" s="36" customFormat="1" ht="11.4" x14ac:dyDescent="0.25">
      <c r="F356" s="1"/>
      <c r="G356" s="1"/>
      <c r="K356" s="1"/>
      <c r="W356" s="37"/>
    </row>
    <row r="357" spans="6:23" s="36" customFormat="1" ht="11.4" x14ac:dyDescent="0.25">
      <c r="F357" s="1"/>
      <c r="G357" s="1"/>
      <c r="K357" s="1"/>
      <c r="W357" s="37"/>
    </row>
    <row r="358" spans="6:23" s="36" customFormat="1" ht="11.4" x14ac:dyDescent="0.25">
      <c r="F358" s="1"/>
      <c r="G358" s="1"/>
      <c r="K358" s="1"/>
      <c r="W358" s="37"/>
    </row>
    <row r="359" spans="6:23" s="36" customFormat="1" ht="11.4" x14ac:dyDescent="0.25">
      <c r="F359" s="1"/>
      <c r="G359" s="1"/>
      <c r="K359" s="1"/>
      <c r="W359" s="37"/>
    </row>
    <row r="360" spans="6:23" s="36" customFormat="1" ht="11.4" x14ac:dyDescent="0.25">
      <c r="F360" s="1"/>
      <c r="G360" s="1"/>
      <c r="K360" s="1"/>
      <c r="W360" s="37"/>
    </row>
    <row r="361" spans="6:23" s="36" customFormat="1" ht="11.4" x14ac:dyDescent="0.25">
      <c r="F361" s="1"/>
      <c r="G361" s="1"/>
      <c r="K361" s="1"/>
      <c r="W361" s="37"/>
    </row>
    <row r="362" spans="6:23" s="36" customFormat="1" ht="11.4" x14ac:dyDescent="0.25">
      <c r="F362" s="1"/>
      <c r="G362" s="1"/>
      <c r="K362" s="1"/>
      <c r="W362" s="37"/>
    </row>
    <row r="363" spans="6:23" s="36" customFormat="1" ht="11.4" x14ac:dyDescent="0.25">
      <c r="F363" s="1"/>
      <c r="G363" s="1"/>
      <c r="K363" s="1"/>
      <c r="W363" s="37"/>
    </row>
    <row r="364" spans="6:23" s="36" customFormat="1" ht="11.4" x14ac:dyDescent="0.25">
      <c r="F364" s="1"/>
      <c r="G364" s="1"/>
      <c r="K364" s="1"/>
      <c r="W364" s="37"/>
    </row>
    <row r="365" spans="6:23" s="36" customFormat="1" ht="11.4" x14ac:dyDescent="0.25">
      <c r="F365" s="1"/>
      <c r="G365" s="1"/>
      <c r="K365" s="1"/>
      <c r="W365" s="37"/>
    </row>
    <row r="366" spans="6:23" s="36" customFormat="1" ht="11.4" x14ac:dyDescent="0.25">
      <c r="F366" s="1"/>
      <c r="G366" s="1"/>
      <c r="K366" s="1"/>
      <c r="W366" s="37"/>
    </row>
    <row r="367" spans="6:23" s="36" customFormat="1" ht="11.4" x14ac:dyDescent="0.25">
      <c r="F367" s="1"/>
      <c r="G367" s="1"/>
      <c r="K367" s="1"/>
      <c r="W367" s="37"/>
    </row>
    <row r="368" spans="6:23" s="36" customFormat="1" ht="11.4" x14ac:dyDescent="0.25">
      <c r="F368" s="1"/>
      <c r="G368" s="1"/>
      <c r="K368" s="1"/>
      <c r="W368" s="37"/>
    </row>
    <row r="369" spans="6:23" s="36" customFormat="1" ht="11.4" x14ac:dyDescent="0.25">
      <c r="F369" s="1"/>
      <c r="G369" s="1"/>
      <c r="K369" s="1"/>
      <c r="W369" s="37"/>
    </row>
    <row r="370" spans="6:23" s="36" customFormat="1" ht="11.4" x14ac:dyDescent="0.25">
      <c r="F370" s="1"/>
      <c r="G370" s="1"/>
      <c r="K370" s="1"/>
      <c r="W370" s="37"/>
    </row>
    <row r="371" spans="6:23" s="36" customFormat="1" ht="11.4" x14ac:dyDescent="0.25">
      <c r="F371" s="1"/>
      <c r="G371" s="1"/>
      <c r="K371" s="1"/>
      <c r="W371" s="37"/>
    </row>
    <row r="372" spans="6:23" s="36" customFormat="1" ht="11.4" x14ac:dyDescent="0.25">
      <c r="F372" s="1"/>
      <c r="G372" s="1"/>
      <c r="K372" s="1"/>
      <c r="W372" s="37"/>
    </row>
    <row r="373" spans="6:23" s="36" customFormat="1" ht="11.4" x14ac:dyDescent="0.25">
      <c r="F373" s="1"/>
      <c r="G373" s="1"/>
      <c r="K373" s="1"/>
      <c r="W373" s="37"/>
    </row>
    <row r="374" spans="6:23" s="36" customFormat="1" ht="11.4" x14ac:dyDescent="0.25">
      <c r="F374" s="1"/>
      <c r="G374" s="1"/>
      <c r="K374" s="1"/>
      <c r="W374" s="37"/>
    </row>
    <row r="375" spans="6:23" s="36" customFormat="1" ht="11.4" x14ac:dyDescent="0.25">
      <c r="F375" s="1"/>
      <c r="G375" s="1"/>
      <c r="K375" s="1"/>
      <c r="W375" s="37"/>
    </row>
    <row r="376" spans="6:23" s="36" customFormat="1" ht="11.4" x14ac:dyDescent="0.25">
      <c r="F376" s="1"/>
      <c r="G376" s="1"/>
      <c r="K376" s="1"/>
      <c r="W376" s="37"/>
    </row>
    <row r="377" spans="6:23" s="36" customFormat="1" ht="11.4" x14ac:dyDescent="0.25">
      <c r="F377" s="1"/>
      <c r="G377" s="1"/>
      <c r="K377" s="1"/>
      <c r="W377" s="37"/>
    </row>
    <row r="378" spans="6:23" s="36" customFormat="1" ht="11.4" x14ac:dyDescent="0.25">
      <c r="F378" s="1"/>
      <c r="G378" s="1"/>
      <c r="K378" s="1"/>
      <c r="W378" s="37"/>
    </row>
    <row r="379" spans="6:23" s="36" customFormat="1" ht="11.4" x14ac:dyDescent="0.25">
      <c r="F379" s="1"/>
      <c r="G379" s="1"/>
      <c r="K379" s="1"/>
      <c r="W379" s="37"/>
    </row>
    <row r="380" spans="6:23" s="36" customFormat="1" ht="11.4" x14ac:dyDescent="0.25">
      <c r="F380" s="1"/>
      <c r="G380" s="1"/>
      <c r="K380" s="1"/>
      <c r="W380" s="37"/>
    </row>
    <row r="381" spans="6:23" s="36" customFormat="1" ht="11.4" x14ac:dyDescent="0.25">
      <c r="F381" s="1"/>
      <c r="G381" s="1"/>
      <c r="K381" s="1"/>
      <c r="W381" s="37"/>
    </row>
    <row r="382" spans="6:23" s="36" customFormat="1" ht="11.4" x14ac:dyDescent="0.25">
      <c r="F382" s="1"/>
      <c r="G382" s="1"/>
      <c r="K382" s="1"/>
      <c r="W382" s="37"/>
    </row>
    <row r="383" spans="6:23" s="36" customFormat="1" ht="11.4" x14ac:dyDescent="0.25">
      <c r="F383" s="1"/>
      <c r="G383" s="1"/>
      <c r="K383" s="1"/>
      <c r="W383" s="37"/>
    </row>
    <row r="384" spans="6:23" s="36" customFormat="1" ht="11.4" x14ac:dyDescent="0.25">
      <c r="F384" s="1"/>
      <c r="G384" s="1"/>
      <c r="K384" s="1"/>
      <c r="W384" s="37"/>
    </row>
    <row r="385" spans="6:23" s="36" customFormat="1" ht="11.4" x14ac:dyDescent="0.25">
      <c r="F385" s="1"/>
      <c r="G385" s="1"/>
      <c r="K385" s="1"/>
      <c r="W385" s="37"/>
    </row>
    <row r="386" spans="6:23" s="36" customFormat="1" ht="11.4" x14ac:dyDescent="0.25">
      <c r="F386" s="1"/>
      <c r="G386" s="1"/>
      <c r="K386" s="1"/>
      <c r="W386" s="37"/>
    </row>
    <row r="387" spans="6:23" s="36" customFormat="1" ht="11.4" x14ac:dyDescent="0.25">
      <c r="F387" s="1"/>
      <c r="G387" s="1"/>
      <c r="K387" s="1"/>
      <c r="W387" s="37"/>
    </row>
    <row r="388" spans="6:23" s="36" customFormat="1" ht="11.4" x14ac:dyDescent="0.25">
      <c r="F388" s="1"/>
      <c r="G388" s="1"/>
      <c r="K388" s="1"/>
      <c r="W388" s="37"/>
    </row>
    <row r="389" spans="6:23" s="36" customFormat="1" ht="11.4" x14ac:dyDescent="0.25">
      <c r="F389" s="1"/>
      <c r="G389" s="1"/>
      <c r="K389" s="1"/>
      <c r="W389" s="37"/>
    </row>
    <row r="390" spans="6:23" s="36" customFormat="1" ht="11.4" x14ac:dyDescent="0.25">
      <c r="F390" s="1"/>
      <c r="G390" s="1"/>
      <c r="K390" s="1"/>
      <c r="W390" s="37"/>
    </row>
    <row r="391" spans="6:23" s="36" customFormat="1" ht="11.4" x14ac:dyDescent="0.25">
      <c r="F391" s="1"/>
      <c r="G391" s="1"/>
      <c r="K391" s="1"/>
      <c r="W391" s="37"/>
    </row>
    <row r="392" spans="6:23" s="36" customFormat="1" ht="11.4" x14ac:dyDescent="0.25">
      <c r="F392" s="1"/>
      <c r="G392" s="1"/>
      <c r="K392" s="1"/>
      <c r="W392" s="37"/>
    </row>
    <row r="393" spans="6:23" s="36" customFormat="1" ht="11.4" x14ac:dyDescent="0.25">
      <c r="F393" s="1"/>
      <c r="G393" s="1"/>
      <c r="K393" s="1"/>
      <c r="W393" s="37"/>
    </row>
    <row r="394" spans="6:23" s="36" customFormat="1" ht="11.4" x14ac:dyDescent="0.25">
      <c r="F394" s="1"/>
      <c r="G394" s="1"/>
      <c r="K394" s="1"/>
      <c r="W394" s="37"/>
    </row>
    <row r="395" spans="6:23" s="36" customFormat="1" ht="11.4" x14ac:dyDescent="0.25">
      <c r="F395" s="1"/>
      <c r="G395" s="1"/>
      <c r="K395" s="1"/>
      <c r="W395" s="37"/>
    </row>
    <row r="396" spans="6:23" s="36" customFormat="1" ht="11.4" x14ac:dyDescent="0.25">
      <c r="F396" s="1"/>
      <c r="G396" s="1"/>
      <c r="K396" s="1"/>
      <c r="W396" s="37"/>
    </row>
    <row r="397" spans="6:23" s="36" customFormat="1" ht="11.4" x14ac:dyDescent="0.25">
      <c r="F397" s="1"/>
      <c r="G397" s="1"/>
      <c r="K397" s="1"/>
      <c r="W397" s="37"/>
    </row>
    <row r="398" spans="6:23" s="36" customFormat="1" ht="11.4" x14ac:dyDescent="0.25">
      <c r="F398" s="1"/>
      <c r="G398" s="1"/>
      <c r="K398" s="1"/>
      <c r="W398" s="37"/>
    </row>
    <row r="399" spans="6:23" s="36" customFormat="1" ht="11.4" x14ac:dyDescent="0.25">
      <c r="F399" s="1"/>
      <c r="G399" s="1"/>
      <c r="K399" s="1"/>
      <c r="W399" s="37"/>
    </row>
    <row r="400" spans="6:23" s="36" customFormat="1" ht="11.4" x14ac:dyDescent="0.25">
      <c r="F400" s="1"/>
      <c r="G400" s="1"/>
      <c r="K400" s="1"/>
      <c r="W400" s="37"/>
    </row>
    <row r="401" spans="6:23" s="36" customFormat="1" ht="11.4" x14ac:dyDescent="0.25">
      <c r="F401" s="1"/>
      <c r="G401" s="1"/>
      <c r="K401" s="1"/>
      <c r="W401" s="37"/>
    </row>
    <row r="402" spans="6:23" s="36" customFormat="1" ht="11.4" x14ac:dyDescent="0.25">
      <c r="F402" s="1"/>
      <c r="G402" s="1"/>
      <c r="K402" s="1"/>
      <c r="W402" s="37"/>
    </row>
    <row r="403" spans="6:23" s="36" customFormat="1" ht="11.4" x14ac:dyDescent="0.25">
      <c r="F403" s="1"/>
      <c r="G403" s="1"/>
      <c r="K403" s="1"/>
      <c r="W403" s="37"/>
    </row>
    <row r="404" spans="6:23" s="36" customFormat="1" ht="11.4" x14ac:dyDescent="0.25">
      <c r="F404" s="1"/>
      <c r="G404" s="1"/>
      <c r="K404" s="1"/>
      <c r="W404" s="37"/>
    </row>
    <row r="405" spans="6:23" s="36" customFormat="1" ht="11.4" x14ac:dyDescent="0.25">
      <c r="F405" s="1"/>
      <c r="G405" s="1"/>
      <c r="K405" s="1"/>
      <c r="W405" s="37"/>
    </row>
    <row r="406" spans="6:23" s="36" customFormat="1" ht="11.4" x14ac:dyDescent="0.25">
      <c r="F406" s="1"/>
      <c r="G406" s="1"/>
      <c r="K406" s="1"/>
      <c r="W406" s="37"/>
    </row>
    <row r="407" spans="6:23" s="36" customFormat="1" ht="11.4" x14ac:dyDescent="0.25">
      <c r="F407" s="1"/>
      <c r="G407" s="1"/>
      <c r="K407" s="1"/>
      <c r="W407" s="37"/>
    </row>
    <row r="408" spans="6:23" s="36" customFormat="1" ht="11.4" x14ac:dyDescent="0.25">
      <c r="F408" s="1"/>
      <c r="G408" s="1"/>
      <c r="K408" s="1"/>
      <c r="W408" s="37"/>
    </row>
    <row r="409" spans="6:23" s="36" customFormat="1" ht="11.4" x14ac:dyDescent="0.25">
      <c r="F409" s="1"/>
      <c r="G409" s="1"/>
      <c r="K409" s="1"/>
      <c r="W409" s="37"/>
    </row>
    <row r="410" spans="6:23" s="36" customFormat="1" ht="11.4" x14ac:dyDescent="0.25">
      <c r="F410" s="1"/>
      <c r="G410" s="1"/>
      <c r="K410" s="1"/>
      <c r="W410" s="37"/>
    </row>
    <row r="411" spans="6:23" s="36" customFormat="1" ht="11.4" x14ac:dyDescent="0.25">
      <c r="F411" s="1"/>
      <c r="G411" s="1"/>
      <c r="K411" s="1"/>
      <c r="W411" s="37"/>
    </row>
    <row r="412" spans="6:23" s="36" customFormat="1" ht="11.4" x14ac:dyDescent="0.25">
      <c r="F412" s="1"/>
      <c r="G412" s="1"/>
      <c r="K412" s="1"/>
      <c r="W412" s="37"/>
    </row>
    <row r="413" spans="6:23" s="36" customFormat="1" ht="11.4" x14ac:dyDescent="0.25">
      <c r="F413" s="1"/>
      <c r="G413" s="1"/>
      <c r="K413" s="1"/>
      <c r="W413" s="37"/>
    </row>
    <row r="414" spans="6:23" s="36" customFormat="1" ht="11.4" x14ac:dyDescent="0.25">
      <c r="F414" s="1"/>
      <c r="G414" s="1"/>
      <c r="K414" s="1"/>
      <c r="W414" s="37"/>
    </row>
    <row r="415" spans="6:23" s="36" customFormat="1" ht="11.4" x14ac:dyDescent="0.25">
      <c r="F415" s="1"/>
      <c r="G415" s="1"/>
      <c r="K415" s="1"/>
      <c r="W415" s="37"/>
    </row>
    <row r="416" spans="6:23" s="36" customFormat="1" ht="11.4" x14ac:dyDescent="0.25">
      <c r="F416" s="1"/>
      <c r="G416" s="1"/>
      <c r="K416" s="1"/>
      <c r="W416" s="37"/>
    </row>
    <row r="417" spans="6:23" s="36" customFormat="1" ht="11.4" x14ac:dyDescent="0.25">
      <c r="F417" s="1"/>
      <c r="G417" s="1"/>
      <c r="K417" s="1"/>
      <c r="W417" s="37"/>
    </row>
    <row r="418" spans="6:23" s="36" customFormat="1" ht="11.4" x14ac:dyDescent="0.25">
      <c r="F418" s="1"/>
      <c r="G418" s="1"/>
      <c r="K418" s="1"/>
      <c r="W418" s="37"/>
    </row>
    <row r="419" spans="6:23" s="36" customFormat="1" ht="11.4" x14ac:dyDescent="0.25">
      <c r="F419" s="1"/>
      <c r="G419" s="1"/>
      <c r="K419" s="1"/>
      <c r="W419" s="37"/>
    </row>
    <row r="420" spans="6:23" s="36" customFormat="1" ht="11.4" x14ac:dyDescent="0.25">
      <c r="F420" s="1"/>
      <c r="G420" s="1"/>
      <c r="K420" s="1"/>
      <c r="W420" s="37"/>
    </row>
    <row r="421" spans="6:23" s="36" customFormat="1" ht="11.4" x14ac:dyDescent="0.25">
      <c r="F421" s="1"/>
      <c r="G421" s="1"/>
      <c r="K421" s="1"/>
      <c r="W421" s="37"/>
    </row>
    <row r="422" spans="6:23" s="36" customFormat="1" ht="11.4" x14ac:dyDescent="0.25">
      <c r="F422" s="1"/>
      <c r="G422" s="1"/>
      <c r="K422" s="1"/>
      <c r="W422" s="37"/>
    </row>
    <row r="423" spans="6:23" s="36" customFormat="1" ht="11.4" x14ac:dyDescent="0.25">
      <c r="F423" s="1"/>
      <c r="G423" s="1"/>
      <c r="K423" s="1"/>
      <c r="W423" s="37"/>
    </row>
    <row r="424" spans="6:23" s="36" customFormat="1" ht="11.4" x14ac:dyDescent="0.25">
      <c r="F424" s="1"/>
      <c r="G424" s="1"/>
      <c r="K424" s="1"/>
      <c r="W424" s="37"/>
    </row>
    <row r="425" spans="6:23" s="36" customFormat="1" ht="11.4" x14ac:dyDescent="0.25">
      <c r="F425" s="1"/>
      <c r="G425" s="1"/>
      <c r="K425" s="1"/>
      <c r="W425" s="37"/>
    </row>
    <row r="426" spans="6:23" s="36" customFormat="1" ht="11.4" x14ac:dyDescent="0.25">
      <c r="F426" s="1"/>
      <c r="G426" s="1"/>
      <c r="K426" s="1"/>
      <c r="W426" s="37"/>
    </row>
    <row r="427" spans="6:23" s="36" customFormat="1" ht="11.4" x14ac:dyDescent="0.25">
      <c r="F427" s="1"/>
      <c r="G427" s="1"/>
      <c r="K427" s="1"/>
      <c r="W427" s="37"/>
    </row>
    <row r="428" spans="6:23" s="36" customFormat="1" ht="11.4" x14ac:dyDescent="0.25">
      <c r="F428" s="1"/>
      <c r="G428" s="1"/>
      <c r="K428" s="1"/>
      <c r="W428" s="37"/>
    </row>
    <row r="429" spans="6:23" s="36" customFormat="1" ht="11.4" x14ac:dyDescent="0.25">
      <c r="F429" s="1"/>
      <c r="G429" s="1"/>
      <c r="K429" s="1"/>
      <c r="W429" s="37"/>
    </row>
    <row r="430" spans="6:23" s="36" customFormat="1" ht="11.4" x14ac:dyDescent="0.25">
      <c r="F430" s="1"/>
      <c r="G430" s="1"/>
      <c r="K430" s="1"/>
      <c r="W430" s="37"/>
    </row>
    <row r="431" spans="6:23" s="36" customFormat="1" ht="11.4" x14ac:dyDescent="0.25">
      <c r="F431" s="1"/>
      <c r="G431" s="1"/>
      <c r="K431" s="1"/>
      <c r="W431" s="37"/>
    </row>
    <row r="432" spans="6:23" s="36" customFormat="1" ht="11.4" x14ac:dyDescent="0.25">
      <c r="F432" s="1"/>
      <c r="G432" s="1"/>
      <c r="K432" s="1"/>
      <c r="W432" s="37"/>
    </row>
    <row r="433" spans="6:23" s="36" customFormat="1" ht="11.4" x14ac:dyDescent="0.25">
      <c r="F433" s="1"/>
      <c r="G433" s="1"/>
      <c r="K433" s="1"/>
      <c r="W433" s="37"/>
    </row>
    <row r="434" spans="6:23" s="36" customFormat="1" ht="11.4" x14ac:dyDescent="0.25">
      <c r="F434" s="1"/>
      <c r="G434" s="1"/>
      <c r="K434" s="1"/>
      <c r="W434" s="37"/>
    </row>
    <row r="435" spans="6:23" s="36" customFormat="1" ht="11.4" x14ac:dyDescent="0.25">
      <c r="F435" s="1"/>
      <c r="G435" s="1"/>
      <c r="K435" s="1"/>
      <c r="W435" s="37"/>
    </row>
    <row r="436" spans="6:23" s="36" customFormat="1" ht="11.4" x14ac:dyDescent="0.25">
      <c r="F436" s="1"/>
      <c r="G436" s="1"/>
      <c r="K436" s="1"/>
      <c r="W436" s="37"/>
    </row>
    <row r="437" spans="6:23" s="36" customFormat="1" ht="11.4" x14ac:dyDescent="0.25">
      <c r="F437" s="1"/>
      <c r="G437" s="1"/>
      <c r="K437" s="1"/>
      <c r="W437" s="37"/>
    </row>
    <row r="438" spans="6:23" s="36" customFormat="1" ht="11.4" x14ac:dyDescent="0.25">
      <c r="F438" s="1"/>
      <c r="G438" s="1"/>
      <c r="K438" s="1"/>
      <c r="W438" s="37"/>
    </row>
    <row r="439" spans="6:23" s="36" customFormat="1" ht="11.4" x14ac:dyDescent="0.25">
      <c r="F439" s="1"/>
      <c r="G439" s="1"/>
      <c r="K439" s="1"/>
      <c r="W439" s="37"/>
    </row>
    <row r="440" spans="6:23" s="36" customFormat="1" ht="11.4" x14ac:dyDescent="0.25">
      <c r="F440" s="1"/>
      <c r="G440" s="1"/>
      <c r="K440" s="1"/>
      <c r="W440" s="37"/>
    </row>
    <row r="441" spans="6:23" s="36" customFormat="1" ht="11.4" x14ac:dyDescent="0.25">
      <c r="F441" s="1"/>
      <c r="G441" s="1"/>
      <c r="K441" s="1"/>
      <c r="W441" s="37"/>
    </row>
    <row r="442" spans="6:23" s="36" customFormat="1" ht="11.4" x14ac:dyDescent="0.25">
      <c r="F442" s="1"/>
      <c r="G442" s="1"/>
      <c r="K442" s="1"/>
      <c r="W442" s="37"/>
    </row>
    <row r="443" spans="6:23" s="36" customFormat="1" ht="11.4" x14ac:dyDescent="0.25">
      <c r="F443" s="1"/>
      <c r="G443" s="1"/>
      <c r="K443" s="1"/>
      <c r="W443" s="37"/>
    </row>
    <row r="444" spans="6:23" s="36" customFormat="1" ht="11.4" x14ac:dyDescent="0.25">
      <c r="F444" s="1"/>
      <c r="G444" s="1"/>
      <c r="K444" s="1"/>
      <c r="W444" s="37"/>
    </row>
    <row r="445" spans="6:23" s="36" customFormat="1" ht="11.4" x14ac:dyDescent="0.25">
      <c r="F445" s="1"/>
      <c r="G445" s="1"/>
      <c r="K445" s="1"/>
      <c r="W445" s="37"/>
    </row>
    <row r="446" spans="6:23" s="36" customFormat="1" ht="11.4" x14ac:dyDescent="0.25">
      <c r="F446" s="1"/>
      <c r="G446" s="1"/>
      <c r="K446" s="1"/>
      <c r="W446" s="37"/>
    </row>
    <row r="447" spans="6:23" s="36" customFormat="1" ht="11.4" x14ac:dyDescent="0.25">
      <c r="F447" s="1"/>
      <c r="G447" s="1"/>
      <c r="K447" s="1"/>
      <c r="W447" s="37"/>
    </row>
    <row r="448" spans="6:23" s="36" customFormat="1" ht="11.4" x14ac:dyDescent="0.25">
      <c r="F448" s="1"/>
      <c r="G448" s="1"/>
      <c r="K448" s="1"/>
      <c r="W448" s="37"/>
    </row>
    <row r="449" spans="6:23" s="36" customFormat="1" ht="11.4" x14ac:dyDescent="0.25">
      <c r="F449" s="1"/>
      <c r="G449" s="1"/>
      <c r="K449" s="1"/>
      <c r="W449" s="37"/>
    </row>
    <row r="450" spans="6:23" s="36" customFormat="1" ht="11.4" x14ac:dyDescent="0.25">
      <c r="F450" s="1"/>
      <c r="G450" s="1"/>
      <c r="K450" s="1"/>
      <c r="W450" s="37"/>
    </row>
    <row r="451" spans="6:23" s="36" customFormat="1" ht="11.4" x14ac:dyDescent="0.25">
      <c r="F451" s="1"/>
      <c r="G451" s="1"/>
      <c r="K451" s="1"/>
      <c r="W451" s="37"/>
    </row>
    <row r="452" spans="6:23" s="36" customFormat="1" ht="11.4" x14ac:dyDescent="0.25">
      <c r="F452" s="1"/>
      <c r="G452" s="1"/>
      <c r="K452" s="1"/>
      <c r="W452" s="37"/>
    </row>
    <row r="453" spans="6:23" s="36" customFormat="1" ht="11.4" x14ac:dyDescent="0.25">
      <c r="F453" s="1"/>
      <c r="G453" s="1"/>
      <c r="K453" s="1"/>
      <c r="W453" s="37"/>
    </row>
    <row r="454" spans="6:23" s="36" customFormat="1" ht="11.4" x14ac:dyDescent="0.25">
      <c r="F454" s="1"/>
      <c r="G454" s="1"/>
      <c r="K454" s="1"/>
      <c r="W454" s="37"/>
    </row>
    <row r="455" spans="6:23" s="36" customFormat="1" ht="11.4" x14ac:dyDescent="0.25">
      <c r="F455" s="1"/>
      <c r="G455" s="1"/>
      <c r="K455" s="1"/>
      <c r="W455" s="37"/>
    </row>
    <row r="456" spans="6:23" s="36" customFormat="1" ht="11.4" x14ac:dyDescent="0.25">
      <c r="F456" s="1"/>
      <c r="G456" s="1"/>
      <c r="K456" s="1"/>
      <c r="W456" s="37"/>
    </row>
    <row r="457" spans="6:23" s="36" customFormat="1" ht="11.4" x14ac:dyDescent="0.25">
      <c r="F457" s="1"/>
      <c r="G457" s="1"/>
      <c r="K457" s="1"/>
      <c r="W457" s="37"/>
    </row>
    <row r="458" spans="6:23" s="36" customFormat="1" ht="11.4" x14ac:dyDescent="0.25">
      <c r="F458" s="1"/>
      <c r="G458" s="1"/>
      <c r="K458" s="1"/>
      <c r="W458" s="37"/>
    </row>
    <row r="459" spans="6:23" s="36" customFormat="1" ht="11.4" x14ac:dyDescent="0.25">
      <c r="F459" s="1"/>
      <c r="G459" s="1"/>
      <c r="K459" s="1"/>
      <c r="W459" s="37"/>
    </row>
    <row r="460" spans="6:23" s="36" customFormat="1" ht="11.4" x14ac:dyDescent="0.25">
      <c r="F460" s="1"/>
      <c r="G460" s="1"/>
      <c r="K460" s="1"/>
      <c r="W460" s="37"/>
    </row>
    <row r="461" spans="6:23" s="36" customFormat="1" ht="11.4" x14ac:dyDescent="0.25">
      <c r="F461" s="1"/>
      <c r="G461" s="1"/>
      <c r="K461" s="1"/>
      <c r="W461" s="37"/>
    </row>
    <row r="462" spans="6:23" s="36" customFormat="1" ht="11.4" x14ac:dyDescent="0.25">
      <c r="F462" s="1"/>
      <c r="G462" s="1"/>
      <c r="K462" s="1"/>
      <c r="W462" s="37"/>
    </row>
    <row r="463" spans="6:23" s="36" customFormat="1" ht="11.4" x14ac:dyDescent="0.25">
      <c r="F463" s="1"/>
      <c r="G463" s="1"/>
      <c r="K463" s="1"/>
      <c r="W463" s="37"/>
    </row>
    <row r="464" spans="6:23" s="36" customFormat="1" ht="11.4" x14ac:dyDescent="0.25">
      <c r="F464" s="1"/>
      <c r="G464" s="1"/>
      <c r="K464" s="1"/>
      <c r="W464" s="37"/>
    </row>
    <row r="465" spans="6:23" s="36" customFormat="1" ht="11.4" x14ac:dyDescent="0.25">
      <c r="F465" s="1"/>
      <c r="G465" s="1"/>
      <c r="K465" s="1"/>
      <c r="W465" s="37"/>
    </row>
    <row r="466" spans="6:23" s="36" customFormat="1" ht="11.4" x14ac:dyDescent="0.25">
      <c r="F466" s="1"/>
      <c r="G466" s="1"/>
      <c r="K466" s="1"/>
      <c r="W466" s="37"/>
    </row>
    <row r="467" spans="6:23" s="36" customFormat="1" ht="11.4" x14ac:dyDescent="0.25">
      <c r="F467" s="1"/>
      <c r="G467" s="1"/>
      <c r="K467" s="1"/>
      <c r="W467" s="37"/>
    </row>
    <row r="468" spans="6:23" s="36" customFormat="1" ht="11.4" x14ac:dyDescent="0.25">
      <c r="F468" s="1"/>
      <c r="G468" s="1"/>
      <c r="K468" s="1"/>
      <c r="W468" s="37"/>
    </row>
    <row r="469" spans="6:23" s="36" customFormat="1" ht="11.4" x14ac:dyDescent="0.25">
      <c r="F469" s="1"/>
      <c r="G469" s="1"/>
      <c r="K469" s="1"/>
      <c r="W469" s="37"/>
    </row>
    <row r="470" spans="6:23" s="36" customFormat="1" ht="11.4" x14ac:dyDescent="0.25">
      <c r="F470" s="1"/>
      <c r="G470" s="1"/>
      <c r="K470" s="1"/>
      <c r="W470" s="37"/>
    </row>
    <row r="471" spans="6:23" s="36" customFormat="1" ht="11.4" x14ac:dyDescent="0.25">
      <c r="F471" s="1"/>
      <c r="G471" s="1"/>
      <c r="K471" s="1"/>
      <c r="W471" s="37"/>
    </row>
    <row r="472" spans="6:23" s="36" customFormat="1" ht="11.4" x14ac:dyDescent="0.25">
      <c r="F472" s="1"/>
      <c r="G472" s="1"/>
      <c r="K472" s="1"/>
      <c r="W472" s="37"/>
    </row>
    <row r="473" spans="6:23" s="36" customFormat="1" ht="11.4" x14ac:dyDescent="0.25">
      <c r="F473" s="1"/>
      <c r="G473" s="1"/>
      <c r="K473" s="1"/>
      <c r="W473" s="37"/>
    </row>
    <row r="474" spans="6:23" s="36" customFormat="1" ht="11.4" x14ac:dyDescent="0.25">
      <c r="F474" s="1"/>
      <c r="G474" s="1"/>
      <c r="K474" s="1"/>
      <c r="W474" s="37"/>
    </row>
    <row r="475" spans="6:23" s="36" customFormat="1" ht="11.4" x14ac:dyDescent="0.25">
      <c r="F475" s="1"/>
      <c r="G475" s="1"/>
      <c r="K475" s="1"/>
      <c r="W475" s="37"/>
    </row>
    <row r="476" spans="6:23" s="36" customFormat="1" ht="11.4" x14ac:dyDescent="0.25">
      <c r="F476" s="1"/>
      <c r="G476" s="1"/>
      <c r="K476" s="1"/>
      <c r="W476" s="37"/>
    </row>
    <row r="477" spans="6:23" s="36" customFormat="1" ht="11.4" x14ac:dyDescent="0.25">
      <c r="F477" s="1"/>
      <c r="G477" s="1"/>
      <c r="K477" s="1"/>
      <c r="W477" s="37"/>
    </row>
    <row r="478" spans="6:23" s="36" customFormat="1" ht="11.4" x14ac:dyDescent="0.25">
      <c r="F478" s="1"/>
      <c r="G478" s="1"/>
      <c r="K478" s="1"/>
      <c r="W478" s="37"/>
    </row>
    <row r="479" spans="6:23" s="36" customFormat="1" ht="11.4" x14ac:dyDescent="0.25">
      <c r="F479" s="1"/>
      <c r="G479" s="1"/>
      <c r="K479" s="1"/>
      <c r="W479" s="37"/>
    </row>
    <row r="480" spans="6:23" s="36" customFormat="1" ht="11.4" x14ac:dyDescent="0.25">
      <c r="F480" s="1"/>
      <c r="G480" s="1"/>
      <c r="K480" s="1"/>
      <c r="W480" s="37"/>
    </row>
    <row r="481" spans="6:23" s="36" customFormat="1" ht="11.4" x14ac:dyDescent="0.25">
      <c r="F481" s="1"/>
      <c r="G481" s="1"/>
      <c r="K481" s="1"/>
      <c r="W481" s="37"/>
    </row>
    <row r="482" spans="6:23" s="36" customFormat="1" ht="11.4" x14ac:dyDescent="0.25">
      <c r="F482" s="1"/>
      <c r="G482" s="1"/>
      <c r="K482" s="1"/>
      <c r="W482" s="37"/>
    </row>
    <row r="483" spans="6:23" s="36" customFormat="1" ht="11.4" x14ac:dyDescent="0.25">
      <c r="F483" s="1"/>
      <c r="G483" s="1"/>
      <c r="K483" s="1"/>
      <c r="W483" s="37"/>
    </row>
    <row r="484" spans="6:23" s="36" customFormat="1" ht="11.4" x14ac:dyDescent="0.25">
      <c r="F484" s="1"/>
      <c r="G484" s="1"/>
      <c r="K484" s="1"/>
      <c r="W484" s="37"/>
    </row>
    <row r="485" spans="6:23" s="36" customFormat="1" ht="11.4" x14ac:dyDescent="0.25">
      <c r="F485" s="1"/>
      <c r="G485" s="1"/>
      <c r="K485" s="1"/>
      <c r="W485" s="37"/>
    </row>
    <row r="486" spans="6:23" s="36" customFormat="1" ht="11.4" x14ac:dyDescent="0.25">
      <c r="F486" s="1"/>
      <c r="G486" s="1"/>
      <c r="K486" s="1"/>
      <c r="W486" s="37"/>
    </row>
    <row r="487" spans="6:23" s="36" customFormat="1" ht="11.4" x14ac:dyDescent="0.25">
      <c r="F487" s="1"/>
      <c r="G487" s="1"/>
      <c r="K487" s="1"/>
      <c r="W487" s="37"/>
    </row>
    <row r="488" spans="6:23" s="36" customFormat="1" ht="11.4" x14ac:dyDescent="0.25">
      <c r="F488" s="1"/>
      <c r="G488" s="1"/>
      <c r="K488" s="1"/>
      <c r="W488" s="37"/>
    </row>
    <row r="489" spans="6:23" s="36" customFormat="1" ht="11.4" x14ac:dyDescent="0.25">
      <c r="F489" s="1"/>
      <c r="G489" s="1"/>
      <c r="K489" s="1"/>
      <c r="W489" s="37"/>
    </row>
    <row r="490" spans="6:23" s="36" customFormat="1" ht="11.4" x14ac:dyDescent="0.25">
      <c r="F490" s="1"/>
      <c r="G490" s="1"/>
      <c r="K490" s="1"/>
      <c r="W490" s="37"/>
    </row>
    <row r="491" spans="6:23" s="36" customFormat="1" ht="11.4" x14ac:dyDescent="0.25">
      <c r="F491" s="1"/>
      <c r="G491" s="1"/>
      <c r="K491" s="1"/>
      <c r="W491" s="37"/>
    </row>
    <row r="492" spans="6:23" s="36" customFormat="1" ht="11.4" x14ac:dyDescent="0.25">
      <c r="F492" s="1"/>
      <c r="G492" s="1"/>
      <c r="K492" s="1"/>
      <c r="W492" s="37"/>
    </row>
    <row r="493" spans="6:23" s="36" customFormat="1" ht="11.4" x14ac:dyDescent="0.25">
      <c r="F493" s="1"/>
      <c r="G493" s="1"/>
      <c r="K493" s="1"/>
      <c r="W493" s="37"/>
    </row>
    <row r="494" spans="6:23" s="36" customFormat="1" ht="11.4" x14ac:dyDescent="0.25">
      <c r="F494" s="1"/>
      <c r="G494" s="1"/>
      <c r="K494" s="1"/>
      <c r="W494" s="37"/>
    </row>
    <row r="495" spans="6:23" s="36" customFormat="1" ht="11.4" x14ac:dyDescent="0.25">
      <c r="F495" s="1"/>
      <c r="G495" s="1"/>
      <c r="K495" s="1"/>
      <c r="W495" s="37"/>
    </row>
    <row r="496" spans="6:23" s="36" customFormat="1" ht="11.4" x14ac:dyDescent="0.25">
      <c r="F496" s="1"/>
      <c r="G496" s="1"/>
      <c r="K496" s="1"/>
      <c r="W496" s="37"/>
    </row>
    <row r="497" spans="6:23" s="36" customFormat="1" ht="11.4" x14ac:dyDescent="0.25">
      <c r="F497" s="1"/>
      <c r="G497" s="1"/>
      <c r="K497" s="1"/>
      <c r="W497" s="37"/>
    </row>
    <row r="498" spans="6:23" s="36" customFormat="1" ht="11.4" x14ac:dyDescent="0.25">
      <c r="F498" s="1"/>
      <c r="G498" s="1"/>
      <c r="K498" s="1"/>
      <c r="W498" s="37"/>
    </row>
    <row r="499" spans="6:23" s="36" customFormat="1" ht="11.4" x14ac:dyDescent="0.25">
      <c r="F499" s="1"/>
      <c r="G499" s="1"/>
      <c r="K499" s="1"/>
      <c r="W499" s="37"/>
    </row>
    <row r="500" spans="6:23" s="36" customFormat="1" ht="11.4" x14ac:dyDescent="0.25">
      <c r="F500" s="1"/>
      <c r="G500" s="1"/>
      <c r="K500" s="1"/>
      <c r="W500" s="37"/>
    </row>
    <row r="501" spans="6:23" s="36" customFormat="1" ht="11.4" x14ac:dyDescent="0.25">
      <c r="F501" s="1"/>
      <c r="G501" s="1"/>
      <c r="K501" s="1"/>
      <c r="W501" s="37"/>
    </row>
    <row r="502" spans="6:23" s="36" customFormat="1" ht="11.4" x14ac:dyDescent="0.25">
      <c r="F502" s="1"/>
      <c r="G502" s="1"/>
      <c r="K502" s="1"/>
      <c r="W502" s="37"/>
    </row>
    <row r="503" spans="6:23" s="36" customFormat="1" ht="11.4" x14ac:dyDescent="0.25">
      <c r="F503" s="1"/>
      <c r="G503" s="1"/>
      <c r="K503" s="1"/>
      <c r="W503" s="37"/>
    </row>
    <row r="504" spans="6:23" s="36" customFormat="1" ht="11.4" x14ac:dyDescent="0.25">
      <c r="F504" s="1"/>
      <c r="G504" s="1"/>
      <c r="K504" s="1"/>
      <c r="W504" s="37"/>
    </row>
    <row r="505" spans="6:23" s="36" customFormat="1" ht="11.4" x14ac:dyDescent="0.25">
      <c r="F505" s="1"/>
      <c r="G505" s="1"/>
      <c r="K505" s="1"/>
      <c r="W505" s="37"/>
    </row>
    <row r="506" spans="6:23" s="36" customFormat="1" ht="11.4" x14ac:dyDescent="0.25">
      <c r="F506" s="1"/>
      <c r="G506" s="1"/>
      <c r="K506" s="1"/>
      <c r="W506" s="37"/>
    </row>
    <row r="507" spans="6:23" s="36" customFormat="1" ht="11.4" x14ac:dyDescent="0.25">
      <c r="F507" s="1"/>
      <c r="G507" s="1"/>
      <c r="K507" s="1"/>
      <c r="W507" s="37"/>
    </row>
    <row r="508" spans="6:23" s="36" customFormat="1" ht="11.4" x14ac:dyDescent="0.25">
      <c r="F508" s="1"/>
      <c r="G508" s="1"/>
      <c r="K508" s="1"/>
      <c r="W508" s="37"/>
    </row>
    <row r="509" spans="6:23" s="36" customFormat="1" ht="11.4" x14ac:dyDescent="0.25">
      <c r="F509" s="1"/>
      <c r="G509" s="1"/>
      <c r="K509" s="1"/>
      <c r="W509" s="37"/>
    </row>
    <row r="510" spans="6:23" s="36" customFormat="1" ht="11.4" x14ac:dyDescent="0.25">
      <c r="F510" s="1"/>
      <c r="G510" s="1"/>
      <c r="K510" s="1"/>
      <c r="W510" s="37"/>
    </row>
    <row r="511" spans="6:23" s="36" customFormat="1" ht="11.4" x14ac:dyDescent="0.25">
      <c r="F511" s="1"/>
      <c r="G511" s="1"/>
      <c r="K511" s="1"/>
      <c r="W511" s="37"/>
    </row>
    <row r="512" spans="6:23" s="36" customFormat="1" ht="11.4" x14ac:dyDescent="0.25">
      <c r="F512" s="1"/>
      <c r="G512" s="1"/>
      <c r="K512" s="1"/>
      <c r="W512" s="37"/>
    </row>
    <row r="513" spans="6:23" s="36" customFormat="1" ht="11.4" x14ac:dyDescent="0.25">
      <c r="F513" s="1"/>
      <c r="G513" s="1"/>
      <c r="K513" s="1"/>
      <c r="W513" s="37"/>
    </row>
    <row r="514" spans="6:23" s="36" customFormat="1" ht="11.4" x14ac:dyDescent="0.25">
      <c r="F514" s="1"/>
      <c r="G514" s="1"/>
      <c r="K514" s="1"/>
      <c r="W514" s="37"/>
    </row>
    <row r="515" spans="6:23" s="36" customFormat="1" ht="11.4" x14ac:dyDescent="0.25">
      <c r="F515" s="1"/>
      <c r="G515" s="1"/>
      <c r="K515" s="1"/>
      <c r="W515" s="37"/>
    </row>
    <row r="516" spans="6:23" s="36" customFormat="1" ht="11.4" x14ac:dyDescent="0.25">
      <c r="F516" s="1"/>
      <c r="G516" s="1"/>
      <c r="K516" s="1"/>
      <c r="W516" s="37"/>
    </row>
    <row r="517" spans="6:23" s="36" customFormat="1" ht="11.4" x14ac:dyDescent="0.25">
      <c r="F517" s="1"/>
      <c r="G517" s="1"/>
      <c r="K517" s="1"/>
      <c r="W517" s="37"/>
    </row>
    <row r="518" spans="6:23" s="36" customFormat="1" ht="11.4" x14ac:dyDescent="0.25">
      <c r="F518" s="1"/>
      <c r="G518" s="1"/>
      <c r="K518" s="1"/>
      <c r="W518" s="37"/>
    </row>
    <row r="519" spans="6:23" s="36" customFormat="1" ht="11.4" x14ac:dyDescent="0.25">
      <c r="F519" s="1"/>
      <c r="G519" s="1"/>
      <c r="K519" s="1"/>
      <c r="W519" s="37"/>
    </row>
    <row r="520" spans="6:23" s="36" customFormat="1" ht="11.4" x14ac:dyDescent="0.25">
      <c r="F520" s="1"/>
      <c r="G520" s="1"/>
      <c r="K520" s="1"/>
      <c r="W520" s="37"/>
    </row>
    <row r="521" spans="6:23" s="36" customFormat="1" ht="11.4" x14ac:dyDescent="0.25">
      <c r="F521" s="1"/>
      <c r="G521" s="1"/>
      <c r="K521" s="1"/>
      <c r="W521" s="37"/>
    </row>
    <row r="522" spans="6:23" s="36" customFormat="1" ht="11.4" x14ac:dyDescent="0.25">
      <c r="F522" s="1"/>
      <c r="G522" s="1"/>
      <c r="K522" s="1"/>
      <c r="W522" s="37"/>
    </row>
    <row r="523" spans="6:23" s="36" customFormat="1" ht="11.4" x14ac:dyDescent="0.25">
      <c r="F523" s="1"/>
      <c r="G523" s="1"/>
      <c r="K523" s="1"/>
      <c r="W523" s="37"/>
    </row>
    <row r="524" spans="6:23" s="36" customFormat="1" ht="11.4" x14ac:dyDescent="0.25">
      <c r="F524" s="1"/>
      <c r="G524" s="1"/>
      <c r="K524" s="1"/>
      <c r="W524" s="37"/>
    </row>
    <row r="525" spans="6:23" s="36" customFormat="1" ht="11.4" x14ac:dyDescent="0.25">
      <c r="F525" s="1"/>
      <c r="G525" s="1"/>
      <c r="K525" s="1"/>
      <c r="W525" s="37"/>
    </row>
    <row r="526" spans="6:23" s="36" customFormat="1" ht="11.4" x14ac:dyDescent="0.25">
      <c r="F526" s="1"/>
      <c r="G526" s="1"/>
      <c r="K526" s="1"/>
      <c r="W526" s="37"/>
    </row>
    <row r="527" spans="6:23" s="36" customFormat="1" ht="11.4" x14ac:dyDescent="0.25">
      <c r="F527" s="1"/>
      <c r="G527" s="1"/>
      <c r="K527" s="1"/>
      <c r="W527" s="37"/>
    </row>
    <row r="528" spans="6:23" s="36" customFormat="1" ht="11.4" x14ac:dyDescent="0.25">
      <c r="F528" s="1"/>
      <c r="G528" s="1"/>
      <c r="K528" s="1"/>
      <c r="W528" s="37"/>
    </row>
    <row r="529" spans="6:23" s="36" customFormat="1" ht="11.4" x14ac:dyDescent="0.25">
      <c r="F529" s="1"/>
      <c r="G529" s="1"/>
      <c r="K529" s="1"/>
      <c r="W529" s="37"/>
    </row>
    <row r="530" spans="6:23" s="36" customFormat="1" ht="11.4" x14ac:dyDescent="0.25">
      <c r="F530" s="1"/>
      <c r="G530" s="1"/>
      <c r="K530" s="1"/>
      <c r="W530" s="37"/>
    </row>
    <row r="531" spans="6:23" s="36" customFormat="1" ht="11.4" x14ac:dyDescent="0.25">
      <c r="F531" s="1"/>
      <c r="G531" s="1"/>
      <c r="K531" s="1"/>
      <c r="W531" s="37"/>
    </row>
    <row r="532" spans="6:23" s="36" customFormat="1" ht="11.4" x14ac:dyDescent="0.25">
      <c r="F532" s="1"/>
      <c r="G532" s="1"/>
      <c r="K532" s="1"/>
      <c r="W532" s="37"/>
    </row>
    <row r="533" spans="6:23" s="36" customFormat="1" ht="11.4" x14ac:dyDescent="0.25">
      <c r="F533" s="1"/>
      <c r="G533" s="1"/>
      <c r="K533" s="1"/>
      <c r="W533" s="37"/>
    </row>
    <row r="534" spans="6:23" s="36" customFormat="1" ht="11.4" x14ac:dyDescent="0.25">
      <c r="F534" s="1"/>
      <c r="G534" s="1"/>
      <c r="K534" s="1"/>
      <c r="W534" s="37"/>
    </row>
    <row r="535" spans="6:23" s="36" customFormat="1" ht="11.4" x14ac:dyDescent="0.25">
      <c r="F535" s="1"/>
      <c r="G535" s="1"/>
      <c r="K535" s="1"/>
      <c r="W535" s="37"/>
    </row>
    <row r="536" spans="6:23" s="36" customFormat="1" ht="11.4" x14ac:dyDescent="0.25">
      <c r="F536" s="1"/>
      <c r="G536" s="1"/>
      <c r="K536" s="1"/>
      <c r="W536" s="37"/>
    </row>
    <row r="537" spans="6:23" s="36" customFormat="1" ht="11.4" x14ac:dyDescent="0.25">
      <c r="F537" s="1"/>
      <c r="G537" s="1"/>
      <c r="K537" s="1"/>
      <c r="W537" s="37"/>
    </row>
    <row r="538" spans="6:23" s="36" customFormat="1" ht="11.4" x14ac:dyDescent="0.25">
      <c r="F538" s="1"/>
      <c r="G538" s="1"/>
      <c r="K538" s="1"/>
      <c r="W538" s="37"/>
    </row>
    <row r="539" spans="6:23" s="36" customFormat="1" ht="11.4" x14ac:dyDescent="0.25">
      <c r="F539" s="1"/>
      <c r="G539" s="1"/>
      <c r="K539" s="1"/>
      <c r="W539" s="37"/>
    </row>
    <row r="540" spans="6:23" s="36" customFormat="1" ht="11.4" x14ac:dyDescent="0.25">
      <c r="F540" s="1"/>
      <c r="G540" s="1"/>
      <c r="K540" s="1"/>
      <c r="W540" s="37"/>
    </row>
    <row r="541" spans="6:23" s="36" customFormat="1" ht="11.4" x14ac:dyDescent="0.25">
      <c r="F541" s="1"/>
      <c r="G541" s="1"/>
      <c r="K541" s="1"/>
      <c r="W541" s="37"/>
    </row>
    <row r="542" spans="6:23" s="36" customFormat="1" ht="11.4" x14ac:dyDescent="0.25">
      <c r="F542" s="1"/>
      <c r="G542" s="1"/>
      <c r="K542" s="1"/>
      <c r="W542" s="37"/>
    </row>
    <row r="543" spans="6:23" s="36" customFormat="1" ht="11.4" x14ac:dyDescent="0.25">
      <c r="F543" s="1"/>
      <c r="G543" s="1"/>
      <c r="K543" s="1"/>
      <c r="W543" s="37"/>
    </row>
    <row r="544" spans="6:23" s="36" customFormat="1" ht="11.4" x14ac:dyDescent="0.25">
      <c r="F544" s="1"/>
      <c r="G544" s="1"/>
      <c r="K544" s="1"/>
      <c r="W544" s="37"/>
    </row>
    <row r="545" spans="6:23" s="36" customFormat="1" ht="11.4" x14ac:dyDescent="0.25">
      <c r="F545" s="1"/>
      <c r="G545" s="1"/>
      <c r="K545" s="1"/>
      <c r="W545" s="37"/>
    </row>
    <row r="546" spans="6:23" s="36" customFormat="1" ht="11.4" x14ac:dyDescent="0.25">
      <c r="F546" s="1"/>
      <c r="G546" s="1"/>
      <c r="K546" s="1"/>
      <c r="W546" s="37"/>
    </row>
    <row r="547" spans="6:23" s="36" customFormat="1" ht="11.4" x14ac:dyDescent="0.25">
      <c r="F547" s="1"/>
      <c r="G547" s="1"/>
      <c r="K547" s="1"/>
      <c r="W547" s="37"/>
    </row>
    <row r="548" spans="6:23" s="36" customFormat="1" ht="11.4" x14ac:dyDescent="0.25">
      <c r="F548" s="1"/>
      <c r="G548" s="1"/>
      <c r="K548" s="1"/>
      <c r="W548" s="37"/>
    </row>
    <row r="549" spans="6:23" s="36" customFormat="1" ht="11.4" x14ac:dyDescent="0.25">
      <c r="F549" s="1"/>
      <c r="G549" s="1"/>
      <c r="K549" s="1"/>
      <c r="W549" s="37"/>
    </row>
    <row r="550" spans="6:23" s="36" customFormat="1" ht="11.4" x14ac:dyDescent="0.25">
      <c r="F550" s="1"/>
      <c r="G550" s="1"/>
      <c r="K550" s="1"/>
      <c r="W550" s="37"/>
    </row>
    <row r="551" spans="6:23" s="36" customFormat="1" ht="11.4" x14ac:dyDescent="0.25">
      <c r="F551" s="1"/>
      <c r="G551" s="1"/>
      <c r="K551" s="1"/>
      <c r="W551" s="37"/>
    </row>
    <row r="552" spans="6:23" s="36" customFormat="1" ht="11.4" x14ac:dyDescent="0.25">
      <c r="F552" s="1"/>
      <c r="G552" s="1"/>
      <c r="K552" s="1"/>
      <c r="W552" s="37"/>
    </row>
    <row r="553" spans="6:23" s="36" customFormat="1" ht="11.4" x14ac:dyDescent="0.25">
      <c r="F553" s="1"/>
      <c r="G553" s="1"/>
      <c r="K553" s="1"/>
      <c r="W553" s="37"/>
    </row>
    <row r="554" spans="6:23" s="36" customFormat="1" ht="11.4" x14ac:dyDescent="0.25">
      <c r="F554" s="1"/>
      <c r="G554" s="1"/>
      <c r="K554" s="1"/>
      <c r="W554" s="37"/>
    </row>
    <row r="555" spans="6:23" s="36" customFormat="1" ht="11.4" x14ac:dyDescent="0.25">
      <c r="F555" s="1"/>
      <c r="G555" s="1"/>
      <c r="K555" s="1"/>
      <c r="W555" s="37"/>
    </row>
    <row r="556" spans="6:23" s="36" customFormat="1" ht="11.4" x14ac:dyDescent="0.25">
      <c r="F556" s="1"/>
      <c r="G556" s="1"/>
      <c r="K556" s="1"/>
      <c r="W556" s="37"/>
    </row>
    <row r="557" spans="6:23" s="36" customFormat="1" ht="11.4" x14ac:dyDescent="0.25">
      <c r="F557" s="1"/>
      <c r="G557" s="1"/>
      <c r="K557" s="1"/>
      <c r="W557" s="37"/>
    </row>
    <row r="558" spans="6:23" s="36" customFormat="1" ht="11.4" x14ac:dyDescent="0.25">
      <c r="F558" s="1"/>
      <c r="G558" s="1"/>
      <c r="K558" s="1"/>
      <c r="W558" s="37"/>
    </row>
    <row r="559" spans="6:23" s="36" customFormat="1" ht="11.4" x14ac:dyDescent="0.25">
      <c r="F559" s="1"/>
      <c r="G559" s="1"/>
      <c r="K559" s="1"/>
      <c r="W559" s="37"/>
    </row>
    <row r="560" spans="6:23" s="36" customFormat="1" ht="11.4" x14ac:dyDescent="0.25">
      <c r="F560" s="1"/>
      <c r="G560" s="1"/>
      <c r="K560" s="1"/>
      <c r="W560" s="37"/>
    </row>
    <row r="561" spans="6:23" s="36" customFormat="1" ht="11.4" x14ac:dyDescent="0.25">
      <c r="F561" s="1"/>
      <c r="G561" s="1"/>
      <c r="K561" s="1"/>
      <c r="W561" s="37"/>
    </row>
    <row r="562" spans="6:23" s="36" customFormat="1" ht="11.4" x14ac:dyDescent="0.25">
      <c r="F562" s="1"/>
      <c r="G562" s="1"/>
      <c r="K562" s="1"/>
      <c r="W562" s="37"/>
    </row>
    <row r="563" spans="6:23" s="36" customFormat="1" ht="11.4" x14ac:dyDescent="0.25">
      <c r="F563" s="1"/>
      <c r="G563" s="1"/>
      <c r="K563" s="1"/>
      <c r="W563" s="37"/>
    </row>
    <row r="564" spans="6:23" s="36" customFormat="1" ht="11.4" x14ac:dyDescent="0.25">
      <c r="F564" s="1"/>
      <c r="G564" s="1"/>
      <c r="K564" s="1"/>
      <c r="W564" s="37"/>
    </row>
    <row r="565" spans="6:23" s="36" customFormat="1" ht="11.4" x14ac:dyDescent="0.25">
      <c r="F565" s="1"/>
      <c r="G565" s="1"/>
      <c r="K565" s="1"/>
      <c r="W565" s="37"/>
    </row>
    <row r="566" spans="6:23" s="36" customFormat="1" ht="11.4" x14ac:dyDescent="0.25">
      <c r="F566" s="1"/>
      <c r="G566" s="1"/>
      <c r="K566" s="1"/>
      <c r="W566" s="37"/>
    </row>
    <row r="567" spans="6:23" s="36" customFormat="1" ht="11.4" x14ac:dyDescent="0.25">
      <c r="F567" s="1"/>
      <c r="G567" s="1"/>
      <c r="K567" s="1"/>
      <c r="W567" s="37"/>
    </row>
    <row r="568" spans="6:23" s="36" customFormat="1" ht="11.4" x14ac:dyDescent="0.25">
      <c r="F568" s="1"/>
      <c r="G568" s="1"/>
      <c r="K568" s="1"/>
      <c r="W568" s="37"/>
    </row>
    <row r="569" spans="6:23" s="36" customFormat="1" ht="11.4" x14ac:dyDescent="0.25">
      <c r="F569" s="1"/>
      <c r="G569" s="1"/>
      <c r="K569" s="1"/>
      <c r="W569" s="37"/>
    </row>
    <row r="570" spans="6:23" s="36" customFormat="1" ht="11.4" x14ac:dyDescent="0.25">
      <c r="F570" s="1"/>
      <c r="G570" s="1"/>
      <c r="K570" s="1"/>
      <c r="W570" s="37"/>
    </row>
    <row r="571" spans="6:23" s="36" customFormat="1" ht="11.4" x14ac:dyDescent="0.25">
      <c r="F571" s="1"/>
      <c r="G571" s="1"/>
      <c r="K571" s="1"/>
      <c r="W571" s="37"/>
    </row>
    <row r="572" spans="6:23" s="36" customFormat="1" ht="11.4" x14ac:dyDescent="0.25">
      <c r="F572" s="1"/>
      <c r="G572" s="1"/>
      <c r="K572" s="1"/>
      <c r="W572" s="37"/>
    </row>
    <row r="573" spans="6:23" s="36" customFormat="1" ht="11.4" x14ac:dyDescent="0.25">
      <c r="F573" s="1"/>
      <c r="G573" s="1"/>
      <c r="K573" s="1"/>
      <c r="W573" s="37"/>
    </row>
    <row r="574" spans="6:23" s="36" customFormat="1" ht="11.4" x14ac:dyDescent="0.25">
      <c r="F574" s="1"/>
      <c r="G574" s="1"/>
      <c r="K574" s="1"/>
      <c r="W574" s="37"/>
    </row>
    <row r="575" spans="6:23" s="36" customFormat="1" ht="11.4" x14ac:dyDescent="0.25">
      <c r="F575" s="1"/>
      <c r="G575" s="1"/>
      <c r="K575" s="1"/>
      <c r="W575" s="37"/>
    </row>
    <row r="576" spans="6:23" s="36" customFormat="1" ht="11.4" x14ac:dyDescent="0.25">
      <c r="F576" s="1"/>
      <c r="G576" s="1"/>
      <c r="K576" s="1"/>
      <c r="W576" s="37"/>
    </row>
    <row r="577" spans="6:23" s="36" customFormat="1" ht="11.4" x14ac:dyDescent="0.25">
      <c r="F577" s="1"/>
      <c r="G577" s="1"/>
      <c r="K577" s="1"/>
      <c r="W577" s="37"/>
    </row>
    <row r="578" spans="6:23" s="36" customFormat="1" ht="11.4" x14ac:dyDescent="0.25">
      <c r="F578" s="1"/>
      <c r="G578" s="1"/>
      <c r="K578" s="1"/>
      <c r="W578" s="37"/>
    </row>
    <row r="579" spans="6:23" s="36" customFormat="1" ht="11.4" x14ac:dyDescent="0.25">
      <c r="F579" s="1"/>
      <c r="G579" s="1"/>
      <c r="K579" s="1"/>
      <c r="W579" s="37"/>
    </row>
    <row r="580" spans="6:23" s="36" customFormat="1" ht="11.4" x14ac:dyDescent="0.25">
      <c r="F580" s="1"/>
      <c r="G580" s="1"/>
      <c r="K580" s="1"/>
      <c r="W580" s="37"/>
    </row>
    <row r="581" spans="6:23" s="36" customFormat="1" ht="11.4" x14ac:dyDescent="0.25">
      <c r="F581" s="1"/>
      <c r="G581" s="1"/>
      <c r="K581" s="1"/>
      <c r="W581" s="37"/>
    </row>
    <row r="582" spans="6:23" s="36" customFormat="1" ht="11.4" x14ac:dyDescent="0.25">
      <c r="F582" s="1"/>
      <c r="G582" s="1"/>
      <c r="K582" s="1"/>
      <c r="W582" s="37"/>
    </row>
    <row r="583" spans="6:23" s="36" customFormat="1" ht="11.4" x14ac:dyDescent="0.25">
      <c r="F583" s="1"/>
      <c r="G583" s="1"/>
      <c r="K583" s="1"/>
      <c r="W583" s="37"/>
    </row>
    <row r="584" spans="6:23" s="36" customFormat="1" ht="11.4" x14ac:dyDescent="0.25">
      <c r="F584" s="1"/>
      <c r="G584" s="1"/>
      <c r="K584" s="1"/>
      <c r="W584" s="37"/>
    </row>
    <row r="585" spans="6:23" s="36" customFormat="1" ht="11.4" x14ac:dyDescent="0.25">
      <c r="F585" s="1"/>
      <c r="G585" s="1"/>
      <c r="K585" s="1"/>
      <c r="W585" s="37"/>
    </row>
    <row r="586" spans="6:23" s="36" customFormat="1" ht="11.4" x14ac:dyDescent="0.25">
      <c r="F586" s="1"/>
      <c r="G586" s="1"/>
      <c r="K586" s="1"/>
      <c r="W586" s="37"/>
    </row>
    <row r="587" spans="6:23" s="36" customFormat="1" ht="11.4" x14ac:dyDescent="0.25">
      <c r="F587" s="1"/>
      <c r="G587" s="1"/>
      <c r="K587" s="1"/>
      <c r="W587" s="37"/>
    </row>
    <row r="588" spans="6:23" s="36" customFormat="1" ht="11.4" x14ac:dyDescent="0.25">
      <c r="F588" s="1"/>
      <c r="G588" s="1"/>
      <c r="K588" s="1"/>
      <c r="W588" s="37"/>
    </row>
    <row r="589" spans="6:23" s="36" customFormat="1" ht="11.4" x14ac:dyDescent="0.25">
      <c r="F589" s="1"/>
      <c r="G589" s="1"/>
      <c r="K589" s="1"/>
      <c r="W589" s="37"/>
    </row>
    <row r="590" spans="6:23" s="36" customFormat="1" ht="11.4" x14ac:dyDescent="0.25">
      <c r="F590" s="1"/>
      <c r="G590" s="1"/>
      <c r="K590" s="1"/>
      <c r="W590" s="37"/>
    </row>
    <row r="591" spans="6:23" s="36" customFormat="1" ht="11.4" x14ac:dyDescent="0.25">
      <c r="F591" s="1"/>
      <c r="G591" s="1"/>
      <c r="K591" s="1"/>
      <c r="W591" s="37"/>
    </row>
    <row r="592" spans="6:23" s="36" customFormat="1" ht="11.4" x14ac:dyDescent="0.25">
      <c r="F592" s="1"/>
      <c r="G592" s="1"/>
      <c r="K592" s="1"/>
      <c r="W592" s="37"/>
    </row>
    <row r="593" spans="6:23" s="36" customFormat="1" ht="11.4" x14ac:dyDescent="0.25">
      <c r="F593" s="1"/>
      <c r="G593" s="1"/>
      <c r="K593" s="1"/>
      <c r="W593" s="37"/>
    </row>
    <row r="594" spans="6:23" s="36" customFormat="1" ht="11.4" x14ac:dyDescent="0.25">
      <c r="F594" s="1"/>
      <c r="G594" s="1"/>
      <c r="K594" s="1"/>
      <c r="W594" s="37"/>
    </row>
    <row r="595" spans="6:23" s="36" customFormat="1" ht="11.4" x14ac:dyDescent="0.25">
      <c r="F595" s="1"/>
      <c r="G595" s="1"/>
      <c r="K595" s="1"/>
      <c r="W595" s="37"/>
    </row>
    <row r="596" spans="6:23" s="36" customFormat="1" ht="11.4" x14ac:dyDescent="0.25">
      <c r="F596" s="1"/>
      <c r="G596" s="1"/>
      <c r="K596" s="1"/>
      <c r="W596" s="37"/>
    </row>
    <row r="597" spans="6:23" s="36" customFormat="1" ht="11.4" x14ac:dyDescent="0.25">
      <c r="F597" s="1"/>
      <c r="G597" s="1"/>
      <c r="K597" s="1"/>
      <c r="W597" s="37"/>
    </row>
    <row r="598" spans="6:23" s="36" customFormat="1" ht="11.4" x14ac:dyDescent="0.25">
      <c r="F598" s="1"/>
      <c r="G598" s="1"/>
      <c r="K598" s="1"/>
      <c r="W598" s="37"/>
    </row>
    <row r="599" spans="6:23" s="36" customFormat="1" ht="11.4" x14ac:dyDescent="0.25">
      <c r="F599" s="1"/>
      <c r="G599" s="1"/>
      <c r="K599" s="1"/>
      <c r="W599" s="37"/>
    </row>
    <row r="600" spans="6:23" s="36" customFormat="1" ht="11.4" x14ac:dyDescent="0.25">
      <c r="F600" s="1"/>
      <c r="G600" s="1"/>
      <c r="K600" s="1"/>
      <c r="W600" s="37"/>
    </row>
    <row r="601" spans="6:23" s="36" customFormat="1" ht="11.4" x14ac:dyDescent="0.25">
      <c r="F601" s="1"/>
      <c r="G601" s="1"/>
      <c r="K601" s="1"/>
      <c r="W601" s="37"/>
    </row>
    <row r="602" spans="6:23" s="36" customFormat="1" ht="11.4" x14ac:dyDescent="0.25">
      <c r="F602" s="1"/>
      <c r="G602" s="1"/>
      <c r="K602" s="1"/>
      <c r="W602" s="37"/>
    </row>
    <row r="603" spans="6:23" s="36" customFormat="1" ht="11.4" x14ac:dyDescent="0.25">
      <c r="F603" s="1"/>
      <c r="G603" s="1"/>
      <c r="K603" s="1"/>
      <c r="W603" s="37"/>
    </row>
    <row r="604" spans="6:23" s="36" customFormat="1" ht="11.4" x14ac:dyDescent="0.25">
      <c r="F604" s="1"/>
      <c r="G604" s="1"/>
      <c r="K604" s="1"/>
      <c r="W604" s="37"/>
    </row>
    <row r="605" spans="6:23" s="36" customFormat="1" ht="11.4" x14ac:dyDescent="0.25">
      <c r="F605" s="1"/>
      <c r="G605" s="1"/>
      <c r="K605" s="1"/>
      <c r="W605" s="37"/>
    </row>
    <row r="606" spans="6:23" s="36" customFormat="1" ht="11.4" x14ac:dyDescent="0.25">
      <c r="F606" s="1"/>
      <c r="G606" s="1"/>
      <c r="K606" s="1"/>
      <c r="W606" s="37"/>
    </row>
    <row r="607" spans="6:23" s="36" customFormat="1" ht="11.4" x14ac:dyDescent="0.25">
      <c r="F607" s="1"/>
      <c r="G607" s="1"/>
      <c r="K607" s="1"/>
      <c r="W607" s="37"/>
    </row>
    <row r="608" spans="6:23" s="36" customFormat="1" ht="11.4" x14ac:dyDescent="0.25">
      <c r="F608" s="1"/>
      <c r="G608" s="1"/>
      <c r="K608" s="1"/>
      <c r="W608" s="37"/>
    </row>
    <row r="609" spans="6:23" s="36" customFormat="1" ht="11.4" x14ac:dyDescent="0.25">
      <c r="F609" s="1"/>
      <c r="G609" s="1"/>
      <c r="K609" s="1"/>
      <c r="W609" s="37"/>
    </row>
    <row r="610" spans="6:23" s="36" customFormat="1" ht="11.4" x14ac:dyDescent="0.25">
      <c r="F610" s="1"/>
      <c r="G610" s="1"/>
      <c r="K610" s="1"/>
      <c r="W610" s="37"/>
    </row>
    <row r="611" spans="6:23" s="36" customFormat="1" ht="11.4" x14ac:dyDescent="0.25">
      <c r="F611" s="1"/>
      <c r="G611" s="1"/>
      <c r="K611" s="1"/>
      <c r="W611" s="37"/>
    </row>
    <row r="612" spans="6:23" s="36" customFormat="1" ht="11.4" x14ac:dyDescent="0.25">
      <c r="F612" s="1"/>
      <c r="G612" s="1"/>
      <c r="K612" s="1"/>
      <c r="W612" s="37"/>
    </row>
    <row r="613" spans="6:23" s="36" customFormat="1" ht="11.4" x14ac:dyDescent="0.25">
      <c r="F613" s="1"/>
      <c r="G613" s="1"/>
      <c r="K613" s="1"/>
      <c r="W613" s="37"/>
    </row>
    <row r="614" spans="6:23" s="36" customFormat="1" ht="11.4" x14ac:dyDescent="0.25">
      <c r="F614" s="1"/>
      <c r="G614" s="1"/>
      <c r="K614" s="1"/>
      <c r="W614" s="37"/>
    </row>
    <row r="615" spans="6:23" s="36" customFormat="1" ht="11.4" x14ac:dyDescent="0.25">
      <c r="F615" s="1"/>
      <c r="G615" s="1"/>
      <c r="K615" s="1"/>
      <c r="W615" s="37"/>
    </row>
    <row r="616" spans="6:23" s="36" customFormat="1" ht="11.4" x14ac:dyDescent="0.25">
      <c r="F616" s="1"/>
      <c r="G616" s="1"/>
      <c r="K616" s="1"/>
      <c r="W616" s="37"/>
    </row>
    <row r="617" spans="6:23" s="36" customFormat="1" ht="11.4" x14ac:dyDescent="0.25">
      <c r="F617" s="1"/>
      <c r="G617" s="1"/>
      <c r="K617" s="1"/>
      <c r="W617" s="37"/>
    </row>
    <row r="618" spans="6:23" s="36" customFormat="1" ht="11.4" x14ac:dyDescent="0.25">
      <c r="F618" s="1"/>
      <c r="G618" s="1"/>
      <c r="K618" s="1"/>
      <c r="W618" s="37"/>
    </row>
    <row r="619" spans="6:23" s="36" customFormat="1" ht="11.4" x14ac:dyDescent="0.25">
      <c r="F619" s="1"/>
      <c r="G619" s="1"/>
      <c r="K619" s="1"/>
      <c r="W619" s="37"/>
    </row>
    <row r="620" spans="6:23" s="36" customFormat="1" ht="11.4" x14ac:dyDescent="0.25">
      <c r="F620" s="1"/>
      <c r="G620" s="1"/>
      <c r="K620" s="1"/>
      <c r="W620" s="37"/>
    </row>
    <row r="621" spans="6:23" s="36" customFormat="1" ht="11.4" x14ac:dyDescent="0.25">
      <c r="F621" s="1"/>
      <c r="G621" s="1"/>
      <c r="K621" s="1"/>
      <c r="W621" s="37"/>
    </row>
    <row r="622" spans="6:23" s="36" customFormat="1" ht="11.4" x14ac:dyDescent="0.25">
      <c r="F622" s="1"/>
      <c r="G622" s="1"/>
      <c r="K622" s="1"/>
      <c r="W622" s="37"/>
    </row>
    <row r="623" spans="6:23" s="36" customFormat="1" ht="11.4" x14ac:dyDescent="0.25">
      <c r="F623" s="1"/>
      <c r="G623" s="1"/>
      <c r="K623" s="1"/>
      <c r="W623" s="37"/>
    </row>
    <row r="624" spans="6:23" s="36" customFormat="1" ht="11.4" x14ac:dyDescent="0.25">
      <c r="F624" s="1"/>
      <c r="G624" s="1"/>
      <c r="K624" s="1"/>
      <c r="W624" s="37"/>
    </row>
    <row r="625" spans="6:23" s="36" customFormat="1" ht="11.4" x14ac:dyDescent="0.25">
      <c r="F625" s="1"/>
      <c r="G625" s="1"/>
      <c r="K625" s="1"/>
      <c r="W625" s="37"/>
    </row>
    <row r="626" spans="6:23" s="36" customFormat="1" ht="11.4" x14ac:dyDescent="0.25">
      <c r="F626" s="1"/>
      <c r="G626" s="1"/>
      <c r="K626" s="1"/>
      <c r="W626" s="37"/>
    </row>
    <row r="627" spans="6:23" s="36" customFormat="1" ht="11.4" x14ac:dyDescent="0.25">
      <c r="F627" s="1"/>
      <c r="G627" s="1"/>
      <c r="K627" s="1"/>
      <c r="W627" s="37"/>
    </row>
    <row r="628" spans="6:23" s="36" customFormat="1" ht="11.4" x14ac:dyDescent="0.25">
      <c r="F628" s="1"/>
      <c r="G628" s="1"/>
      <c r="K628" s="1"/>
      <c r="W628" s="37"/>
    </row>
    <row r="629" spans="6:23" s="36" customFormat="1" ht="11.4" x14ac:dyDescent="0.25">
      <c r="F629" s="1"/>
      <c r="G629" s="1"/>
      <c r="K629" s="1"/>
      <c r="W629" s="37"/>
    </row>
    <row r="630" spans="6:23" s="36" customFormat="1" ht="11.4" x14ac:dyDescent="0.25">
      <c r="F630" s="1"/>
      <c r="G630" s="1"/>
      <c r="K630" s="1"/>
      <c r="W630" s="37"/>
    </row>
    <row r="631" spans="6:23" s="36" customFormat="1" ht="11.4" x14ac:dyDescent="0.25">
      <c r="F631" s="1"/>
      <c r="G631" s="1"/>
      <c r="K631" s="1"/>
      <c r="W631" s="37"/>
    </row>
    <row r="632" spans="6:23" s="36" customFormat="1" ht="11.4" x14ac:dyDescent="0.25">
      <c r="F632" s="1"/>
      <c r="G632" s="1"/>
      <c r="K632" s="1"/>
      <c r="W632" s="37"/>
    </row>
    <row r="633" spans="6:23" s="36" customFormat="1" ht="11.4" x14ac:dyDescent="0.25">
      <c r="F633" s="1"/>
      <c r="G633" s="1"/>
      <c r="K633" s="1"/>
      <c r="W633" s="37"/>
    </row>
    <row r="634" spans="6:23" s="36" customFormat="1" ht="11.4" x14ac:dyDescent="0.25">
      <c r="F634" s="1"/>
      <c r="G634" s="1"/>
      <c r="K634" s="1"/>
      <c r="W634" s="37"/>
    </row>
    <row r="635" spans="6:23" s="36" customFormat="1" ht="11.4" x14ac:dyDescent="0.25">
      <c r="F635" s="1"/>
      <c r="G635" s="1"/>
      <c r="K635" s="1"/>
      <c r="W635" s="37"/>
    </row>
    <row r="636" spans="6:23" s="36" customFormat="1" ht="11.4" x14ac:dyDescent="0.25">
      <c r="F636" s="1"/>
      <c r="G636" s="1"/>
      <c r="K636" s="1"/>
      <c r="W636" s="37"/>
    </row>
    <row r="637" spans="6:23" s="36" customFormat="1" ht="11.4" x14ac:dyDescent="0.25">
      <c r="F637" s="1"/>
      <c r="G637" s="1"/>
      <c r="K637" s="1"/>
      <c r="W637" s="37"/>
    </row>
    <row r="638" spans="6:23" s="36" customFormat="1" ht="11.4" x14ac:dyDescent="0.25">
      <c r="F638" s="1"/>
      <c r="G638" s="1"/>
      <c r="K638" s="1"/>
      <c r="W638" s="37"/>
    </row>
    <row r="639" spans="6:23" s="36" customFormat="1" ht="11.4" x14ac:dyDescent="0.25">
      <c r="F639" s="1"/>
      <c r="G639" s="1"/>
      <c r="K639" s="1"/>
      <c r="W639" s="37"/>
    </row>
    <row r="640" spans="6:23" s="36" customFormat="1" ht="11.4" x14ac:dyDescent="0.25">
      <c r="F640" s="1"/>
      <c r="G640" s="1"/>
      <c r="K640" s="1"/>
      <c r="W640" s="37"/>
    </row>
    <row r="641" spans="6:23" s="36" customFormat="1" ht="11.4" x14ac:dyDescent="0.25">
      <c r="F641" s="1"/>
      <c r="G641" s="1"/>
      <c r="K641" s="1"/>
      <c r="W641" s="37"/>
    </row>
    <row r="642" spans="6:23" s="36" customFormat="1" ht="11.4" x14ac:dyDescent="0.25">
      <c r="F642" s="1"/>
      <c r="G642" s="1"/>
      <c r="K642" s="1"/>
      <c r="W642" s="37"/>
    </row>
    <row r="643" spans="6:23" s="36" customFormat="1" ht="11.4" x14ac:dyDescent="0.25">
      <c r="F643" s="1"/>
      <c r="G643" s="1"/>
      <c r="K643" s="1"/>
      <c r="W643" s="37"/>
    </row>
    <row r="644" spans="6:23" s="36" customFormat="1" ht="11.4" x14ac:dyDescent="0.25">
      <c r="F644" s="1"/>
      <c r="G644" s="1"/>
      <c r="K644" s="1"/>
      <c r="W644" s="37"/>
    </row>
    <row r="645" spans="6:23" s="36" customFormat="1" ht="11.4" x14ac:dyDescent="0.25">
      <c r="F645" s="1"/>
      <c r="G645" s="1"/>
      <c r="K645" s="1"/>
      <c r="W645" s="37"/>
    </row>
    <row r="646" spans="6:23" s="36" customFormat="1" ht="11.4" x14ac:dyDescent="0.25">
      <c r="F646" s="1"/>
      <c r="G646" s="1"/>
      <c r="K646" s="1"/>
      <c r="W646" s="37"/>
    </row>
    <row r="647" spans="6:23" s="36" customFormat="1" ht="11.4" x14ac:dyDescent="0.25">
      <c r="F647" s="1"/>
      <c r="G647" s="1"/>
      <c r="K647" s="1"/>
      <c r="W647" s="37"/>
    </row>
    <row r="648" spans="6:23" s="36" customFormat="1" ht="11.4" x14ac:dyDescent="0.25">
      <c r="F648" s="1"/>
      <c r="G648" s="1"/>
      <c r="K648" s="1"/>
      <c r="W648" s="37"/>
    </row>
    <row r="649" spans="6:23" s="36" customFormat="1" ht="11.4" x14ac:dyDescent="0.25">
      <c r="F649" s="1"/>
      <c r="G649" s="1"/>
      <c r="K649" s="1"/>
      <c r="W649" s="37"/>
    </row>
    <row r="650" spans="6:23" s="36" customFormat="1" ht="11.4" x14ac:dyDescent="0.25">
      <c r="F650" s="1"/>
      <c r="G650" s="1"/>
      <c r="K650" s="1"/>
      <c r="W650" s="37"/>
    </row>
    <row r="651" spans="6:23" s="36" customFormat="1" ht="11.4" x14ac:dyDescent="0.25">
      <c r="F651" s="1"/>
      <c r="G651" s="1"/>
      <c r="K651" s="1"/>
      <c r="W651" s="37"/>
    </row>
    <row r="652" spans="6:23" s="36" customFormat="1" ht="11.4" x14ac:dyDescent="0.25">
      <c r="F652" s="1"/>
      <c r="G652" s="1"/>
      <c r="K652" s="1"/>
      <c r="W652" s="37"/>
    </row>
    <row r="653" spans="6:23" s="36" customFormat="1" ht="11.4" x14ac:dyDescent="0.25">
      <c r="F653" s="1"/>
      <c r="G653" s="1"/>
      <c r="K653" s="1"/>
      <c r="W653" s="37"/>
    </row>
    <row r="654" spans="6:23" s="36" customFormat="1" ht="11.4" x14ac:dyDescent="0.25">
      <c r="F654" s="1"/>
      <c r="G654" s="1"/>
      <c r="K654" s="1"/>
      <c r="W654" s="37"/>
    </row>
    <row r="655" spans="6:23" s="36" customFormat="1" ht="11.4" x14ac:dyDescent="0.25">
      <c r="F655" s="1"/>
      <c r="G655" s="1"/>
      <c r="K655" s="1"/>
      <c r="W655" s="37"/>
    </row>
    <row r="656" spans="6:23" s="36" customFormat="1" ht="11.4" x14ac:dyDescent="0.25">
      <c r="F656" s="1"/>
      <c r="G656" s="1"/>
      <c r="K656" s="1"/>
      <c r="W656" s="37"/>
    </row>
    <row r="657" spans="6:23" s="36" customFormat="1" ht="11.4" x14ac:dyDescent="0.25">
      <c r="F657" s="1"/>
      <c r="G657" s="1"/>
      <c r="K657" s="1"/>
      <c r="W657" s="37"/>
    </row>
    <row r="658" spans="6:23" s="36" customFormat="1" ht="11.4" x14ac:dyDescent="0.25">
      <c r="F658" s="1"/>
      <c r="G658" s="1"/>
      <c r="K658" s="1"/>
      <c r="W658" s="37"/>
    </row>
    <row r="659" spans="6:23" s="36" customFormat="1" ht="11.4" x14ac:dyDescent="0.25">
      <c r="F659" s="1"/>
      <c r="G659" s="1"/>
      <c r="K659" s="1"/>
      <c r="W659" s="37"/>
    </row>
    <row r="660" spans="6:23" s="36" customFormat="1" ht="11.4" x14ac:dyDescent="0.25">
      <c r="F660" s="1"/>
      <c r="G660" s="1"/>
      <c r="K660" s="1"/>
      <c r="W660" s="37"/>
    </row>
    <row r="661" spans="6:23" s="36" customFormat="1" ht="11.4" x14ac:dyDescent="0.25">
      <c r="F661" s="1"/>
      <c r="G661" s="1"/>
      <c r="K661" s="1"/>
      <c r="W661" s="37"/>
    </row>
    <row r="662" spans="6:23" s="36" customFormat="1" ht="11.4" x14ac:dyDescent="0.25">
      <c r="F662" s="1"/>
      <c r="G662" s="1"/>
      <c r="K662" s="1"/>
      <c r="W662" s="37"/>
    </row>
    <row r="663" spans="6:23" s="36" customFormat="1" ht="11.4" x14ac:dyDescent="0.25">
      <c r="F663" s="1"/>
      <c r="G663" s="1"/>
      <c r="K663" s="1"/>
      <c r="W663" s="37"/>
    </row>
    <row r="664" spans="6:23" s="36" customFormat="1" ht="11.4" x14ac:dyDescent="0.25">
      <c r="F664" s="1"/>
      <c r="G664" s="1"/>
      <c r="K664" s="1"/>
      <c r="W664" s="37"/>
    </row>
    <row r="665" spans="6:23" s="36" customFormat="1" ht="11.4" x14ac:dyDescent="0.25">
      <c r="F665" s="1"/>
      <c r="G665" s="1"/>
      <c r="K665" s="1"/>
      <c r="W665" s="37"/>
    </row>
    <row r="666" spans="6:23" s="36" customFormat="1" ht="11.4" x14ac:dyDescent="0.25">
      <c r="F666" s="1"/>
      <c r="G666" s="1"/>
      <c r="K666" s="1"/>
      <c r="W666" s="37"/>
    </row>
    <row r="667" spans="6:23" s="36" customFormat="1" ht="11.4" x14ac:dyDescent="0.25">
      <c r="F667" s="1"/>
      <c r="G667" s="1"/>
      <c r="K667" s="1"/>
      <c r="W667" s="37"/>
    </row>
    <row r="668" spans="6:23" s="36" customFormat="1" ht="11.4" x14ac:dyDescent="0.25">
      <c r="F668" s="1"/>
      <c r="G668" s="1"/>
      <c r="K668" s="1"/>
      <c r="W668" s="37"/>
    </row>
    <row r="669" spans="6:23" s="36" customFormat="1" ht="11.4" x14ac:dyDescent="0.25">
      <c r="F669" s="1"/>
      <c r="G669" s="1"/>
      <c r="K669" s="1"/>
      <c r="W669" s="37"/>
    </row>
    <row r="670" spans="6:23" s="36" customFormat="1" ht="11.4" x14ac:dyDescent="0.25">
      <c r="F670" s="1"/>
      <c r="G670" s="1"/>
      <c r="K670" s="1"/>
      <c r="W670" s="37"/>
    </row>
    <row r="671" spans="6:23" s="36" customFormat="1" ht="11.4" x14ac:dyDescent="0.25">
      <c r="F671" s="1"/>
      <c r="G671" s="1"/>
      <c r="K671" s="1"/>
      <c r="W671" s="37"/>
    </row>
    <row r="672" spans="6:23" s="36" customFormat="1" ht="11.4" x14ac:dyDescent="0.25">
      <c r="F672" s="1"/>
      <c r="G672" s="1"/>
      <c r="K672" s="1"/>
      <c r="W672" s="37"/>
    </row>
    <row r="673" spans="6:23" s="36" customFormat="1" ht="11.4" x14ac:dyDescent="0.25">
      <c r="F673" s="1"/>
      <c r="G673" s="1"/>
      <c r="K673" s="1"/>
      <c r="W673" s="37"/>
    </row>
    <row r="674" spans="6:23" s="36" customFormat="1" ht="11.4" x14ac:dyDescent="0.25">
      <c r="F674" s="1"/>
      <c r="G674" s="1"/>
      <c r="K674" s="1"/>
      <c r="W674" s="37"/>
    </row>
    <row r="675" spans="6:23" s="36" customFormat="1" ht="11.4" x14ac:dyDescent="0.25">
      <c r="F675" s="1"/>
      <c r="G675" s="1"/>
      <c r="K675" s="1"/>
      <c r="W675" s="37"/>
    </row>
    <row r="676" spans="6:23" s="36" customFormat="1" ht="11.4" x14ac:dyDescent="0.25">
      <c r="F676" s="1"/>
      <c r="G676" s="1"/>
      <c r="K676" s="1"/>
      <c r="W676" s="37"/>
    </row>
    <row r="677" spans="6:23" s="36" customFormat="1" ht="11.4" x14ac:dyDescent="0.25">
      <c r="F677" s="1"/>
      <c r="G677" s="1"/>
      <c r="K677" s="1"/>
      <c r="W677" s="37"/>
    </row>
    <row r="678" spans="6:23" s="36" customFormat="1" ht="11.4" x14ac:dyDescent="0.25">
      <c r="F678" s="1"/>
      <c r="G678" s="1"/>
      <c r="K678" s="1"/>
      <c r="W678" s="37"/>
    </row>
    <row r="679" spans="6:23" s="36" customFormat="1" ht="11.4" x14ac:dyDescent="0.25">
      <c r="F679" s="1"/>
      <c r="G679" s="1"/>
      <c r="K679" s="1"/>
      <c r="W679" s="37"/>
    </row>
    <row r="680" spans="6:23" s="36" customFormat="1" ht="11.4" x14ac:dyDescent="0.25">
      <c r="F680" s="1"/>
      <c r="G680" s="1"/>
      <c r="K680" s="1"/>
      <c r="W680" s="37"/>
    </row>
    <row r="681" spans="6:23" s="36" customFormat="1" ht="11.4" x14ac:dyDescent="0.25">
      <c r="F681" s="1"/>
      <c r="G681" s="1"/>
      <c r="K681" s="1"/>
      <c r="W681" s="37"/>
    </row>
    <row r="682" spans="6:23" s="36" customFormat="1" ht="11.4" x14ac:dyDescent="0.25">
      <c r="F682" s="1"/>
      <c r="G682" s="1"/>
      <c r="K682" s="1"/>
      <c r="W682" s="37"/>
    </row>
    <row r="683" spans="6:23" s="36" customFormat="1" ht="11.4" x14ac:dyDescent="0.25">
      <c r="F683" s="1"/>
      <c r="G683" s="1"/>
      <c r="K683" s="1"/>
      <c r="W683" s="37"/>
    </row>
    <row r="684" spans="6:23" s="36" customFormat="1" ht="11.4" x14ac:dyDescent="0.25">
      <c r="F684" s="1"/>
      <c r="G684" s="1"/>
      <c r="K684" s="1"/>
      <c r="W684" s="37"/>
    </row>
    <row r="685" spans="6:23" s="36" customFormat="1" ht="11.4" x14ac:dyDescent="0.25">
      <c r="F685" s="1"/>
      <c r="G685" s="1"/>
      <c r="K685" s="1"/>
      <c r="W685" s="37"/>
    </row>
    <row r="686" spans="6:23" s="36" customFormat="1" ht="11.4" x14ac:dyDescent="0.25">
      <c r="F686" s="1"/>
      <c r="G686" s="1"/>
      <c r="K686" s="1"/>
      <c r="W686" s="37"/>
    </row>
  </sheetData>
  <mergeCells count="191">
    <mergeCell ref="A1:E2"/>
    <mergeCell ref="F1:X1"/>
    <mergeCell ref="F2:X2"/>
    <mergeCell ref="A3:E3"/>
    <mergeCell ref="F3:S3"/>
    <mergeCell ref="A4:E5"/>
    <mergeCell ref="F4:X4"/>
    <mergeCell ref="F5:X5"/>
    <mergeCell ref="H6:H8"/>
    <mergeCell ref="I6:I8"/>
    <mergeCell ref="J6:J8"/>
    <mergeCell ref="K6:K8"/>
    <mergeCell ref="L6:M7"/>
    <mergeCell ref="N6:N8"/>
    <mergeCell ref="A6:A8"/>
    <mergeCell ref="B6:B8"/>
    <mergeCell ref="C6:C8"/>
    <mergeCell ref="D6:E7"/>
    <mergeCell ref="F6:F8"/>
    <mergeCell ref="G6:G8"/>
    <mergeCell ref="O6:R7"/>
    <mergeCell ref="S6:S8"/>
    <mergeCell ref="T6:W6"/>
    <mergeCell ref="X6:X8"/>
    <mergeCell ref="T7:W7"/>
    <mergeCell ref="A9:A27"/>
    <mergeCell ref="B9:B27"/>
    <mergeCell ref="C9:C11"/>
    <mergeCell ref="D9:D11"/>
    <mergeCell ref="E9:E11"/>
    <mergeCell ref="F9:F18"/>
    <mergeCell ref="C24:C27"/>
    <mergeCell ref="D24:D27"/>
    <mergeCell ref="E24:E27"/>
    <mergeCell ref="F24:F25"/>
    <mergeCell ref="G9:G18"/>
    <mergeCell ref="H9:H12"/>
    <mergeCell ref="C12:C15"/>
    <mergeCell ref="D12:D15"/>
    <mergeCell ref="E12:E15"/>
    <mergeCell ref="H13:H17"/>
    <mergeCell ref="C16:C19"/>
    <mergeCell ref="D16:D19"/>
    <mergeCell ref="E16:E19"/>
    <mergeCell ref="F19:F21"/>
    <mergeCell ref="G24:G25"/>
    <mergeCell ref="H24:H25"/>
    <mergeCell ref="F26:F27"/>
    <mergeCell ref="G26:G27"/>
    <mergeCell ref="H26:H27"/>
    <mergeCell ref="H29:H32"/>
    <mergeCell ref="G19:G21"/>
    <mergeCell ref="H19:H21"/>
    <mergeCell ref="C20:C23"/>
    <mergeCell ref="D20:D23"/>
    <mergeCell ref="E20:E23"/>
    <mergeCell ref="F22:F23"/>
    <mergeCell ref="G22:G23"/>
    <mergeCell ref="H22:H23"/>
    <mergeCell ref="A47:A50"/>
    <mergeCell ref="B47:B50"/>
    <mergeCell ref="F47:F49"/>
    <mergeCell ref="G47:G49"/>
    <mergeCell ref="H47:H49"/>
    <mergeCell ref="C48:C49"/>
    <mergeCell ref="D48:D49"/>
    <mergeCell ref="E48:E49"/>
    <mergeCell ref="J38:J39"/>
    <mergeCell ref="A40:A46"/>
    <mergeCell ref="B40:B46"/>
    <mergeCell ref="F40:F42"/>
    <mergeCell ref="G40:G42"/>
    <mergeCell ref="H40:H42"/>
    <mergeCell ref="F43:F46"/>
    <mergeCell ref="G43:G46"/>
    <mergeCell ref="H43:H46"/>
    <mergeCell ref="A33:A39"/>
    <mergeCell ref="B33:B39"/>
    <mergeCell ref="F33:F39"/>
    <mergeCell ref="G33:G39"/>
    <mergeCell ref="H33:H39"/>
    <mergeCell ref="I38:I39"/>
    <mergeCell ref="G51:G53"/>
    <mergeCell ref="H51:H53"/>
    <mergeCell ref="I52:I53"/>
    <mergeCell ref="J52:J53"/>
    <mergeCell ref="F54:F55"/>
    <mergeCell ref="H54:H55"/>
    <mergeCell ref="A51:A60"/>
    <mergeCell ref="B51:B60"/>
    <mergeCell ref="C51:C54"/>
    <mergeCell ref="D51:D54"/>
    <mergeCell ref="E51:E54"/>
    <mergeCell ref="F51:F53"/>
    <mergeCell ref="C55:C57"/>
    <mergeCell ref="D55:D57"/>
    <mergeCell ref="E55:E57"/>
    <mergeCell ref="F56:F57"/>
    <mergeCell ref="A61:A79"/>
    <mergeCell ref="B61:B79"/>
    <mergeCell ref="C61:C66"/>
    <mergeCell ref="D61:D66"/>
    <mergeCell ref="E61:E66"/>
    <mergeCell ref="F61:F66"/>
    <mergeCell ref="F71:F79"/>
    <mergeCell ref="G56:G57"/>
    <mergeCell ref="H56:H57"/>
    <mergeCell ref="C58:C60"/>
    <mergeCell ref="D58:D60"/>
    <mergeCell ref="E58:E60"/>
    <mergeCell ref="F58:F60"/>
    <mergeCell ref="G58:G60"/>
    <mergeCell ref="H58:H60"/>
    <mergeCell ref="G61:G66"/>
    <mergeCell ref="H61:H66"/>
    <mergeCell ref="I63:I65"/>
    <mergeCell ref="J63:J65"/>
    <mergeCell ref="C67:C72"/>
    <mergeCell ref="D67:D72"/>
    <mergeCell ref="E67:E72"/>
    <mergeCell ref="F67:F70"/>
    <mergeCell ref="G67:G70"/>
    <mergeCell ref="H67:H70"/>
    <mergeCell ref="G71:G79"/>
    <mergeCell ref="H71:H79"/>
    <mergeCell ref="I71:I72"/>
    <mergeCell ref="J71:J72"/>
    <mergeCell ref="C73:C79"/>
    <mergeCell ref="D73:D79"/>
    <mergeCell ref="E73:E79"/>
    <mergeCell ref="I75:I76"/>
    <mergeCell ref="J75:J76"/>
    <mergeCell ref="I90:I91"/>
    <mergeCell ref="J90:J91"/>
    <mergeCell ref="G80:G83"/>
    <mergeCell ref="H80:H83"/>
    <mergeCell ref="I82:I83"/>
    <mergeCell ref="J82:J83"/>
    <mergeCell ref="F85:F87"/>
    <mergeCell ref="G85:G87"/>
    <mergeCell ref="H85:H89"/>
    <mergeCell ref="I85:I86"/>
    <mergeCell ref="J85:J86"/>
    <mergeCell ref="F88:F89"/>
    <mergeCell ref="F80:F83"/>
    <mergeCell ref="I96:I97"/>
    <mergeCell ref="J96:J97"/>
    <mergeCell ref="F99:F105"/>
    <mergeCell ref="G99:G105"/>
    <mergeCell ref="H99:H105"/>
    <mergeCell ref="I99:I100"/>
    <mergeCell ref="J99:J100"/>
    <mergeCell ref="I103:I105"/>
    <mergeCell ref="J103:J105"/>
    <mergeCell ref="C96:C103"/>
    <mergeCell ref="D96:D103"/>
    <mergeCell ref="E96:E103"/>
    <mergeCell ref="F96:F97"/>
    <mergeCell ref="G96:G97"/>
    <mergeCell ref="C88:C95"/>
    <mergeCell ref="D88:D95"/>
    <mergeCell ref="E88:E95"/>
    <mergeCell ref="H96:H97"/>
    <mergeCell ref="G88:G89"/>
    <mergeCell ref="F90:F93"/>
    <mergeCell ref="G90:G93"/>
    <mergeCell ref="H90:H93"/>
    <mergeCell ref="J109:J110"/>
    <mergeCell ref="A108:A111"/>
    <mergeCell ref="B108:B111"/>
    <mergeCell ref="F108:F111"/>
    <mergeCell ref="G108:G111"/>
    <mergeCell ref="H108:H111"/>
    <mergeCell ref="I109:I110"/>
    <mergeCell ref="C104:C111"/>
    <mergeCell ref="D104:D111"/>
    <mergeCell ref="E104:E111"/>
    <mergeCell ref="F106:F107"/>
    <mergeCell ref="G106:G107"/>
    <mergeCell ref="H106:H107"/>
    <mergeCell ref="A80:A107"/>
    <mergeCell ref="B80:B86"/>
    <mergeCell ref="C80:C87"/>
    <mergeCell ref="D80:D87"/>
    <mergeCell ref="E80:E87"/>
    <mergeCell ref="B87:B105"/>
    <mergeCell ref="F94:F95"/>
    <mergeCell ref="G94:G95"/>
    <mergeCell ref="H94:H95"/>
    <mergeCell ref="I94:I95"/>
    <mergeCell ref="J94:J95"/>
  </mergeCells>
  <dataValidations count="1">
    <dataValidation allowBlank="1" showInputMessage="1" showErrorMessage="1" prompt="sin recursos" sqref="AC47:XFD47" xr:uid="{00000000-0002-0000-0000-000000000000}"/>
  </dataValidations>
  <printOptions horizontalCentered="1" verticalCentered="1"/>
  <pageMargins left="0.19685039370078741" right="0.59055118110236227" top="1.0236220472440944" bottom="0.78740157480314965" header="0.59055118110236227" footer="0.59055118110236227"/>
  <pageSetup paperSize="5" scale="59" orientation="landscape" horizontalDpi="4294967294" verticalDpi="300" r:id="rId1"/>
  <headerFooter alignWithMargins="0">
    <oddHeader xml:space="preserve">&amp;CPLAN DE DESARROLLO MUNICIPAL 
"Creemos en Angelópolis 2020-2023"
&amp;"Arial,Negrita"&amp;14PLAN DE ACCIÓN 2020
</oddHeader>
    <oddFooter>&amp;L&amp;F&amp;C                   Municipio de Angelópolis&amp;R&amp;A</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7"/>
  </sheetPr>
  <dimension ref="A1:AL683"/>
  <sheetViews>
    <sheetView showGridLines="0" tabSelected="1" zoomScaleNormal="100" workbookViewId="0">
      <selection activeCell="L10" sqref="L10"/>
    </sheetView>
  </sheetViews>
  <sheetFormatPr baseColWidth="10" defaultColWidth="11.5546875" defaultRowHeight="11.4" x14ac:dyDescent="0.25"/>
  <cols>
    <col min="1" max="1" width="10.33203125" style="36" customWidth="1"/>
    <col min="2" max="2" width="30.109375" style="36" customWidth="1"/>
    <col min="3" max="4" width="16" style="36" customWidth="1"/>
    <col min="5" max="5" width="13.44140625" style="36" customWidth="1"/>
    <col min="6" max="6" width="18" style="38" customWidth="1"/>
    <col min="7" max="7" width="20.109375" style="1" customWidth="1"/>
    <col min="8" max="8" width="20.44140625" style="36" customWidth="1"/>
    <col min="9" max="9" width="8.88671875" style="36" customWidth="1"/>
    <col min="10" max="10" width="30.109375" style="36" customWidth="1"/>
    <col min="11" max="11" width="27.44140625" style="1" customWidth="1"/>
    <col min="12" max="12" width="20.5546875" style="36" customWidth="1"/>
    <col min="13" max="13" width="8.5546875" style="36" bestFit="1" customWidth="1"/>
    <col min="14" max="14" width="9.5546875" style="36" customWidth="1"/>
    <col min="15" max="17" width="7.6640625" style="36" customWidth="1"/>
    <col min="18" max="18" width="8" style="36" customWidth="1"/>
    <col min="19" max="19" width="13.44140625" style="36" customWidth="1"/>
    <col min="20" max="20" width="5.44140625" style="36" bestFit="1" customWidth="1"/>
    <col min="21" max="21" width="6.44140625" style="36" bestFit="1" customWidth="1"/>
    <col min="22" max="22" width="5.44140625" style="36" bestFit="1" customWidth="1"/>
    <col min="23" max="23" width="7.5546875" style="36" bestFit="1" customWidth="1"/>
    <col min="24" max="24" width="18" style="36" customWidth="1"/>
    <col min="25" max="25" width="11.5546875" style="1" customWidth="1"/>
    <col min="26" max="16384" width="11.5546875" style="1"/>
  </cols>
  <sheetData>
    <row r="1" spans="1:24" ht="12" customHeight="1" x14ac:dyDescent="0.25">
      <c r="A1" s="91" t="s">
        <v>478</v>
      </c>
      <c r="B1" s="92"/>
      <c r="C1" s="92"/>
      <c r="D1" s="92"/>
      <c r="E1" s="93"/>
      <c r="F1" s="97" t="s">
        <v>440</v>
      </c>
      <c r="G1" s="98"/>
      <c r="H1" s="98"/>
      <c r="I1" s="98"/>
      <c r="J1" s="98"/>
      <c r="K1" s="98"/>
      <c r="L1" s="98"/>
      <c r="M1" s="98"/>
      <c r="N1" s="98"/>
      <c r="O1" s="98"/>
      <c r="P1" s="98"/>
      <c r="Q1" s="98"/>
      <c r="R1" s="98"/>
      <c r="S1" s="98"/>
      <c r="T1" s="98"/>
      <c r="U1" s="98"/>
      <c r="V1" s="98"/>
      <c r="W1" s="98"/>
      <c r="X1" s="99"/>
    </row>
    <row r="2" spans="1:24" x14ac:dyDescent="0.25">
      <c r="A2" s="94"/>
      <c r="B2" s="95"/>
      <c r="C2" s="95"/>
      <c r="D2" s="95"/>
      <c r="E2" s="96"/>
      <c r="F2" s="100" t="s">
        <v>1</v>
      </c>
      <c r="G2" s="101"/>
      <c r="H2" s="101"/>
      <c r="I2" s="101"/>
      <c r="J2" s="101"/>
      <c r="K2" s="101"/>
      <c r="L2" s="101"/>
      <c r="M2" s="101"/>
      <c r="N2" s="101"/>
      <c r="O2" s="101"/>
      <c r="P2" s="101"/>
      <c r="Q2" s="101"/>
      <c r="R2" s="101"/>
      <c r="S2" s="101"/>
      <c r="T2" s="101"/>
      <c r="U2" s="101"/>
      <c r="V2" s="101"/>
      <c r="W2" s="101"/>
      <c r="X2" s="102"/>
    </row>
    <row r="3" spans="1:24" ht="12" x14ac:dyDescent="0.25">
      <c r="A3" s="103" t="s">
        <v>479</v>
      </c>
      <c r="B3" s="104"/>
      <c r="C3" s="104"/>
      <c r="D3" s="104"/>
      <c r="E3" s="105"/>
      <c r="F3" s="106" t="s">
        <v>574</v>
      </c>
      <c r="G3" s="107"/>
      <c r="H3" s="107"/>
      <c r="I3" s="107"/>
      <c r="J3" s="107"/>
      <c r="K3" s="107"/>
      <c r="L3" s="107"/>
      <c r="M3" s="107"/>
      <c r="N3" s="107"/>
      <c r="O3" s="107"/>
      <c r="P3" s="107"/>
      <c r="Q3" s="107"/>
      <c r="R3" s="107"/>
      <c r="S3" s="107"/>
      <c r="T3" s="107"/>
      <c r="U3" s="2"/>
      <c r="V3" s="2"/>
      <c r="W3" s="2"/>
      <c r="X3" s="4"/>
    </row>
    <row r="4" spans="1:24" x14ac:dyDescent="0.25">
      <c r="A4" s="91" t="s">
        <v>480</v>
      </c>
      <c r="B4" s="92"/>
      <c r="C4" s="92"/>
      <c r="D4" s="92"/>
      <c r="E4" s="93"/>
      <c r="F4" s="97" t="s">
        <v>481</v>
      </c>
      <c r="G4" s="98"/>
      <c r="H4" s="98"/>
      <c r="I4" s="98"/>
      <c r="J4" s="98"/>
      <c r="K4" s="98"/>
      <c r="L4" s="98"/>
      <c r="M4" s="98"/>
      <c r="N4" s="98"/>
      <c r="O4" s="98"/>
      <c r="P4" s="98"/>
      <c r="Q4" s="98"/>
      <c r="R4" s="98"/>
      <c r="S4" s="98"/>
      <c r="T4" s="98"/>
      <c r="U4" s="98"/>
      <c r="V4" s="98"/>
      <c r="W4" s="98"/>
      <c r="X4" s="99"/>
    </row>
    <row r="5" spans="1:24" x14ac:dyDescent="0.25">
      <c r="A5" s="94"/>
      <c r="B5" s="95"/>
      <c r="C5" s="95"/>
      <c r="D5" s="95"/>
      <c r="E5" s="96"/>
      <c r="F5" s="100" t="s">
        <v>482</v>
      </c>
      <c r="G5" s="101"/>
      <c r="H5" s="101"/>
      <c r="I5" s="101"/>
      <c r="J5" s="101"/>
      <c r="K5" s="101"/>
      <c r="L5" s="101"/>
      <c r="M5" s="101"/>
      <c r="N5" s="101"/>
      <c r="O5" s="101"/>
      <c r="P5" s="101"/>
      <c r="Q5" s="101"/>
      <c r="R5" s="101"/>
      <c r="S5" s="101"/>
      <c r="T5" s="101"/>
      <c r="U5" s="101"/>
      <c r="V5" s="101"/>
      <c r="W5" s="101"/>
      <c r="X5" s="102"/>
    </row>
    <row r="6" spans="1:24" ht="12" customHeight="1" x14ac:dyDescent="0.25">
      <c r="A6" s="88" t="s">
        <v>6</v>
      </c>
      <c r="B6" s="110" t="s">
        <v>483</v>
      </c>
      <c r="C6" s="108" t="s">
        <v>470</v>
      </c>
      <c r="D6" s="88" t="s">
        <v>8</v>
      </c>
      <c r="E6" s="88"/>
      <c r="F6" s="108" t="s">
        <v>9</v>
      </c>
      <c r="G6" s="108" t="s">
        <v>484</v>
      </c>
      <c r="H6" s="108" t="s">
        <v>11</v>
      </c>
      <c r="I6" s="110" t="s">
        <v>12</v>
      </c>
      <c r="J6" s="108" t="s">
        <v>13</v>
      </c>
      <c r="K6" s="108" t="s">
        <v>14</v>
      </c>
      <c r="L6" s="111" t="s">
        <v>15</v>
      </c>
      <c r="M6" s="112"/>
      <c r="N6" s="110" t="s">
        <v>16</v>
      </c>
      <c r="O6" s="111" t="s">
        <v>485</v>
      </c>
      <c r="P6" s="113"/>
      <c r="Q6" s="113"/>
      <c r="R6" s="112"/>
      <c r="S6" s="108" t="s">
        <v>471</v>
      </c>
      <c r="T6" s="94" t="s">
        <v>17</v>
      </c>
      <c r="U6" s="95"/>
      <c r="V6" s="95"/>
      <c r="W6" s="95"/>
      <c r="X6" s="108" t="s">
        <v>18</v>
      </c>
    </row>
    <row r="7" spans="1:24" ht="12" x14ac:dyDescent="0.25">
      <c r="A7" s="88"/>
      <c r="B7" s="108"/>
      <c r="C7" s="108"/>
      <c r="D7" s="88"/>
      <c r="E7" s="88"/>
      <c r="F7" s="108"/>
      <c r="G7" s="108"/>
      <c r="H7" s="108"/>
      <c r="I7" s="108"/>
      <c r="J7" s="108"/>
      <c r="K7" s="108"/>
      <c r="L7" s="94"/>
      <c r="M7" s="96"/>
      <c r="N7" s="108"/>
      <c r="O7" s="94"/>
      <c r="P7" s="95"/>
      <c r="Q7" s="95"/>
      <c r="R7" s="96"/>
      <c r="S7" s="108"/>
      <c r="T7" s="88">
        <v>2020</v>
      </c>
      <c r="U7" s="88"/>
      <c r="V7" s="88"/>
      <c r="W7" s="88"/>
      <c r="X7" s="108"/>
    </row>
    <row r="8" spans="1:24" ht="30.6" x14ac:dyDescent="0.25">
      <c r="A8" s="88"/>
      <c r="B8" s="109"/>
      <c r="C8" s="109"/>
      <c r="D8" s="39" t="s">
        <v>19</v>
      </c>
      <c r="E8" s="39" t="s">
        <v>893</v>
      </c>
      <c r="F8" s="109"/>
      <c r="G8" s="109"/>
      <c r="H8" s="109"/>
      <c r="I8" s="109"/>
      <c r="J8" s="109"/>
      <c r="K8" s="109"/>
      <c r="L8" s="39" t="s">
        <v>20</v>
      </c>
      <c r="M8" s="39" t="s">
        <v>894</v>
      </c>
      <c r="N8" s="109"/>
      <c r="O8" s="43" t="s">
        <v>21</v>
      </c>
      <c r="P8" s="43">
        <v>2022</v>
      </c>
      <c r="Q8" s="43" t="s">
        <v>896</v>
      </c>
      <c r="R8" s="43" t="s">
        <v>898</v>
      </c>
      <c r="S8" s="109"/>
      <c r="T8" s="39" t="s">
        <v>23</v>
      </c>
      <c r="U8" s="39" t="s">
        <v>22</v>
      </c>
      <c r="V8" s="39" t="s">
        <v>24</v>
      </c>
      <c r="W8" s="39" t="s">
        <v>25</v>
      </c>
      <c r="X8" s="109"/>
    </row>
    <row r="9" spans="1:24" s="14" customFormat="1" ht="22.8" x14ac:dyDescent="0.25">
      <c r="A9" s="76" t="s">
        <v>486</v>
      </c>
      <c r="B9" s="118" t="s">
        <v>487</v>
      </c>
      <c r="C9" s="71" t="s">
        <v>488</v>
      </c>
      <c r="D9" s="71" t="s">
        <v>489</v>
      </c>
      <c r="E9" s="71" t="s">
        <v>34</v>
      </c>
      <c r="F9" s="71" t="s">
        <v>490</v>
      </c>
      <c r="G9" s="118" t="s">
        <v>575</v>
      </c>
      <c r="H9" s="89" t="s">
        <v>491</v>
      </c>
      <c r="I9" s="89" t="s">
        <v>492</v>
      </c>
      <c r="J9" s="67" t="s">
        <v>493</v>
      </c>
      <c r="K9" s="44" t="s">
        <v>494</v>
      </c>
      <c r="L9" s="39" t="s">
        <v>495</v>
      </c>
      <c r="M9" s="39" t="s">
        <v>34</v>
      </c>
      <c r="N9" s="39" t="s">
        <v>35</v>
      </c>
      <c r="O9" s="39">
        <v>0</v>
      </c>
      <c r="P9" s="39">
        <v>0</v>
      </c>
      <c r="Q9" s="39">
        <v>0</v>
      </c>
      <c r="R9" s="39">
        <v>0</v>
      </c>
      <c r="S9" s="12">
        <v>2</v>
      </c>
      <c r="T9" s="114">
        <v>3.3000000000000003</v>
      </c>
      <c r="U9" s="114">
        <v>29.700000000000003</v>
      </c>
      <c r="V9" s="114">
        <v>0</v>
      </c>
      <c r="W9" s="116">
        <f>SUM(T9:V10)</f>
        <v>33</v>
      </c>
      <c r="X9" s="71"/>
    </row>
    <row r="10" spans="1:24" s="14" customFormat="1" ht="34.200000000000003" x14ac:dyDescent="0.25">
      <c r="A10" s="77"/>
      <c r="B10" s="119"/>
      <c r="C10" s="73"/>
      <c r="D10" s="73"/>
      <c r="E10" s="73"/>
      <c r="F10" s="72"/>
      <c r="G10" s="119"/>
      <c r="H10" s="90"/>
      <c r="I10" s="122"/>
      <c r="J10" s="68"/>
      <c r="K10" s="40" t="s">
        <v>496</v>
      </c>
      <c r="L10" s="39" t="s">
        <v>497</v>
      </c>
      <c r="M10" s="39" t="s">
        <v>34</v>
      </c>
      <c r="N10" s="39" t="s">
        <v>40</v>
      </c>
      <c r="O10" s="39">
        <v>0</v>
      </c>
      <c r="P10" s="39">
        <v>2</v>
      </c>
      <c r="Q10" s="39">
        <v>0</v>
      </c>
      <c r="R10" s="39">
        <v>0</v>
      </c>
      <c r="S10" s="12">
        <v>10</v>
      </c>
      <c r="T10" s="115"/>
      <c r="U10" s="115"/>
      <c r="V10" s="115"/>
      <c r="W10" s="117"/>
      <c r="X10" s="73"/>
    </row>
    <row r="11" spans="1:24" s="14" customFormat="1" ht="45.6" x14ac:dyDescent="0.25">
      <c r="A11" s="77"/>
      <c r="B11" s="119"/>
      <c r="C11" s="71" t="s">
        <v>498</v>
      </c>
      <c r="D11" s="71" t="s">
        <v>499</v>
      </c>
      <c r="E11" s="71" t="s">
        <v>34</v>
      </c>
      <c r="F11" s="72"/>
      <c r="G11" s="119"/>
      <c r="H11" s="90"/>
      <c r="I11" s="19" t="s">
        <v>500</v>
      </c>
      <c r="J11" s="10" t="s">
        <v>501</v>
      </c>
      <c r="K11" s="44" t="s">
        <v>502</v>
      </c>
      <c r="L11" s="39" t="s">
        <v>503</v>
      </c>
      <c r="M11" s="39" t="s">
        <v>34</v>
      </c>
      <c r="N11" s="39" t="s">
        <v>35</v>
      </c>
      <c r="O11" s="39">
        <v>0</v>
      </c>
      <c r="P11" s="39">
        <v>0</v>
      </c>
      <c r="Q11" s="39">
        <v>0</v>
      </c>
      <c r="R11" s="39">
        <v>0</v>
      </c>
      <c r="S11" s="12">
        <v>200</v>
      </c>
      <c r="T11" s="45">
        <v>0</v>
      </c>
      <c r="U11" s="45">
        <v>0</v>
      </c>
      <c r="V11" s="45">
        <v>0</v>
      </c>
      <c r="W11" s="46">
        <f>SUM(T11:V11)</f>
        <v>0</v>
      </c>
      <c r="X11" s="39"/>
    </row>
    <row r="12" spans="1:24" s="14" customFormat="1" ht="22.8" x14ac:dyDescent="0.25">
      <c r="A12" s="77"/>
      <c r="B12" s="119"/>
      <c r="C12" s="72"/>
      <c r="D12" s="72"/>
      <c r="E12" s="72"/>
      <c r="F12" s="73"/>
      <c r="G12" s="120"/>
      <c r="H12" s="122"/>
      <c r="I12" s="19" t="s">
        <v>504</v>
      </c>
      <c r="J12" s="10" t="s">
        <v>505</v>
      </c>
      <c r="K12" s="40" t="s">
        <v>506</v>
      </c>
      <c r="L12" s="39" t="s">
        <v>366</v>
      </c>
      <c r="M12" s="39">
        <v>0</v>
      </c>
      <c r="N12" s="19" t="s">
        <v>35</v>
      </c>
      <c r="O12" s="39">
        <f t="shared" ref="O12:O35" si="0">M12</f>
        <v>0</v>
      </c>
      <c r="P12" s="19">
        <v>0</v>
      </c>
      <c r="Q12" s="19">
        <v>0</v>
      </c>
      <c r="R12" s="39">
        <v>0</v>
      </c>
      <c r="S12" s="19">
        <v>2</v>
      </c>
      <c r="T12" s="45">
        <v>0</v>
      </c>
      <c r="U12" s="45">
        <v>0</v>
      </c>
      <c r="V12" s="45">
        <v>0</v>
      </c>
      <c r="W12" s="46">
        <f>SUM(T12:V12)</f>
        <v>0</v>
      </c>
      <c r="X12" s="39"/>
    </row>
    <row r="13" spans="1:24" s="14" customFormat="1" ht="22.8" x14ac:dyDescent="0.25">
      <c r="A13" s="77"/>
      <c r="B13" s="119"/>
      <c r="C13" s="73"/>
      <c r="D13" s="73"/>
      <c r="E13" s="73"/>
      <c r="F13" s="71" t="s">
        <v>576</v>
      </c>
      <c r="G13" s="118" t="s">
        <v>577</v>
      </c>
      <c r="H13" s="71" t="s">
        <v>507</v>
      </c>
      <c r="I13" s="70" t="s">
        <v>508</v>
      </c>
      <c r="J13" s="67" t="s">
        <v>509</v>
      </c>
      <c r="K13" s="40" t="s">
        <v>510</v>
      </c>
      <c r="L13" s="39" t="s">
        <v>511</v>
      </c>
      <c r="M13" s="19">
        <v>0</v>
      </c>
      <c r="N13" s="19" t="s">
        <v>35</v>
      </c>
      <c r="O13" s="39">
        <f t="shared" si="0"/>
        <v>0</v>
      </c>
      <c r="P13" s="19">
        <v>0</v>
      </c>
      <c r="Q13" s="19">
        <v>0</v>
      </c>
      <c r="R13" s="39">
        <v>0</v>
      </c>
      <c r="S13" s="19">
        <v>1</v>
      </c>
      <c r="T13" s="114">
        <v>0</v>
      </c>
      <c r="U13" s="114">
        <v>0</v>
      </c>
      <c r="V13" s="114">
        <v>0</v>
      </c>
      <c r="W13" s="116">
        <f>SUM(T13:V14)</f>
        <v>0</v>
      </c>
      <c r="X13" s="71"/>
    </row>
    <row r="14" spans="1:24" s="14" customFormat="1" ht="22.8" x14ac:dyDescent="0.25">
      <c r="A14" s="77"/>
      <c r="B14" s="119"/>
      <c r="C14" s="71" t="s">
        <v>512</v>
      </c>
      <c r="D14" s="71" t="s">
        <v>513</v>
      </c>
      <c r="E14" s="71" t="s">
        <v>34</v>
      </c>
      <c r="F14" s="72"/>
      <c r="G14" s="119"/>
      <c r="H14" s="72"/>
      <c r="I14" s="70"/>
      <c r="J14" s="68"/>
      <c r="K14" s="47" t="s">
        <v>514</v>
      </c>
      <c r="L14" s="39" t="s">
        <v>515</v>
      </c>
      <c r="M14" s="16">
        <v>0</v>
      </c>
      <c r="N14" s="16" t="s">
        <v>35</v>
      </c>
      <c r="O14" s="16">
        <f t="shared" si="0"/>
        <v>0</v>
      </c>
      <c r="P14" s="16">
        <v>0</v>
      </c>
      <c r="Q14" s="16">
        <v>0</v>
      </c>
      <c r="R14" s="39">
        <v>0</v>
      </c>
      <c r="S14" s="16">
        <v>0.2</v>
      </c>
      <c r="T14" s="115"/>
      <c r="U14" s="115"/>
      <c r="V14" s="115"/>
      <c r="W14" s="117"/>
      <c r="X14" s="73"/>
    </row>
    <row r="15" spans="1:24" s="14" customFormat="1" ht="34.200000000000003" x14ac:dyDescent="0.25">
      <c r="A15" s="77"/>
      <c r="B15" s="119"/>
      <c r="C15" s="72"/>
      <c r="D15" s="72"/>
      <c r="E15" s="72"/>
      <c r="F15" s="72"/>
      <c r="G15" s="119"/>
      <c r="H15" s="72"/>
      <c r="I15" s="39" t="s">
        <v>516</v>
      </c>
      <c r="J15" s="10" t="s">
        <v>517</v>
      </c>
      <c r="K15" s="10" t="s">
        <v>518</v>
      </c>
      <c r="L15" s="39" t="s">
        <v>519</v>
      </c>
      <c r="M15" s="39">
        <v>0</v>
      </c>
      <c r="N15" s="39" t="s">
        <v>35</v>
      </c>
      <c r="O15" s="39">
        <f t="shared" si="0"/>
        <v>0</v>
      </c>
      <c r="P15" s="39">
        <v>2</v>
      </c>
      <c r="Q15" s="39">
        <v>0</v>
      </c>
      <c r="R15" s="39">
        <v>0</v>
      </c>
      <c r="S15" s="12">
        <v>8</v>
      </c>
      <c r="T15" s="45">
        <v>2.2999999999999998</v>
      </c>
      <c r="U15" s="45">
        <v>21</v>
      </c>
      <c r="V15" s="45">
        <v>0</v>
      </c>
      <c r="W15" s="46">
        <f t="shared" ref="W15:W32" si="1">SUM(T15:V15)</f>
        <v>23.3</v>
      </c>
      <c r="X15" s="39"/>
    </row>
    <row r="16" spans="1:24" s="14" customFormat="1" ht="54.75" customHeight="1" x14ac:dyDescent="0.25">
      <c r="A16" s="78"/>
      <c r="B16" s="120"/>
      <c r="C16" s="73"/>
      <c r="D16" s="73"/>
      <c r="E16" s="73"/>
      <c r="F16" s="73"/>
      <c r="G16" s="120"/>
      <c r="H16" s="73"/>
      <c r="I16" s="39" t="s">
        <v>520</v>
      </c>
      <c r="J16" s="10" t="s">
        <v>521</v>
      </c>
      <c r="K16" s="10" t="s">
        <v>522</v>
      </c>
      <c r="L16" s="39" t="s">
        <v>523</v>
      </c>
      <c r="M16" s="39" t="s">
        <v>34</v>
      </c>
      <c r="N16" s="39" t="s">
        <v>35</v>
      </c>
      <c r="O16" s="39">
        <v>0</v>
      </c>
      <c r="P16" s="39">
        <v>1</v>
      </c>
      <c r="Q16" s="39">
        <v>0</v>
      </c>
      <c r="R16" s="39">
        <v>0</v>
      </c>
      <c r="S16" s="12">
        <v>4</v>
      </c>
      <c r="T16" s="45">
        <v>0.2</v>
      </c>
      <c r="U16" s="45">
        <v>4</v>
      </c>
      <c r="V16" s="45">
        <v>0</v>
      </c>
      <c r="W16" s="46">
        <f t="shared" si="1"/>
        <v>4.2</v>
      </c>
      <c r="X16" s="39"/>
    </row>
    <row r="17" spans="1:24" s="14" customFormat="1" ht="24" customHeight="1" x14ac:dyDescent="0.25">
      <c r="A17" s="76" t="s">
        <v>524</v>
      </c>
      <c r="B17" s="118" t="s">
        <v>891</v>
      </c>
      <c r="C17" s="71"/>
      <c r="D17" s="71"/>
      <c r="E17" s="71"/>
      <c r="F17" s="71" t="s">
        <v>525</v>
      </c>
      <c r="G17" s="118" t="s">
        <v>526</v>
      </c>
      <c r="H17" s="71" t="s">
        <v>525</v>
      </c>
      <c r="I17" s="71" t="s">
        <v>508</v>
      </c>
      <c r="J17" s="67" t="s">
        <v>527</v>
      </c>
      <c r="K17" s="40" t="s">
        <v>528</v>
      </c>
      <c r="L17" s="39" t="s">
        <v>511</v>
      </c>
      <c r="M17" s="39">
        <v>0</v>
      </c>
      <c r="N17" s="39" t="s">
        <v>35</v>
      </c>
      <c r="O17" s="39">
        <f t="shared" si="0"/>
        <v>0</v>
      </c>
      <c r="P17" s="39">
        <v>1</v>
      </c>
      <c r="Q17" s="39">
        <v>0</v>
      </c>
      <c r="R17" s="39">
        <v>0</v>
      </c>
      <c r="S17" s="12">
        <v>1</v>
      </c>
      <c r="T17" s="114">
        <v>0.5</v>
      </c>
      <c r="U17" s="114">
        <v>6.8</v>
      </c>
      <c r="V17" s="114">
        <v>0</v>
      </c>
      <c r="W17" s="116">
        <f>SUM(T17:V18)</f>
        <v>7.3</v>
      </c>
      <c r="X17" s="71"/>
    </row>
    <row r="18" spans="1:24" s="14" customFormat="1" ht="22.8" x14ac:dyDescent="0.25">
      <c r="A18" s="77"/>
      <c r="B18" s="119"/>
      <c r="C18" s="72"/>
      <c r="D18" s="72"/>
      <c r="E18" s="72"/>
      <c r="F18" s="72"/>
      <c r="G18" s="119"/>
      <c r="H18" s="72"/>
      <c r="I18" s="73"/>
      <c r="J18" s="68"/>
      <c r="K18" s="47" t="s">
        <v>529</v>
      </c>
      <c r="L18" s="39" t="s">
        <v>515</v>
      </c>
      <c r="M18" s="16">
        <v>0</v>
      </c>
      <c r="N18" s="16" t="s">
        <v>35</v>
      </c>
      <c r="O18" s="16">
        <f t="shared" si="0"/>
        <v>0</v>
      </c>
      <c r="P18" s="16">
        <v>0</v>
      </c>
      <c r="Q18" s="16">
        <v>0</v>
      </c>
      <c r="R18" s="39">
        <v>0</v>
      </c>
      <c r="S18" s="16">
        <v>0.2</v>
      </c>
      <c r="T18" s="115"/>
      <c r="U18" s="115"/>
      <c r="V18" s="115"/>
      <c r="W18" s="117"/>
      <c r="X18" s="73"/>
    </row>
    <row r="19" spans="1:24" s="14" customFormat="1" ht="22.8" x14ac:dyDescent="0.25">
      <c r="A19" s="77"/>
      <c r="B19" s="119"/>
      <c r="C19" s="72"/>
      <c r="D19" s="72"/>
      <c r="E19" s="72"/>
      <c r="F19" s="72"/>
      <c r="G19" s="119"/>
      <c r="H19" s="72"/>
      <c r="I19" s="39" t="s">
        <v>516</v>
      </c>
      <c r="J19" s="10" t="s">
        <v>530</v>
      </c>
      <c r="K19" s="39" t="s">
        <v>531</v>
      </c>
      <c r="L19" s="39" t="s">
        <v>532</v>
      </c>
      <c r="M19" s="19" t="s">
        <v>34</v>
      </c>
      <c r="N19" s="19" t="s">
        <v>35</v>
      </c>
      <c r="O19" s="39">
        <v>0</v>
      </c>
      <c r="P19" s="19">
        <v>6</v>
      </c>
      <c r="Q19" s="19">
        <v>0</v>
      </c>
      <c r="R19" s="39">
        <v>0</v>
      </c>
      <c r="S19" s="19">
        <v>24</v>
      </c>
      <c r="T19" s="45">
        <v>0.6</v>
      </c>
      <c r="U19" s="45">
        <v>2.5</v>
      </c>
      <c r="V19" s="45">
        <v>0</v>
      </c>
      <c r="W19" s="46">
        <f t="shared" si="1"/>
        <v>3.1</v>
      </c>
      <c r="X19" s="39"/>
    </row>
    <row r="20" spans="1:24" s="14" customFormat="1" ht="34.200000000000003" x14ac:dyDescent="0.25">
      <c r="A20" s="77"/>
      <c r="B20" s="119"/>
      <c r="C20" s="72"/>
      <c r="D20" s="72"/>
      <c r="E20" s="72"/>
      <c r="F20" s="72"/>
      <c r="G20" s="119"/>
      <c r="H20" s="72"/>
      <c r="I20" s="39" t="s">
        <v>520</v>
      </c>
      <c r="J20" s="10" t="s">
        <v>533</v>
      </c>
      <c r="K20" s="39" t="s">
        <v>534</v>
      </c>
      <c r="L20" s="39" t="s">
        <v>535</v>
      </c>
      <c r="M20" s="19">
        <v>0</v>
      </c>
      <c r="N20" s="19" t="s">
        <v>40</v>
      </c>
      <c r="O20" s="39">
        <f t="shared" si="0"/>
        <v>0</v>
      </c>
      <c r="P20" s="19">
        <v>1</v>
      </c>
      <c r="Q20" s="19">
        <v>0</v>
      </c>
      <c r="R20" s="39">
        <v>0</v>
      </c>
      <c r="S20" s="19">
        <v>1</v>
      </c>
      <c r="T20" s="45">
        <v>0.1</v>
      </c>
      <c r="U20" s="45">
        <v>0.1</v>
      </c>
      <c r="V20" s="45">
        <v>0</v>
      </c>
      <c r="W20" s="46">
        <f t="shared" si="1"/>
        <v>0.2</v>
      </c>
      <c r="X20" s="39"/>
    </row>
    <row r="21" spans="1:24" s="14" customFormat="1" ht="24" customHeight="1" x14ac:dyDescent="0.25">
      <c r="A21" s="77"/>
      <c r="B21" s="119"/>
      <c r="C21" s="72"/>
      <c r="D21" s="72"/>
      <c r="E21" s="72"/>
      <c r="F21" s="72"/>
      <c r="G21" s="119"/>
      <c r="H21" s="72"/>
      <c r="I21" s="71" t="s">
        <v>536</v>
      </c>
      <c r="J21" s="121" t="s">
        <v>537</v>
      </c>
      <c r="K21" s="40" t="s">
        <v>538</v>
      </c>
      <c r="L21" s="39" t="s">
        <v>511</v>
      </c>
      <c r="M21" s="19">
        <v>0</v>
      </c>
      <c r="N21" s="19" t="s">
        <v>35</v>
      </c>
      <c r="O21" s="39">
        <f t="shared" si="0"/>
        <v>0</v>
      </c>
      <c r="P21" s="19">
        <v>1</v>
      </c>
      <c r="Q21" s="19">
        <v>0</v>
      </c>
      <c r="R21" s="39">
        <v>0</v>
      </c>
      <c r="S21" s="19">
        <v>1</v>
      </c>
      <c r="T21" s="114">
        <f>0.3+0.0642499999999995</f>
        <v>0.36424999999999952</v>
      </c>
      <c r="U21" s="114">
        <f>3.6+0.00596874999999741</f>
        <v>3.6059687499999975</v>
      </c>
      <c r="V21" s="114">
        <v>0</v>
      </c>
      <c r="W21" s="116">
        <f>SUM(T21:V22)</f>
        <v>3.9702187499999972</v>
      </c>
      <c r="X21" s="71"/>
    </row>
    <row r="22" spans="1:24" s="14" customFormat="1" ht="22.8" x14ac:dyDescent="0.25">
      <c r="A22" s="77"/>
      <c r="B22" s="119"/>
      <c r="C22" s="72"/>
      <c r="D22" s="72"/>
      <c r="E22" s="72"/>
      <c r="F22" s="72"/>
      <c r="G22" s="119"/>
      <c r="H22" s="72"/>
      <c r="I22" s="73"/>
      <c r="J22" s="121"/>
      <c r="K22" s="47" t="s">
        <v>539</v>
      </c>
      <c r="L22" s="39" t="s">
        <v>515</v>
      </c>
      <c r="M22" s="16">
        <v>0</v>
      </c>
      <c r="N22" s="16" t="s">
        <v>35</v>
      </c>
      <c r="O22" s="16">
        <f t="shared" si="0"/>
        <v>0</v>
      </c>
      <c r="P22" s="16">
        <v>0</v>
      </c>
      <c r="Q22" s="16">
        <v>0</v>
      </c>
      <c r="R22" s="39">
        <v>0</v>
      </c>
      <c r="S22" s="16">
        <v>0.25</v>
      </c>
      <c r="T22" s="115"/>
      <c r="U22" s="115"/>
      <c r="V22" s="115"/>
      <c r="W22" s="117"/>
      <c r="X22" s="73"/>
    </row>
    <row r="23" spans="1:24" s="14" customFormat="1" ht="34.200000000000003" x14ac:dyDescent="0.25">
      <c r="A23" s="77"/>
      <c r="B23" s="119"/>
      <c r="C23" s="72"/>
      <c r="D23" s="72"/>
      <c r="E23" s="72"/>
      <c r="F23" s="72"/>
      <c r="G23" s="119"/>
      <c r="H23" s="72"/>
      <c r="I23" s="39" t="s">
        <v>540</v>
      </c>
      <c r="J23" s="10" t="s">
        <v>541</v>
      </c>
      <c r="K23" s="39" t="s">
        <v>542</v>
      </c>
      <c r="L23" s="39" t="s">
        <v>543</v>
      </c>
      <c r="M23" s="19">
        <v>0</v>
      </c>
      <c r="N23" s="19" t="s">
        <v>35</v>
      </c>
      <c r="O23" s="39">
        <f t="shared" si="0"/>
        <v>0</v>
      </c>
      <c r="P23" s="19">
        <v>0</v>
      </c>
      <c r="Q23" s="19">
        <v>0</v>
      </c>
      <c r="R23" s="39">
        <v>0</v>
      </c>
      <c r="S23" s="19">
        <v>2</v>
      </c>
      <c r="T23" s="45">
        <v>0</v>
      </c>
      <c r="U23" s="45">
        <v>0</v>
      </c>
      <c r="V23" s="45">
        <v>0</v>
      </c>
      <c r="W23" s="46">
        <f t="shared" si="1"/>
        <v>0</v>
      </c>
      <c r="X23" s="39"/>
    </row>
    <row r="24" spans="1:24" s="14" customFormat="1" ht="34.200000000000003" x14ac:dyDescent="0.25">
      <c r="A24" s="77"/>
      <c r="B24" s="119"/>
      <c r="C24" s="72"/>
      <c r="D24" s="72"/>
      <c r="E24" s="72"/>
      <c r="F24" s="72"/>
      <c r="G24" s="119"/>
      <c r="H24" s="72"/>
      <c r="I24" s="39" t="s">
        <v>544</v>
      </c>
      <c r="J24" s="10" t="s">
        <v>545</v>
      </c>
      <c r="K24" s="39" t="s">
        <v>546</v>
      </c>
      <c r="L24" s="39" t="s">
        <v>547</v>
      </c>
      <c r="M24" s="19" t="s">
        <v>34</v>
      </c>
      <c r="N24" s="19" t="s">
        <v>35</v>
      </c>
      <c r="O24" s="39">
        <v>0</v>
      </c>
      <c r="P24" s="19">
        <v>4</v>
      </c>
      <c r="Q24" s="19">
        <v>0</v>
      </c>
      <c r="R24" s="39">
        <v>0</v>
      </c>
      <c r="S24" s="19">
        <v>16</v>
      </c>
      <c r="T24" s="45">
        <v>0.4</v>
      </c>
      <c r="U24" s="45">
        <v>4.8</v>
      </c>
      <c r="V24" s="45">
        <v>0</v>
      </c>
      <c r="W24" s="46">
        <f t="shared" si="1"/>
        <v>5.2</v>
      </c>
      <c r="X24" s="39"/>
    </row>
    <row r="25" spans="1:24" s="14" customFormat="1" ht="45.6" x14ac:dyDescent="0.25">
      <c r="A25" s="77"/>
      <c r="B25" s="119"/>
      <c r="C25" s="72"/>
      <c r="D25" s="72"/>
      <c r="E25" s="72"/>
      <c r="F25" s="72"/>
      <c r="G25" s="119"/>
      <c r="H25" s="72"/>
      <c r="I25" s="39" t="s">
        <v>548</v>
      </c>
      <c r="J25" s="10" t="s">
        <v>549</v>
      </c>
      <c r="K25" s="39" t="s">
        <v>550</v>
      </c>
      <c r="L25" s="39" t="s">
        <v>551</v>
      </c>
      <c r="M25" s="39">
        <v>0</v>
      </c>
      <c r="N25" s="39" t="s">
        <v>35</v>
      </c>
      <c r="O25" s="39">
        <f t="shared" si="0"/>
        <v>0</v>
      </c>
      <c r="P25" s="19">
        <v>0</v>
      </c>
      <c r="Q25" s="19">
        <v>0</v>
      </c>
      <c r="R25" s="39">
        <v>0</v>
      </c>
      <c r="S25" s="19">
        <v>4</v>
      </c>
      <c r="T25" s="45">
        <v>0</v>
      </c>
      <c r="U25" s="45">
        <v>0</v>
      </c>
      <c r="V25" s="45">
        <v>0</v>
      </c>
      <c r="W25" s="46">
        <f t="shared" si="1"/>
        <v>0</v>
      </c>
      <c r="X25" s="39"/>
    </row>
    <row r="26" spans="1:24" s="14" customFormat="1" ht="22.8" x14ac:dyDescent="0.25">
      <c r="A26" s="77"/>
      <c r="B26" s="119"/>
      <c r="C26" s="72"/>
      <c r="D26" s="72"/>
      <c r="E26" s="72"/>
      <c r="F26" s="72"/>
      <c r="G26" s="119"/>
      <c r="H26" s="72"/>
      <c r="I26" s="39" t="s">
        <v>552</v>
      </c>
      <c r="J26" s="10" t="s">
        <v>553</v>
      </c>
      <c r="K26" s="39" t="s">
        <v>554</v>
      </c>
      <c r="L26" s="39" t="s">
        <v>555</v>
      </c>
      <c r="M26" s="39" t="s">
        <v>34</v>
      </c>
      <c r="N26" s="19" t="s">
        <v>35</v>
      </c>
      <c r="O26" s="39">
        <v>0</v>
      </c>
      <c r="P26" s="19">
        <v>2</v>
      </c>
      <c r="Q26" s="19">
        <v>0</v>
      </c>
      <c r="R26" s="39">
        <v>0</v>
      </c>
      <c r="S26" s="19">
        <v>8</v>
      </c>
      <c r="T26" s="45">
        <v>0.5</v>
      </c>
      <c r="U26" s="45">
        <v>4.3722812500000003</v>
      </c>
      <c r="V26" s="45">
        <v>0</v>
      </c>
      <c r="W26" s="46">
        <f t="shared" si="1"/>
        <v>4.8722812500000003</v>
      </c>
      <c r="X26" s="39"/>
    </row>
    <row r="27" spans="1:24" s="14" customFormat="1" ht="13.2" x14ac:dyDescent="0.25">
      <c r="A27" s="77"/>
      <c r="B27" s="119"/>
      <c r="C27" s="72"/>
      <c r="D27" s="72"/>
      <c r="E27" s="72"/>
      <c r="F27" s="73"/>
      <c r="G27" s="120"/>
      <c r="H27" s="73"/>
      <c r="I27" s="39"/>
      <c r="J27" s="10"/>
      <c r="K27" s="39"/>
      <c r="L27" s="39"/>
      <c r="M27" s="39"/>
      <c r="N27" s="19"/>
      <c r="O27" s="39"/>
      <c r="P27" s="19"/>
      <c r="Q27" s="19"/>
      <c r="R27" s="39"/>
      <c r="S27" s="19"/>
      <c r="T27" s="45"/>
      <c r="U27" s="45"/>
      <c r="V27" s="45"/>
      <c r="W27" s="46"/>
      <c r="X27" s="39"/>
    </row>
    <row r="28" spans="1:24" s="14" customFormat="1" ht="24" customHeight="1" x14ac:dyDescent="0.25">
      <c r="A28" s="77"/>
      <c r="B28" s="119"/>
      <c r="C28" s="72"/>
      <c r="D28" s="72"/>
      <c r="E28" s="72"/>
      <c r="F28" s="71" t="s">
        <v>556</v>
      </c>
      <c r="G28" s="118" t="s">
        <v>557</v>
      </c>
      <c r="H28" s="71" t="s">
        <v>558</v>
      </c>
      <c r="I28" s="70" t="s">
        <v>559</v>
      </c>
      <c r="J28" s="67" t="s">
        <v>560</v>
      </c>
      <c r="K28" s="39" t="s">
        <v>561</v>
      </c>
      <c r="L28" s="39" t="s">
        <v>243</v>
      </c>
      <c r="M28" s="39">
        <v>0</v>
      </c>
      <c r="N28" s="39" t="s">
        <v>35</v>
      </c>
      <c r="O28" s="39">
        <f t="shared" si="0"/>
        <v>0</v>
      </c>
      <c r="P28" s="19">
        <v>0</v>
      </c>
      <c r="Q28" s="19">
        <v>0</v>
      </c>
      <c r="R28" s="39">
        <v>0</v>
      </c>
      <c r="S28" s="12">
        <v>1</v>
      </c>
      <c r="T28" s="114">
        <v>0</v>
      </c>
      <c r="U28" s="114">
        <v>0</v>
      </c>
      <c r="V28" s="114">
        <v>0</v>
      </c>
      <c r="W28" s="116">
        <f>SUM(T28:V29)</f>
        <v>0</v>
      </c>
      <c r="X28" s="71"/>
    </row>
    <row r="29" spans="1:24" s="14" customFormat="1" ht="34.200000000000003" x14ac:dyDescent="0.25">
      <c r="A29" s="77"/>
      <c r="B29" s="119"/>
      <c r="C29" s="72"/>
      <c r="D29" s="72"/>
      <c r="E29" s="72"/>
      <c r="F29" s="72"/>
      <c r="G29" s="119"/>
      <c r="H29" s="72"/>
      <c r="I29" s="70"/>
      <c r="J29" s="68"/>
      <c r="K29" s="39" t="s">
        <v>562</v>
      </c>
      <c r="L29" s="39" t="s">
        <v>563</v>
      </c>
      <c r="M29" s="16">
        <v>0</v>
      </c>
      <c r="N29" s="16" t="s">
        <v>35</v>
      </c>
      <c r="O29" s="16">
        <f t="shared" si="0"/>
        <v>0</v>
      </c>
      <c r="P29" s="16">
        <v>0</v>
      </c>
      <c r="Q29" s="16">
        <v>0</v>
      </c>
      <c r="R29" s="39">
        <v>0</v>
      </c>
      <c r="S29" s="16">
        <v>0.2</v>
      </c>
      <c r="T29" s="115"/>
      <c r="U29" s="115"/>
      <c r="V29" s="115"/>
      <c r="W29" s="117"/>
      <c r="X29" s="73"/>
    </row>
    <row r="30" spans="1:24" s="14" customFormat="1" ht="22.8" x14ac:dyDescent="0.25">
      <c r="A30" s="77"/>
      <c r="B30" s="119"/>
      <c r="C30" s="72"/>
      <c r="D30" s="72"/>
      <c r="E30" s="72"/>
      <c r="F30" s="72"/>
      <c r="G30" s="119"/>
      <c r="H30" s="72"/>
      <c r="I30" s="70" t="s">
        <v>564</v>
      </c>
      <c r="J30" s="67" t="s">
        <v>565</v>
      </c>
      <c r="K30" s="39" t="s">
        <v>561</v>
      </c>
      <c r="L30" s="39" t="s">
        <v>243</v>
      </c>
      <c r="M30" s="39">
        <v>0</v>
      </c>
      <c r="N30" s="39" t="s">
        <v>35</v>
      </c>
      <c r="O30" s="39">
        <f t="shared" si="0"/>
        <v>0</v>
      </c>
      <c r="P30" s="19">
        <v>1</v>
      </c>
      <c r="Q30" s="19">
        <v>0</v>
      </c>
      <c r="R30" s="39">
        <v>0</v>
      </c>
      <c r="S30" s="12">
        <v>1</v>
      </c>
      <c r="T30" s="114">
        <v>3</v>
      </c>
      <c r="U30" s="114">
        <v>23</v>
      </c>
      <c r="V30" s="114">
        <v>0</v>
      </c>
      <c r="W30" s="116">
        <f>SUM(T30:V31)</f>
        <v>26</v>
      </c>
      <c r="X30" s="71"/>
    </row>
    <row r="31" spans="1:24" s="14" customFormat="1" ht="34.200000000000003" x14ac:dyDescent="0.25">
      <c r="A31" s="77"/>
      <c r="B31" s="119"/>
      <c r="C31" s="72"/>
      <c r="D31" s="72"/>
      <c r="E31" s="72"/>
      <c r="F31" s="72"/>
      <c r="G31" s="119"/>
      <c r="H31" s="72"/>
      <c r="I31" s="70"/>
      <c r="J31" s="68"/>
      <c r="K31" s="39" t="s">
        <v>566</v>
      </c>
      <c r="L31" s="39" t="s">
        <v>563</v>
      </c>
      <c r="M31" s="16">
        <v>0</v>
      </c>
      <c r="N31" s="16" t="s">
        <v>35</v>
      </c>
      <c r="O31" s="39">
        <f t="shared" si="0"/>
        <v>0</v>
      </c>
      <c r="P31" s="16">
        <v>0</v>
      </c>
      <c r="Q31" s="16">
        <v>0</v>
      </c>
      <c r="R31" s="39">
        <v>0</v>
      </c>
      <c r="S31" s="16">
        <v>0.5</v>
      </c>
      <c r="T31" s="115"/>
      <c r="U31" s="115"/>
      <c r="V31" s="115"/>
      <c r="W31" s="117"/>
      <c r="X31" s="73"/>
    </row>
    <row r="32" spans="1:24" s="14" customFormat="1" ht="34.200000000000003" x14ac:dyDescent="0.25">
      <c r="A32" s="77"/>
      <c r="B32" s="119"/>
      <c r="C32" s="72"/>
      <c r="D32" s="72"/>
      <c r="E32" s="72"/>
      <c r="F32" s="72"/>
      <c r="G32" s="119"/>
      <c r="H32" s="72"/>
      <c r="I32" s="39" t="s">
        <v>567</v>
      </c>
      <c r="J32" s="10" t="s">
        <v>568</v>
      </c>
      <c r="K32" s="39" t="s">
        <v>569</v>
      </c>
      <c r="L32" s="39" t="s">
        <v>570</v>
      </c>
      <c r="M32" s="16">
        <v>0</v>
      </c>
      <c r="N32" s="16" t="s">
        <v>35</v>
      </c>
      <c r="O32" s="16">
        <f t="shared" si="0"/>
        <v>0</v>
      </c>
      <c r="P32" s="16">
        <v>0.2</v>
      </c>
      <c r="Q32" s="16">
        <v>0</v>
      </c>
      <c r="R32" s="39">
        <v>0</v>
      </c>
      <c r="S32" s="16">
        <v>0.8</v>
      </c>
      <c r="T32" s="45">
        <f>2+0.36425+3</f>
        <v>5.3642500000000002</v>
      </c>
      <c r="U32" s="45">
        <f>18+25</f>
        <v>43</v>
      </c>
      <c r="V32" s="45">
        <v>0</v>
      </c>
      <c r="W32" s="46">
        <f t="shared" si="1"/>
        <v>48.364249999999998</v>
      </c>
      <c r="X32" s="39"/>
    </row>
    <row r="33" spans="1:24" s="14" customFormat="1" ht="13.2" x14ac:dyDescent="0.25">
      <c r="A33" s="77"/>
      <c r="B33" s="119"/>
      <c r="C33" s="72"/>
      <c r="D33" s="72"/>
      <c r="E33" s="72"/>
      <c r="F33" s="72"/>
      <c r="G33" s="119"/>
      <c r="H33" s="72"/>
      <c r="I33" s="39"/>
      <c r="J33" s="10"/>
      <c r="K33" s="15"/>
      <c r="L33" s="39"/>
      <c r="M33" s="39"/>
      <c r="N33" s="39"/>
      <c r="O33" s="39"/>
      <c r="P33" s="19"/>
      <c r="Q33" s="19"/>
      <c r="R33" s="39"/>
      <c r="S33" s="12"/>
      <c r="T33" s="45"/>
      <c r="U33" s="45"/>
      <c r="V33" s="45"/>
      <c r="W33" s="46"/>
      <c r="X33" s="39"/>
    </row>
    <row r="34" spans="1:24" s="14" customFormat="1" ht="34.200000000000003" x14ac:dyDescent="0.25">
      <c r="A34" s="77"/>
      <c r="B34" s="119"/>
      <c r="C34" s="72"/>
      <c r="D34" s="72"/>
      <c r="E34" s="72"/>
      <c r="F34" s="72"/>
      <c r="G34" s="119"/>
      <c r="H34" s="72"/>
      <c r="I34" s="70" t="s">
        <v>571</v>
      </c>
      <c r="J34" s="67" t="s">
        <v>572</v>
      </c>
      <c r="K34" s="39" t="s">
        <v>573</v>
      </c>
      <c r="L34" s="39" t="s">
        <v>243</v>
      </c>
      <c r="M34" s="39">
        <v>0</v>
      </c>
      <c r="N34" s="39" t="s">
        <v>35</v>
      </c>
      <c r="O34" s="39">
        <f t="shared" si="0"/>
        <v>0</v>
      </c>
      <c r="P34" s="19">
        <v>1</v>
      </c>
      <c r="Q34" s="19">
        <v>0</v>
      </c>
      <c r="R34" s="39">
        <v>0</v>
      </c>
      <c r="S34" s="12">
        <v>1</v>
      </c>
      <c r="T34" s="114">
        <v>2.1</v>
      </c>
      <c r="U34" s="114">
        <v>28.178250000000006</v>
      </c>
      <c r="V34" s="114">
        <v>0</v>
      </c>
      <c r="W34" s="116">
        <f>SUM(T34:V35)</f>
        <v>30.278250000000007</v>
      </c>
      <c r="X34" s="71"/>
    </row>
    <row r="35" spans="1:24" ht="34.200000000000003" x14ac:dyDescent="0.25">
      <c r="A35" s="78"/>
      <c r="B35" s="120"/>
      <c r="C35" s="73"/>
      <c r="D35" s="73"/>
      <c r="E35" s="73"/>
      <c r="F35" s="73"/>
      <c r="G35" s="120"/>
      <c r="H35" s="73"/>
      <c r="I35" s="70"/>
      <c r="J35" s="68"/>
      <c r="K35" s="39" t="s">
        <v>566</v>
      </c>
      <c r="L35" s="39" t="s">
        <v>563</v>
      </c>
      <c r="M35" s="16">
        <v>0</v>
      </c>
      <c r="N35" s="16" t="s">
        <v>35</v>
      </c>
      <c r="O35" s="16">
        <f t="shared" si="0"/>
        <v>0</v>
      </c>
      <c r="P35" s="16">
        <v>0.25</v>
      </c>
      <c r="Q35" s="16">
        <v>0</v>
      </c>
      <c r="R35" s="39">
        <v>0</v>
      </c>
      <c r="S35" s="16">
        <v>1</v>
      </c>
      <c r="T35" s="115"/>
      <c r="U35" s="115"/>
      <c r="V35" s="115"/>
      <c r="W35" s="117"/>
      <c r="X35" s="73"/>
    </row>
    <row r="36" spans="1:24" x14ac:dyDescent="0.25">
      <c r="F36" s="1"/>
    </row>
    <row r="37" spans="1:24" x14ac:dyDescent="0.25">
      <c r="F37" s="1"/>
    </row>
    <row r="38" spans="1:24" x14ac:dyDescent="0.25">
      <c r="F38" s="1"/>
    </row>
    <row r="39" spans="1:24" x14ac:dyDescent="0.25">
      <c r="F39" s="1"/>
    </row>
    <row r="40" spans="1:24" x14ac:dyDescent="0.25">
      <c r="F40" s="1"/>
    </row>
    <row r="41" spans="1:24" x14ac:dyDescent="0.25">
      <c r="F41" s="1"/>
    </row>
    <row r="42" spans="1:24" x14ac:dyDescent="0.25">
      <c r="F42" s="1"/>
    </row>
    <row r="43" spans="1:24" x14ac:dyDescent="0.25">
      <c r="F43" s="1"/>
    </row>
    <row r="44" spans="1:24" x14ac:dyDescent="0.25">
      <c r="F44" s="1"/>
    </row>
    <row r="45" spans="1:24" x14ac:dyDescent="0.25">
      <c r="F45" s="1"/>
    </row>
    <row r="46" spans="1:24" x14ac:dyDescent="0.25">
      <c r="F46" s="1"/>
    </row>
    <row r="47" spans="1:24" x14ac:dyDescent="0.25">
      <c r="F47" s="1"/>
    </row>
    <row r="48" spans="1:24" x14ac:dyDescent="0.25">
      <c r="F48" s="1"/>
    </row>
    <row r="49" spans="6:6" x14ac:dyDescent="0.25">
      <c r="F49" s="1"/>
    </row>
    <row r="50" spans="6:6" x14ac:dyDescent="0.25">
      <c r="F50" s="1"/>
    </row>
    <row r="51" spans="6:6" x14ac:dyDescent="0.25">
      <c r="F51" s="1"/>
    </row>
    <row r="52" spans="6:6" x14ac:dyDescent="0.25">
      <c r="F52" s="1"/>
    </row>
    <row r="53" spans="6:6" x14ac:dyDescent="0.25">
      <c r="F53" s="1"/>
    </row>
    <row r="54" spans="6:6" x14ac:dyDescent="0.25">
      <c r="F54" s="1"/>
    </row>
    <row r="55" spans="6:6" x14ac:dyDescent="0.25">
      <c r="F55" s="1"/>
    </row>
    <row r="56" spans="6:6" x14ac:dyDescent="0.25">
      <c r="F56" s="1"/>
    </row>
    <row r="57" spans="6:6" x14ac:dyDescent="0.25">
      <c r="F57" s="1"/>
    </row>
    <row r="58" spans="6:6" x14ac:dyDescent="0.25">
      <c r="F58" s="1"/>
    </row>
    <row r="59" spans="6:6" x14ac:dyDescent="0.25">
      <c r="F59" s="1"/>
    </row>
    <row r="60" spans="6:6" x14ac:dyDescent="0.25">
      <c r="F60" s="1"/>
    </row>
    <row r="61" spans="6:6" x14ac:dyDescent="0.25">
      <c r="F61" s="1"/>
    </row>
    <row r="62" spans="6:6" x14ac:dyDescent="0.25">
      <c r="F62" s="1"/>
    </row>
    <row r="63" spans="6:6" x14ac:dyDescent="0.25">
      <c r="F63" s="1"/>
    </row>
    <row r="64" spans="6:6" x14ac:dyDescent="0.25">
      <c r="F64" s="1"/>
    </row>
    <row r="65" spans="6:6" x14ac:dyDescent="0.25">
      <c r="F65" s="1"/>
    </row>
    <row r="66" spans="6:6" x14ac:dyDescent="0.25">
      <c r="F66" s="1"/>
    </row>
    <row r="67" spans="6:6" x14ac:dyDescent="0.25">
      <c r="F67" s="1"/>
    </row>
    <row r="68" spans="6:6" x14ac:dyDescent="0.25">
      <c r="F68" s="1"/>
    </row>
    <row r="69" spans="6:6" x14ac:dyDescent="0.25">
      <c r="F69" s="1"/>
    </row>
    <row r="70" spans="6:6" x14ac:dyDescent="0.25">
      <c r="F70" s="1"/>
    </row>
    <row r="71" spans="6:6" x14ac:dyDescent="0.25">
      <c r="F71" s="1"/>
    </row>
    <row r="72" spans="6:6" x14ac:dyDescent="0.25">
      <c r="F72" s="1"/>
    </row>
    <row r="73" spans="6:6" x14ac:dyDescent="0.25">
      <c r="F73" s="1"/>
    </row>
    <row r="74" spans="6:6" x14ac:dyDescent="0.25">
      <c r="F74" s="1"/>
    </row>
    <row r="75" spans="6:6" x14ac:dyDescent="0.25">
      <c r="F75" s="1"/>
    </row>
    <row r="76" spans="6:6" x14ac:dyDescent="0.25">
      <c r="F76" s="1"/>
    </row>
    <row r="77" spans="6:6" x14ac:dyDescent="0.25">
      <c r="F77" s="1"/>
    </row>
    <row r="78" spans="6:6" x14ac:dyDescent="0.25">
      <c r="F78" s="1"/>
    </row>
    <row r="79" spans="6:6" x14ac:dyDescent="0.25">
      <c r="F79" s="1"/>
    </row>
    <row r="80" spans="6:6" x14ac:dyDescent="0.25">
      <c r="F80" s="1"/>
    </row>
    <row r="81" spans="6:6" x14ac:dyDescent="0.25">
      <c r="F81" s="1"/>
    </row>
    <row r="82" spans="6:6" x14ac:dyDescent="0.25">
      <c r="F82" s="1"/>
    </row>
    <row r="83" spans="6:6" x14ac:dyDescent="0.25">
      <c r="F83" s="1"/>
    </row>
    <row r="84" spans="6:6" x14ac:dyDescent="0.25">
      <c r="F84" s="1"/>
    </row>
    <row r="85" spans="6:6" x14ac:dyDescent="0.25">
      <c r="F85" s="1"/>
    </row>
    <row r="86" spans="6:6" x14ac:dyDescent="0.25">
      <c r="F86" s="1"/>
    </row>
    <row r="87" spans="6:6" x14ac:dyDescent="0.25">
      <c r="F87" s="1"/>
    </row>
    <row r="88" spans="6:6" x14ac:dyDescent="0.25">
      <c r="F88" s="1"/>
    </row>
    <row r="89" spans="6:6" x14ac:dyDescent="0.25">
      <c r="F89" s="1"/>
    </row>
    <row r="90" spans="6:6" x14ac:dyDescent="0.25">
      <c r="F90" s="1"/>
    </row>
    <row r="91" spans="6:6" x14ac:dyDescent="0.25">
      <c r="F91" s="1"/>
    </row>
    <row r="92" spans="6:6" x14ac:dyDescent="0.25">
      <c r="F92" s="1"/>
    </row>
    <row r="93" spans="6:6" x14ac:dyDescent="0.25">
      <c r="F93" s="1"/>
    </row>
    <row r="94" spans="6:6" x14ac:dyDescent="0.25">
      <c r="F94" s="1"/>
    </row>
    <row r="95" spans="6:6" x14ac:dyDescent="0.25">
      <c r="F95" s="1"/>
    </row>
    <row r="96" spans="6:6" x14ac:dyDescent="0.25">
      <c r="F96" s="1"/>
    </row>
    <row r="97" spans="6:6" x14ac:dyDescent="0.25">
      <c r="F97" s="1"/>
    </row>
    <row r="98" spans="6:6" x14ac:dyDescent="0.25">
      <c r="F98" s="1"/>
    </row>
    <row r="99" spans="6:6" x14ac:dyDescent="0.25">
      <c r="F99" s="1"/>
    </row>
    <row r="100" spans="6:6" x14ac:dyDescent="0.25">
      <c r="F100" s="1"/>
    </row>
    <row r="101" spans="6:6" x14ac:dyDescent="0.25">
      <c r="F101" s="1"/>
    </row>
    <row r="102" spans="6:6" x14ac:dyDescent="0.25">
      <c r="F102" s="1"/>
    </row>
    <row r="103" spans="6:6" x14ac:dyDescent="0.25">
      <c r="F103" s="1"/>
    </row>
    <row r="104" spans="6:6" x14ac:dyDescent="0.25">
      <c r="F104" s="1"/>
    </row>
    <row r="105" spans="6:6" x14ac:dyDescent="0.25">
      <c r="F105" s="1"/>
    </row>
    <row r="106" spans="6:6" x14ac:dyDescent="0.25">
      <c r="F106" s="1"/>
    </row>
    <row r="107" spans="6:6" x14ac:dyDescent="0.25">
      <c r="F107" s="1"/>
    </row>
    <row r="108" spans="6:6" x14ac:dyDescent="0.25">
      <c r="F108" s="1"/>
    </row>
    <row r="109" spans="6:6" x14ac:dyDescent="0.25">
      <c r="F109" s="1"/>
    </row>
    <row r="110" spans="6:6" x14ac:dyDescent="0.25">
      <c r="F110" s="1"/>
    </row>
    <row r="111" spans="6:6" x14ac:dyDescent="0.25">
      <c r="F111" s="1"/>
    </row>
    <row r="112" spans="6:6" x14ac:dyDescent="0.25">
      <c r="F112" s="1"/>
    </row>
    <row r="113" spans="6:38" x14ac:dyDescent="0.25">
      <c r="F113" s="1"/>
    </row>
    <row r="114" spans="6:38" x14ac:dyDescent="0.25">
      <c r="F114" s="1"/>
    </row>
    <row r="115" spans="6:38" x14ac:dyDescent="0.25">
      <c r="F115" s="1"/>
    </row>
    <row r="116" spans="6:38" x14ac:dyDescent="0.25">
      <c r="F116" s="1"/>
    </row>
    <row r="117" spans="6:38" x14ac:dyDescent="0.25">
      <c r="F117" s="1"/>
    </row>
    <row r="118" spans="6:38" x14ac:dyDescent="0.25">
      <c r="F118" s="1"/>
    </row>
    <row r="119" spans="6:38" x14ac:dyDescent="0.25">
      <c r="F119" s="1"/>
    </row>
    <row r="120" spans="6:38" x14ac:dyDescent="0.25">
      <c r="F120" s="1"/>
    </row>
    <row r="121" spans="6:38" x14ac:dyDescent="0.25">
      <c r="F121" s="1"/>
    </row>
    <row r="126" spans="6:38" s="36" customFormat="1" x14ac:dyDescent="0.25">
      <c r="F126" s="38"/>
      <c r="G126" s="1"/>
      <c r="K126" s="1"/>
      <c r="Y126" s="1"/>
      <c r="Z126" s="1"/>
      <c r="AA126" s="1"/>
      <c r="AB126" s="1"/>
      <c r="AC126" s="1"/>
      <c r="AD126" s="1"/>
      <c r="AE126" s="1"/>
      <c r="AF126" s="1"/>
      <c r="AG126" s="1"/>
      <c r="AH126" s="1"/>
      <c r="AI126" s="1"/>
      <c r="AJ126" s="1"/>
      <c r="AK126" s="1"/>
      <c r="AL126" s="1"/>
    </row>
    <row r="127" spans="6:38" s="36" customFormat="1" x14ac:dyDescent="0.25">
      <c r="F127" s="38"/>
      <c r="G127" s="1"/>
      <c r="K127" s="1"/>
      <c r="Y127" s="1"/>
      <c r="Z127" s="1"/>
      <c r="AA127" s="1"/>
      <c r="AB127" s="1"/>
      <c r="AC127" s="1"/>
      <c r="AD127" s="1"/>
      <c r="AE127" s="1"/>
      <c r="AF127" s="1"/>
      <c r="AG127" s="1"/>
      <c r="AH127" s="1"/>
      <c r="AI127" s="1"/>
      <c r="AJ127" s="1"/>
      <c r="AK127" s="1"/>
      <c r="AL127" s="1"/>
    </row>
    <row r="128" spans="6:38" s="36" customFormat="1" x14ac:dyDescent="0.25">
      <c r="F128" s="38"/>
      <c r="G128" s="1"/>
      <c r="K128" s="1"/>
      <c r="Y128" s="1"/>
      <c r="Z128" s="1"/>
      <c r="AA128" s="1"/>
      <c r="AB128" s="1"/>
      <c r="AC128" s="1"/>
      <c r="AD128" s="1"/>
      <c r="AE128" s="1"/>
      <c r="AF128" s="1"/>
      <c r="AG128" s="1"/>
      <c r="AH128" s="1"/>
      <c r="AI128" s="1"/>
      <c r="AJ128" s="1"/>
      <c r="AK128" s="1"/>
      <c r="AL128" s="1"/>
    </row>
    <row r="129" spans="6:38" s="36" customFormat="1" x14ac:dyDescent="0.25">
      <c r="F129" s="38"/>
      <c r="G129" s="1"/>
      <c r="K129" s="1"/>
      <c r="Y129" s="1"/>
      <c r="Z129" s="1"/>
      <c r="AA129" s="1"/>
      <c r="AB129" s="1"/>
      <c r="AC129" s="1"/>
      <c r="AD129" s="1"/>
      <c r="AE129" s="1"/>
      <c r="AF129" s="1"/>
      <c r="AG129" s="1"/>
      <c r="AH129" s="1"/>
      <c r="AI129" s="1"/>
      <c r="AJ129" s="1"/>
      <c r="AK129" s="1"/>
      <c r="AL129" s="1"/>
    </row>
    <row r="130" spans="6:38" s="36" customFormat="1" x14ac:dyDescent="0.25">
      <c r="F130" s="38"/>
      <c r="G130" s="1"/>
      <c r="K130" s="1"/>
      <c r="Y130" s="1"/>
      <c r="Z130" s="1"/>
      <c r="AA130" s="1"/>
      <c r="AB130" s="1"/>
      <c r="AC130" s="1"/>
      <c r="AD130" s="1"/>
      <c r="AE130" s="1"/>
      <c r="AF130" s="1"/>
      <c r="AG130" s="1"/>
      <c r="AH130" s="1"/>
      <c r="AI130" s="1"/>
      <c r="AJ130" s="1"/>
      <c r="AK130" s="1"/>
      <c r="AL130" s="1"/>
    </row>
    <row r="131" spans="6:38" s="36" customFormat="1" x14ac:dyDescent="0.25">
      <c r="F131" s="38"/>
      <c r="G131" s="1"/>
      <c r="K131" s="1"/>
      <c r="Y131" s="1"/>
      <c r="Z131" s="1"/>
      <c r="AA131" s="1"/>
      <c r="AB131" s="1"/>
      <c r="AC131" s="1"/>
      <c r="AD131" s="1"/>
      <c r="AE131" s="1"/>
      <c r="AF131" s="1"/>
      <c r="AG131" s="1"/>
      <c r="AH131" s="1"/>
      <c r="AI131" s="1"/>
      <c r="AJ131" s="1"/>
      <c r="AK131" s="1"/>
      <c r="AL131" s="1"/>
    </row>
    <row r="132" spans="6:38" s="36" customFormat="1" x14ac:dyDescent="0.25">
      <c r="F132" s="38"/>
      <c r="G132" s="1"/>
      <c r="K132" s="1"/>
      <c r="Y132" s="1"/>
      <c r="Z132" s="1"/>
      <c r="AA132" s="1"/>
      <c r="AB132" s="1"/>
      <c r="AC132" s="1"/>
      <c r="AD132" s="1"/>
      <c r="AE132" s="1"/>
      <c r="AF132" s="1"/>
      <c r="AG132" s="1"/>
      <c r="AH132" s="1"/>
      <c r="AI132" s="1"/>
      <c r="AJ132" s="1"/>
      <c r="AK132" s="1"/>
      <c r="AL132" s="1"/>
    </row>
    <row r="133" spans="6:38" s="36" customFormat="1" x14ac:dyDescent="0.25">
      <c r="F133" s="38"/>
      <c r="G133" s="1"/>
      <c r="K133" s="1"/>
      <c r="Y133" s="1"/>
      <c r="Z133" s="1"/>
      <c r="AA133" s="1"/>
      <c r="AB133" s="1"/>
      <c r="AC133" s="1"/>
      <c r="AD133" s="1"/>
      <c r="AE133" s="1"/>
      <c r="AF133" s="1"/>
      <c r="AG133" s="1"/>
      <c r="AH133" s="1"/>
      <c r="AI133" s="1"/>
      <c r="AJ133" s="1"/>
      <c r="AK133" s="1"/>
      <c r="AL133" s="1"/>
    </row>
    <row r="134" spans="6:38" s="36" customFormat="1" x14ac:dyDescent="0.25">
      <c r="F134" s="38"/>
      <c r="G134" s="1"/>
      <c r="K134" s="1"/>
      <c r="Y134" s="1"/>
      <c r="Z134" s="1"/>
      <c r="AA134" s="1"/>
      <c r="AB134" s="1"/>
      <c r="AC134" s="1"/>
      <c r="AD134" s="1"/>
      <c r="AE134" s="1"/>
      <c r="AF134" s="1"/>
      <c r="AG134" s="1"/>
      <c r="AH134" s="1"/>
      <c r="AI134" s="1"/>
      <c r="AJ134" s="1"/>
      <c r="AK134" s="1"/>
      <c r="AL134" s="1"/>
    </row>
    <row r="135" spans="6:38" s="36" customFormat="1" x14ac:dyDescent="0.25">
      <c r="F135" s="38"/>
      <c r="G135" s="1"/>
      <c r="K135" s="1"/>
      <c r="Y135" s="1"/>
      <c r="Z135" s="1"/>
      <c r="AA135" s="1"/>
      <c r="AB135" s="1"/>
      <c r="AC135" s="1"/>
      <c r="AD135" s="1"/>
      <c r="AE135" s="1"/>
      <c r="AF135" s="1"/>
      <c r="AG135" s="1"/>
      <c r="AH135" s="1"/>
      <c r="AI135" s="1"/>
      <c r="AJ135" s="1"/>
      <c r="AK135" s="1"/>
      <c r="AL135" s="1"/>
    </row>
    <row r="136" spans="6:38" s="36" customFormat="1" x14ac:dyDescent="0.25">
      <c r="F136" s="38"/>
      <c r="G136" s="1"/>
      <c r="K136" s="1"/>
      <c r="Y136" s="1"/>
      <c r="Z136" s="1"/>
      <c r="AA136" s="1"/>
      <c r="AB136" s="1"/>
      <c r="AC136" s="1"/>
      <c r="AD136" s="1"/>
      <c r="AE136" s="1"/>
      <c r="AF136" s="1"/>
      <c r="AG136" s="1"/>
      <c r="AH136" s="1"/>
      <c r="AI136" s="1"/>
      <c r="AJ136" s="1"/>
      <c r="AK136" s="1"/>
      <c r="AL136" s="1"/>
    </row>
    <row r="137" spans="6:38" s="36" customFormat="1" x14ac:dyDescent="0.25">
      <c r="F137" s="38"/>
      <c r="G137" s="1"/>
      <c r="K137" s="1"/>
      <c r="Y137" s="1"/>
      <c r="Z137" s="1"/>
      <c r="AA137" s="1"/>
      <c r="AB137" s="1"/>
      <c r="AC137" s="1"/>
      <c r="AD137" s="1"/>
      <c r="AE137" s="1"/>
      <c r="AF137" s="1"/>
      <c r="AG137" s="1"/>
      <c r="AH137" s="1"/>
      <c r="AI137" s="1"/>
      <c r="AJ137" s="1"/>
      <c r="AK137" s="1"/>
      <c r="AL137" s="1"/>
    </row>
    <row r="138" spans="6:38" s="36" customFormat="1" x14ac:dyDescent="0.25">
      <c r="F138" s="38"/>
      <c r="G138" s="1"/>
      <c r="K138" s="1"/>
      <c r="Y138" s="1"/>
      <c r="Z138" s="1"/>
      <c r="AA138" s="1"/>
      <c r="AB138" s="1"/>
      <c r="AC138" s="1"/>
      <c r="AD138" s="1"/>
      <c r="AE138" s="1"/>
      <c r="AF138" s="1"/>
      <c r="AG138" s="1"/>
      <c r="AH138" s="1"/>
      <c r="AI138" s="1"/>
      <c r="AJ138" s="1"/>
      <c r="AK138" s="1"/>
      <c r="AL138" s="1"/>
    </row>
    <row r="139" spans="6:38" s="36" customFormat="1" x14ac:dyDescent="0.25">
      <c r="F139" s="38"/>
      <c r="G139" s="1"/>
      <c r="K139" s="1"/>
      <c r="Y139" s="1"/>
      <c r="Z139" s="1"/>
      <c r="AA139" s="1"/>
      <c r="AB139" s="1"/>
      <c r="AC139" s="1"/>
      <c r="AD139" s="1"/>
      <c r="AE139" s="1"/>
      <c r="AF139" s="1"/>
      <c r="AG139" s="1"/>
      <c r="AH139" s="1"/>
      <c r="AI139" s="1"/>
      <c r="AJ139" s="1"/>
      <c r="AK139" s="1"/>
      <c r="AL139" s="1"/>
    </row>
    <row r="140" spans="6:38" s="36" customFormat="1" x14ac:dyDescent="0.25">
      <c r="F140" s="38"/>
      <c r="G140" s="1"/>
      <c r="K140" s="1"/>
      <c r="Y140" s="1"/>
      <c r="Z140" s="1"/>
      <c r="AA140" s="1"/>
      <c r="AB140" s="1"/>
      <c r="AC140" s="1"/>
      <c r="AD140" s="1"/>
      <c r="AE140" s="1"/>
      <c r="AF140" s="1"/>
      <c r="AG140" s="1"/>
      <c r="AH140" s="1"/>
      <c r="AI140" s="1"/>
      <c r="AJ140" s="1"/>
      <c r="AK140" s="1"/>
      <c r="AL140" s="1"/>
    </row>
    <row r="141" spans="6:38" s="36" customFormat="1" x14ac:dyDescent="0.25">
      <c r="F141" s="38"/>
      <c r="G141" s="1"/>
      <c r="K141" s="1"/>
      <c r="Y141" s="1"/>
      <c r="Z141" s="1"/>
      <c r="AA141" s="1"/>
      <c r="AB141" s="1"/>
      <c r="AC141" s="1"/>
      <c r="AD141" s="1"/>
      <c r="AE141" s="1"/>
      <c r="AF141" s="1"/>
      <c r="AG141" s="1"/>
      <c r="AH141" s="1"/>
      <c r="AI141" s="1"/>
      <c r="AJ141" s="1"/>
      <c r="AK141" s="1"/>
      <c r="AL141" s="1"/>
    </row>
    <row r="142" spans="6:38" s="36" customFormat="1" x14ac:dyDescent="0.25">
      <c r="F142" s="38"/>
      <c r="G142" s="1"/>
      <c r="K142" s="1"/>
      <c r="Y142" s="1"/>
      <c r="Z142" s="1"/>
      <c r="AA142" s="1"/>
      <c r="AB142" s="1"/>
      <c r="AC142" s="1"/>
      <c r="AD142" s="1"/>
      <c r="AE142" s="1"/>
      <c r="AF142" s="1"/>
      <c r="AG142" s="1"/>
      <c r="AH142" s="1"/>
      <c r="AI142" s="1"/>
      <c r="AJ142" s="1"/>
      <c r="AK142" s="1"/>
      <c r="AL142" s="1"/>
    </row>
    <row r="143" spans="6:38" s="36" customFormat="1" x14ac:dyDescent="0.25">
      <c r="F143" s="38"/>
      <c r="G143" s="1"/>
      <c r="K143" s="1"/>
      <c r="Y143" s="1"/>
      <c r="Z143" s="1"/>
      <c r="AA143" s="1"/>
      <c r="AB143" s="1"/>
      <c r="AC143" s="1"/>
      <c r="AD143" s="1"/>
      <c r="AE143" s="1"/>
      <c r="AF143" s="1"/>
      <c r="AG143" s="1"/>
      <c r="AH143" s="1"/>
      <c r="AI143" s="1"/>
      <c r="AJ143" s="1"/>
      <c r="AK143" s="1"/>
      <c r="AL143" s="1"/>
    </row>
    <row r="144" spans="6:38" s="36" customFormat="1" x14ac:dyDescent="0.25">
      <c r="F144" s="38"/>
      <c r="G144" s="1"/>
      <c r="K144" s="1"/>
      <c r="Y144" s="1"/>
      <c r="Z144" s="1"/>
      <c r="AA144" s="1"/>
      <c r="AB144" s="1"/>
      <c r="AC144" s="1"/>
      <c r="AD144" s="1"/>
      <c r="AE144" s="1"/>
      <c r="AF144" s="1"/>
      <c r="AG144" s="1"/>
      <c r="AH144" s="1"/>
      <c r="AI144" s="1"/>
      <c r="AJ144" s="1"/>
      <c r="AK144" s="1"/>
      <c r="AL144" s="1"/>
    </row>
    <row r="145" spans="6:38" s="36" customFormat="1" x14ac:dyDescent="0.25">
      <c r="F145" s="38"/>
      <c r="G145" s="1"/>
      <c r="K145" s="1"/>
      <c r="Y145" s="1"/>
      <c r="Z145" s="1"/>
      <c r="AA145" s="1"/>
      <c r="AB145" s="1"/>
      <c r="AC145" s="1"/>
      <c r="AD145" s="1"/>
      <c r="AE145" s="1"/>
      <c r="AF145" s="1"/>
      <c r="AG145" s="1"/>
      <c r="AH145" s="1"/>
      <c r="AI145" s="1"/>
      <c r="AJ145" s="1"/>
      <c r="AK145" s="1"/>
      <c r="AL145" s="1"/>
    </row>
    <row r="146" spans="6:38" s="36" customFormat="1" x14ac:dyDescent="0.25">
      <c r="F146" s="38"/>
      <c r="G146" s="1"/>
      <c r="K146" s="1"/>
      <c r="Y146" s="1"/>
      <c r="Z146" s="1"/>
      <c r="AA146" s="1"/>
      <c r="AB146" s="1"/>
      <c r="AC146" s="1"/>
      <c r="AD146" s="1"/>
      <c r="AE146" s="1"/>
      <c r="AF146" s="1"/>
      <c r="AG146" s="1"/>
      <c r="AH146" s="1"/>
      <c r="AI146" s="1"/>
      <c r="AJ146" s="1"/>
      <c r="AK146" s="1"/>
      <c r="AL146" s="1"/>
    </row>
    <row r="147" spans="6:38" s="36" customFormat="1" x14ac:dyDescent="0.25">
      <c r="F147" s="38"/>
      <c r="G147" s="1"/>
      <c r="K147" s="1"/>
      <c r="Y147" s="1"/>
      <c r="Z147" s="1"/>
      <c r="AA147" s="1"/>
      <c r="AB147" s="1"/>
      <c r="AC147" s="1"/>
      <c r="AD147" s="1"/>
      <c r="AE147" s="1"/>
      <c r="AF147" s="1"/>
      <c r="AG147" s="1"/>
      <c r="AH147" s="1"/>
      <c r="AI147" s="1"/>
      <c r="AJ147" s="1"/>
      <c r="AK147" s="1"/>
      <c r="AL147" s="1"/>
    </row>
    <row r="148" spans="6:38" s="36" customFormat="1" x14ac:dyDescent="0.25">
      <c r="F148" s="38"/>
      <c r="G148" s="1"/>
      <c r="K148" s="1"/>
      <c r="Y148" s="1"/>
      <c r="Z148" s="1"/>
      <c r="AA148" s="1"/>
      <c r="AB148" s="1"/>
      <c r="AC148" s="1"/>
      <c r="AD148" s="1"/>
      <c r="AE148" s="1"/>
      <c r="AF148" s="1"/>
      <c r="AG148" s="1"/>
      <c r="AH148" s="1"/>
      <c r="AI148" s="1"/>
      <c r="AJ148" s="1"/>
      <c r="AK148" s="1"/>
      <c r="AL148" s="1"/>
    </row>
    <row r="149" spans="6:38" s="36" customFormat="1" x14ac:dyDescent="0.25">
      <c r="F149" s="38"/>
      <c r="G149" s="1"/>
      <c r="K149" s="1"/>
      <c r="Y149" s="1"/>
      <c r="Z149" s="1"/>
      <c r="AA149" s="1"/>
      <c r="AB149" s="1"/>
      <c r="AC149" s="1"/>
      <c r="AD149" s="1"/>
      <c r="AE149" s="1"/>
      <c r="AF149" s="1"/>
      <c r="AG149" s="1"/>
      <c r="AH149" s="1"/>
      <c r="AI149" s="1"/>
      <c r="AJ149" s="1"/>
      <c r="AK149" s="1"/>
      <c r="AL149" s="1"/>
    </row>
    <row r="150" spans="6:38" s="36" customFormat="1" x14ac:dyDescent="0.25">
      <c r="F150" s="38"/>
      <c r="G150" s="1"/>
      <c r="K150" s="1"/>
      <c r="Y150" s="1"/>
      <c r="Z150" s="1"/>
      <c r="AA150" s="1"/>
      <c r="AB150" s="1"/>
      <c r="AC150" s="1"/>
      <c r="AD150" s="1"/>
      <c r="AE150" s="1"/>
      <c r="AF150" s="1"/>
      <c r="AG150" s="1"/>
      <c r="AH150" s="1"/>
      <c r="AI150" s="1"/>
      <c r="AJ150" s="1"/>
      <c r="AK150" s="1"/>
      <c r="AL150" s="1"/>
    </row>
    <row r="151" spans="6:38" s="36" customFormat="1" x14ac:dyDescent="0.25">
      <c r="F151" s="38"/>
      <c r="G151" s="1"/>
      <c r="K151" s="1"/>
      <c r="Y151" s="1"/>
      <c r="Z151" s="1"/>
      <c r="AA151" s="1"/>
      <c r="AB151" s="1"/>
      <c r="AC151" s="1"/>
      <c r="AD151" s="1"/>
      <c r="AE151" s="1"/>
      <c r="AF151" s="1"/>
      <c r="AG151" s="1"/>
      <c r="AH151" s="1"/>
      <c r="AI151" s="1"/>
      <c r="AJ151" s="1"/>
      <c r="AK151" s="1"/>
      <c r="AL151" s="1"/>
    </row>
    <row r="152" spans="6:38" s="36" customFormat="1" x14ac:dyDescent="0.25">
      <c r="F152" s="38"/>
      <c r="G152" s="1"/>
      <c r="K152" s="1"/>
      <c r="Y152" s="1"/>
      <c r="Z152" s="1"/>
      <c r="AA152" s="1"/>
      <c r="AB152" s="1"/>
      <c r="AC152" s="1"/>
      <c r="AD152" s="1"/>
      <c r="AE152" s="1"/>
      <c r="AF152" s="1"/>
      <c r="AG152" s="1"/>
      <c r="AH152" s="1"/>
      <c r="AI152" s="1"/>
      <c r="AJ152" s="1"/>
      <c r="AK152" s="1"/>
      <c r="AL152" s="1"/>
    </row>
    <row r="153" spans="6:38" s="36" customFormat="1" x14ac:dyDescent="0.25">
      <c r="F153" s="38"/>
      <c r="G153" s="1"/>
      <c r="K153" s="1"/>
      <c r="Y153" s="1"/>
      <c r="Z153" s="1"/>
      <c r="AA153" s="1"/>
      <c r="AB153" s="1"/>
      <c r="AC153" s="1"/>
      <c r="AD153" s="1"/>
      <c r="AE153" s="1"/>
      <c r="AF153" s="1"/>
      <c r="AG153" s="1"/>
      <c r="AH153" s="1"/>
      <c r="AI153" s="1"/>
      <c r="AJ153" s="1"/>
      <c r="AK153" s="1"/>
      <c r="AL153" s="1"/>
    </row>
    <row r="154" spans="6:38" s="36" customFormat="1" x14ac:dyDescent="0.25">
      <c r="F154" s="38"/>
      <c r="G154" s="1"/>
      <c r="K154" s="1"/>
      <c r="Y154" s="1"/>
      <c r="Z154" s="1"/>
      <c r="AA154" s="1"/>
      <c r="AB154" s="1"/>
      <c r="AC154" s="1"/>
      <c r="AD154" s="1"/>
      <c r="AE154" s="1"/>
      <c r="AF154" s="1"/>
      <c r="AG154" s="1"/>
      <c r="AH154" s="1"/>
      <c r="AI154" s="1"/>
      <c r="AJ154" s="1"/>
      <c r="AK154" s="1"/>
      <c r="AL154" s="1"/>
    </row>
    <row r="155" spans="6:38" s="36" customFormat="1" x14ac:dyDescent="0.25">
      <c r="F155" s="38"/>
      <c r="G155" s="1"/>
      <c r="K155" s="1"/>
      <c r="Y155" s="1"/>
      <c r="Z155" s="1"/>
      <c r="AA155" s="1"/>
      <c r="AB155" s="1"/>
      <c r="AC155" s="1"/>
      <c r="AD155" s="1"/>
      <c r="AE155" s="1"/>
      <c r="AF155" s="1"/>
      <c r="AG155" s="1"/>
      <c r="AH155" s="1"/>
      <c r="AI155" s="1"/>
      <c r="AJ155" s="1"/>
      <c r="AK155" s="1"/>
      <c r="AL155" s="1"/>
    </row>
    <row r="156" spans="6:38" s="36" customFormat="1" x14ac:dyDescent="0.25">
      <c r="F156" s="38"/>
      <c r="G156" s="1"/>
      <c r="K156" s="1"/>
      <c r="Y156" s="1"/>
      <c r="Z156" s="1"/>
      <c r="AA156" s="1"/>
      <c r="AB156" s="1"/>
      <c r="AC156" s="1"/>
      <c r="AD156" s="1"/>
      <c r="AE156" s="1"/>
      <c r="AF156" s="1"/>
      <c r="AG156" s="1"/>
      <c r="AH156" s="1"/>
      <c r="AI156" s="1"/>
      <c r="AJ156" s="1"/>
      <c r="AK156" s="1"/>
      <c r="AL156" s="1"/>
    </row>
    <row r="157" spans="6:38" s="36" customFormat="1" x14ac:dyDescent="0.25">
      <c r="F157" s="38"/>
      <c r="G157" s="1"/>
      <c r="K157" s="1"/>
      <c r="Y157" s="1"/>
      <c r="Z157" s="1"/>
      <c r="AA157" s="1"/>
      <c r="AB157" s="1"/>
      <c r="AC157" s="1"/>
      <c r="AD157" s="1"/>
      <c r="AE157" s="1"/>
      <c r="AF157" s="1"/>
      <c r="AG157" s="1"/>
      <c r="AH157" s="1"/>
      <c r="AI157" s="1"/>
      <c r="AJ157" s="1"/>
      <c r="AK157" s="1"/>
      <c r="AL157" s="1"/>
    </row>
    <row r="158" spans="6:38" s="36" customFormat="1" x14ac:dyDescent="0.25">
      <c r="F158" s="38"/>
      <c r="G158" s="1"/>
      <c r="K158" s="1"/>
      <c r="Y158" s="1"/>
      <c r="Z158" s="1"/>
      <c r="AA158" s="1"/>
      <c r="AB158" s="1"/>
      <c r="AC158" s="1"/>
      <c r="AD158" s="1"/>
      <c r="AE158" s="1"/>
      <c r="AF158" s="1"/>
      <c r="AG158" s="1"/>
      <c r="AH158" s="1"/>
      <c r="AI158" s="1"/>
      <c r="AJ158" s="1"/>
      <c r="AK158" s="1"/>
      <c r="AL158" s="1"/>
    </row>
    <row r="159" spans="6:38" s="36" customFormat="1" x14ac:dyDescent="0.25">
      <c r="F159" s="38"/>
      <c r="G159" s="1"/>
      <c r="K159" s="1"/>
      <c r="Y159" s="1"/>
      <c r="Z159" s="1"/>
      <c r="AA159" s="1"/>
      <c r="AB159" s="1"/>
      <c r="AC159" s="1"/>
      <c r="AD159" s="1"/>
      <c r="AE159" s="1"/>
      <c r="AF159" s="1"/>
      <c r="AG159" s="1"/>
      <c r="AH159" s="1"/>
      <c r="AI159" s="1"/>
      <c r="AJ159" s="1"/>
      <c r="AK159" s="1"/>
      <c r="AL159" s="1"/>
    </row>
    <row r="160" spans="6:38" s="36" customFormat="1" x14ac:dyDescent="0.25">
      <c r="F160" s="38"/>
      <c r="G160" s="1"/>
      <c r="K160" s="1"/>
      <c r="Y160" s="1"/>
      <c r="Z160" s="1"/>
      <c r="AA160" s="1"/>
      <c r="AB160" s="1"/>
      <c r="AC160" s="1"/>
      <c r="AD160" s="1"/>
      <c r="AE160" s="1"/>
      <c r="AF160" s="1"/>
      <c r="AG160" s="1"/>
      <c r="AH160" s="1"/>
      <c r="AI160" s="1"/>
      <c r="AJ160" s="1"/>
      <c r="AK160" s="1"/>
      <c r="AL160" s="1"/>
    </row>
    <row r="161" spans="6:38" s="36" customFormat="1" x14ac:dyDescent="0.25">
      <c r="F161" s="38"/>
      <c r="G161" s="1"/>
      <c r="K161" s="1"/>
      <c r="Y161" s="1"/>
      <c r="Z161" s="1"/>
      <c r="AA161" s="1"/>
      <c r="AB161" s="1"/>
      <c r="AC161" s="1"/>
      <c r="AD161" s="1"/>
      <c r="AE161" s="1"/>
      <c r="AF161" s="1"/>
      <c r="AG161" s="1"/>
      <c r="AH161" s="1"/>
      <c r="AI161" s="1"/>
      <c r="AJ161" s="1"/>
      <c r="AK161" s="1"/>
      <c r="AL161" s="1"/>
    </row>
    <row r="162" spans="6:38" s="36" customFormat="1" x14ac:dyDescent="0.25">
      <c r="F162" s="38"/>
      <c r="G162" s="1"/>
      <c r="K162" s="1"/>
      <c r="Y162" s="1"/>
      <c r="Z162" s="1"/>
      <c r="AA162" s="1"/>
      <c r="AB162" s="1"/>
      <c r="AC162" s="1"/>
      <c r="AD162" s="1"/>
      <c r="AE162" s="1"/>
      <c r="AF162" s="1"/>
      <c r="AG162" s="1"/>
      <c r="AH162" s="1"/>
      <c r="AI162" s="1"/>
      <c r="AJ162" s="1"/>
      <c r="AK162" s="1"/>
      <c r="AL162" s="1"/>
    </row>
    <row r="163" spans="6:38" s="36" customFormat="1" x14ac:dyDescent="0.25">
      <c r="F163" s="38"/>
      <c r="G163" s="1"/>
      <c r="K163" s="1"/>
      <c r="Y163" s="1"/>
      <c r="Z163" s="1"/>
      <c r="AA163" s="1"/>
      <c r="AB163" s="1"/>
      <c r="AC163" s="1"/>
      <c r="AD163" s="1"/>
      <c r="AE163" s="1"/>
      <c r="AF163" s="1"/>
      <c r="AG163" s="1"/>
      <c r="AH163" s="1"/>
      <c r="AI163" s="1"/>
      <c r="AJ163" s="1"/>
      <c r="AK163" s="1"/>
      <c r="AL163" s="1"/>
    </row>
    <row r="164" spans="6:38" s="36" customFormat="1" x14ac:dyDescent="0.25">
      <c r="F164" s="38"/>
      <c r="G164" s="1"/>
      <c r="K164" s="1"/>
      <c r="Y164" s="1"/>
      <c r="Z164" s="1"/>
      <c r="AA164" s="1"/>
      <c r="AB164" s="1"/>
      <c r="AC164" s="1"/>
      <c r="AD164" s="1"/>
      <c r="AE164" s="1"/>
      <c r="AF164" s="1"/>
      <c r="AG164" s="1"/>
      <c r="AH164" s="1"/>
      <c r="AI164" s="1"/>
      <c r="AJ164" s="1"/>
      <c r="AK164" s="1"/>
      <c r="AL164" s="1"/>
    </row>
    <row r="165" spans="6:38" s="36" customFormat="1" x14ac:dyDescent="0.25">
      <c r="F165" s="38"/>
      <c r="G165" s="1"/>
      <c r="K165" s="1"/>
      <c r="Y165" s="1"/>
      <c r="Z165" s="1"/>
      <c r="AA165" s="1"/>
      <c r="AB165" s="1"/>
      <c r="AC165" s="1"/>
      <c r="AD165" s="1"/>
      <c r="AE165" s="1"/>
      <c r="AF165" s="1"/>
      <c r="AG165" s="1"/>
      <c r="AH165" s="1"/>
      <c r="AI165" s="1"/>
      <c r="AJ165" s="1"/>
      <c r="AK165" s="1"/>
      <c r="AL165" s="1"/>
    </row>
    <row r="166" spans="6:38" s="36" customFormat="1" x14ac:dyDescent="0.25">
      <c r="F166" s="38"/>
      <c r="G166" s="1"/>
      <c r="K166" s="1"/>
      <c r="Y166" s="1"/>
      <c r="Z166" s="1"/>
      <c r="AA166" s="1"/>
      <c r="AB166" s="1"/>
      <c r="AC166" s="1"/>
      <c r="AD166" s="1"/>
      <c r="AE166" s="1"/>
      <c r="AF166" s="1"/>
      <c r="AG166" s="1"/>
      <c r="AH166" s="1"/>
      <c r="AI166" s="1"/>
      <c r="AJ166" s="1"/>
      <c r="AK166" s="1"/>
      <c r="AL166" s="1"/>
    </row>
    <row r="167" spans="6:38" s="36" customFormat="1" x14ac:dyDescent="0.25">
      <c r="F167" s="38"/>
      <c r="G167" s="1"/>
      <c r="K167" s="1"/>
      <c r="Y167" s="1"/>
      <c r="Z167" s="1"/>
      <c r="AA167" s="1"/>
      <c r="AB167" s="1"/>
      <c r="AC167" s="1"/>
      <c r="AD167" s="1"/>
      <c r="AE167" s="1"/>
      <c r="AF167" s="1"/>
      <c r="AG167" s="1"/>
      <c r="AH167" s="1"/>
      <c r="AI167" s="1"/>
      <c r="AJ167" s="1"/>
      <c r="AK167" s="1"/>
      <c r="AL167" s="1"/>
    </row>
    <row r="168" spans="6:38" s="36" customFormat="1" x14ac:dyDescent="0.25">
      <c r="F168" s="38"/>
      <c r="G168" s="1"/>
      <c r="K168" s="1"/>
      <c r="Y168" s="1"/>
      <c r="Z168" s="1"/>
      <c r="AA168" s="1"/>
      <c r="AB168" s="1"/>
      <c r="AC168" s="1"/>
      <c r="AD168" s="1"/>
      <c r="AE168" s="1"/>
      <c r="AF168" s="1"/>
      <c r="AG168" s="1"/>
      <c r="AH168" s="1"/>
      <c r="AI168" s="1"/>
      <c r="AJ168" s="1"/>
      <c r="AK168" s="1"/>
      <c r="AL168" s="1"/>
    </row>
    <row r="169" spans="6:38" s="36" customFormat="1" x14ac:dyDescent="0.25">
      <c r="F169" s="38"/>
      <c r="G169" s="1"/>
      <c r="K169" s="1"/>
      <c r="Y169" s="1"/>
      <c r="Z169" s="1"/>
      <c r="AA169" s="1"/>
      <c r="AB169" s="1"/>
      <c r="AC169" s="1"/>
      <c r="AD169" s="1"/>
      <c r="AE169" s="1"/>
      <c r="AF169" s="1"/>
      <c r="AG169" s="1"/>
      <c r="AH169" s="1"/>
      <c r="AI169" s="1"/>
      <c r="AJ169" s="1"/>
      <c r="AK169" s="1"/>
      <c r="AL169" s="1"/>
    </row>
    <row r="170" spans="6:38" s="36" customFormat="1" x14ac:dyDescent="0.25">
      <c r="F170" s="38"/>
      <c r="G170" s="1"/>
      <c r="K170" s="1"/>
      <c r="Y170" s="1"/>
      <c r="Z170" s="1"/>
      <c r="AA170" s="1"/>
      <c r="AB170" s="1"/>
      <c r="AC170" s="1"/>
      <c r="AD170" s="1"/>
      <c r="AE170" s="1"/>
      <c r="AF170" s="1"/>
      <c r="AG170" s="1"/>
      <c r="AH170" s="1"/>
      <c r="AI170" s="1"/>
      <c r="AJ170" s="1"/>
      <c r="AK170" s="1"/>
      <c r="AL170" s="1"/>
    </row>
    <row r="171" spans="6:38" s="36" customFormat="1" x14ac:dyDescent="0.25">
      <c r="F171" s="38"/>
      <c r="G171" s="1"/>
      <c r="K171" s="1"/>
      <c r="Y171" s="1"/>
      <c r="Z171" s="1"/>
      <c r="AA171" s="1"/>
      <c r="AB171" s="1"/>
      <c r="AC171" s="1"/>
      <c r="AD171" s="1"/>
      <c r="AE171" s="1"/>
      <c r="AF171" s="1"/>
      <c r="AG171" s="1"/>
      <c r="AH171" s="1"/>
      <c r="AI171" s="1"/>
      <c r="AJ171" s="1"/>
      <c r="AK171" s="1"/>
      <c r="AL171" s="1"/>
    </row>
    <row r="172" spans="6:38" s="36" customFormat="1" x14ac:dyDescent="0.25">
      <c r="F172" s="38"/>
      <c r="G172" s="1"/>
      <c r="K172" s="1"/>
      <c r="Y172" s="1"/>
      <c r="Z172" s="1"/>
      <c r="AA172" s="1"/>
      <c r="AB172" s="1"/>
      <c r="AC172" s="1"/>
      <c r="AD172" s="1"/>
      <c r="AE172" s="1"/>
      <c r="AF172" s="1"/>
      <c r="AG172" s="1"/>
      <c r="AH172" s="1"/>
      <c r="AI172" s="1"/>
      <c r="AJ172" s="1"/>
      <c r="AK172" s="1"/>
      <c r="AL172" s="1"/>
    </row>
    <row r="173" spans="6:38" s="36" customFormat="1" x14ac:dyDescent="0.25">
      <c r="F173" s="38"/>
      <c r="G173" s="1"/>
      <c r="K173" s="1"/>
      <c r="Y173" s="1"/>
      <c r="Z173" s="1"/>
      <c r="AA173" s="1"/>
      <c r="AB173" s="1"/>
      <c r="AC173" s="1"/>
      <c r="AD173" s="1"/>
      <c r="AE173" s="1"/>
      <c r="AF173" s="1"/>
      <c r="AG173" s="1"/>
      <c r="AH173" s="1"/>
      <c r="AI173" s="1"/>
      <c r="AJ173" s="1"/>
      <c r="AK173" s="1"/>
      <c r="AL173" s="1"/>
    </row>
    <row r="174" spans="6:38" s="36" customFormat="1" x14ac:dyDescent="0.25">
      <c r="F174" s="38"/>
      <c r="G174" s="1"/>
      <c r="K174" s="1"/>
      <c r="Y174" s="1"/>
      <c r="Z174" s="1"/>
      <c r="AA174" s="1"/>
      <c r="AB174" s="1"/>
      <c r="AC174" s="1"/>
      <c r="AD174" s="1"/>
      <c r="AE174" s="1"/>
      <c r="AF174" s="1"/>
      <c r="AG174" s="1"/>
      <c r="AH174" s="1"/>
      <c r="AI174" s="1"/>
      <c r="AJ174" s="1"/>
      <c r="AK174" s="1"/>
      <c r="AL174" s="1"/>
    </row>
    <row r="175" spans="6:38" s="36" customFormat="1" x14ac:dyDescent="0.25">
      <c r="F175" s="38"/>
      <c r="G175" s="1"/>
      <c r="K175" s="1"/>
      <c r="Y175" s="1"/>
      <c r="Z175" s="1"/>
      <c r="AA175" s="1"/>
      <c r="AB175" s="1"/>
      <c r="AC175" s="1"/>
      <c r="AD175" s="1"/>
      <c r="AE175" s="1"/>
      <c r="AF175" s="1"/>
      <c r="AG175" s="1"/>
      <c r="AH175" s="1"/>
      <c r="AI175" s="1"/>
      <c r="AJ175" s="1"/>
      <c r="AK175" s="1"/>
      <c r="AL175" s="1"/>
    </row>
    <row r="176" spans="6:38" s="36" customFormat="1" x14ac:dyDescent="0.25">
      <c r="F176" s="38"/>
      <c r="G176" s="1"/>
      <c r="K176" s="1"/>
      <c r="Y176" s="1"/>
      <c r="Z176" s="1"/>
      <c r="AA176" s="1"/>
      <c r="AB176" s="1"/>
      <c r="AC176" s="1"/>
      <c r="AD176" s="1"/>
      <c r="AE176" s="1"/>
      <c r="AF176" s="1"/>
      <c r="AG176" s="1"/>
      <c r="AH176" s="1"/>
      <c r="AI176" s="1"/>
      <c r="AJ176" s="1"/>
      <c r="AK176" s="1"/>
      <c r="AL176" s="1"/>
    </row>
    <row r="177" spans="6:38" s="36" customFormat="1" x14ac:dyDescent="0.25">
      <c r="F177" s="38"/>
      <c r="G177" s="1"/>
      <c r="K177" s="1"/>
      <c r="Y177" s="1"/>
      <c r="Z177" s="1"/>
      <c r="AA177" s="1"/>
      <c r="AB177" s="1"/>
      <c r="AC177" s="1"/>
      <c r="AD177" s="1"/>
      <c r="AE177" s="1"/>
      <c r="AF177" s="1"/>
      <c r="AG177" s="1"/>
      <c r="AH177" s="1"/>
      <c r="AI177" s="1"/>
      <c r="AJ177" s="1"/>
      <c r="AK177" s="1"/>
      <c r="AL177" s="1"/>
    </row>
    <row r="178" spans="6:38" s="36" customFormat="1" x14ac:dyDescent="0.25">
      <c r="F178" s="38"/>
      <c r="G178" s="1"/>
      <c r="K178" s="1"/>
      <c r="Y178" s="1"/>
      <c r="Z178" s="1"/>
      <c r="AA178" s="1"/>
      <c r="AB178" s="1"/>
      <c r="AC178" s="1"/>
      <c r="AD178" s="1"/>
      <c r="AE178" s="1"/>
      <c r="AF178" s="1"/>
      <c r="AG178" s="1"/>
      <c r="AH178" s="1"/>
      <c r="AI178" s="1"/>
      <c r="AJ178" s="1"/>
      <c r="AK178" s="1"/>
      <c r="AL178" s="1"/>
    </row>
    <row r="179" spans="6:38" s="36" customFormat="1" x14ac:dyDescent="0.25">
      <c r="F179" s="38"/>
      <c r="G179" s="1"/>
      <c r="K179" s="1"/>
      <c r="Y179" s="1"/>
      <c r="Z179" s="1"/>
      <c r="AA179" s="1"/>
      <c r="AB179" s="1"/>
      <c r="AC179" s="1"/>
      <c r="AD179" s="1"/>
      <c r="AE179" s="1"/>
      <c r="AF179" s="1"/>
      <c r="AG179" s="1"/>
      <c r="AH179" s="1"/>
      <c r="AI179" s="1"/>
      <c r="AJ179" s="1"/>
      <c r="AK179" s="1"/>
      <c r="AL179" s="1"/>
    </row>
    <row r="180" spans="6:38" s="36" customFormat="1" x14ac:dyDescent="0.25">
      <c r="F180" s="38"/>
      <c r="G180" s="1"/>
      <c r="K180" s="1"/>
      <c r="Y180" s="1"/>
      <c r="Z180" s="1"/>
      <c r="AA180" s="1"/>
      <c r="AB180" s="1"/>
      <c r="AC180" s="1"/>
      <c r="AD180" s="1"/>
      <c r="AE180" s="1"/>
      <c r="AF180" s="1"/>
      <c r="AG180" s="1"/>
      <c r="AH180" s="1"/>
      <c r="AI180" s="1"/>
      <c r="AJ180" s="1"/>
      <c r="AK180" s="1"/>
      <c r="AL180" s="1"/>
    </row>
    <row r="181" spans="6:38" s="36" customFormat="1" x14ac:dyDescent="0.25">
      <c r="F181" s="38"/>
      <c r="G181" s="1"/>
      <c r="K181" s="1"/>
      <c r="Y181" s="1"/>
      <c r="Z181" s="1"/>
      <c r="AA181" s="1"/>
      <c r="AB181" s="1"/>
      <c r="AC181" s="1"/>
      <c r="AD181" s="1"/>
      <c r="AE181" s="1"/>
      <c r="AF181" s="1"/>
      <c r="AG181" s="1"/>
      <c r="AH181" s="1"/>
      <c r="AI181" s="1"/>
      <c r="AJ181" s="1"/>
      <c r="AK181" s="1"/>
      <c r="AL181" s="1"/>
    </row>
    <row r="182" spans="6:38" s="36" customFormat="1" x14ac:dyDescent="0.25">
      <c r="F182" s="38"/>
      <c r="G182" s="1"/>
      <c r="K182" s="1"/>
      <c r="Y182" s="1"/>
      <c r="Z182" s="1"/>
      <c r="AA182" s="1"/>
      <c r="AB182" s="1"/>
      <c r="AC182" s="1"/>
      <c r="AD182" s="1"/>
      <c r="AE182" s="1"/>
      <c r="AF182" s="1"/>
      <c r="AG182" s="1"/>
      <c r="AH182" s="1"/>
      <c r="AI182" s="1"/>
      <c r="AJ182" s="1"/>
      <c r="AK182" s="1"/>
      <c r="AL182" s="1"/>
    </row>
    <row r="183" spans="6:38" s="36" customFormat="1" x14ac:dyDescent="0.25">
      <c r="F183" s="38"/>
      <c r="G183" s="1"/>
      <c r="K183" s="1"/>
      <c r="Y183" s="1"/>
      <c r="Z183" s="1"/>
      <c r="AA183" s="1"/>
      <c r="AB183" s="1"/>
      <c r="AC183" s="1"/>
      <c r="AD183" s="1"/>
      <c r="AE183" s="1"/>
      <c r="AF183" s="1"/>
      <c r="AG183" s="1"/>
      <c r="AH183" s="1"/>
      <c r="AI183" s="1"/>
      <c r="AJ183" s="1"/>
      <c r="AK183" s="1"/>
      <c r="AL183" s="1"/>
    </row>
    <row r="184" spans="6:38" s="36" customFormat="1" x14ac:dyDescent="0.25">
      <c r="F184" s="38"/>
      <c r="G184" s="1"/>
      <c r="K184" s="1"/>
      <c r="Y184" s="1"/>
      <c r="Z184" s="1"/>
      <c r="AA184" s="1"/>
      <c r="AB184" s="1"/>
      <c r="AC184" s="1"/>
      <c r="AD184" s="1"/>
      <c r="AE184" s="1"/>
      <c r="AF184" s="1"/>
      <c r="AG184" s="1"/>
      <c r="AH184" s="1"/>
      <c r="AI184" s="1"/>
      <c r="AJ184" s="1"/>
      <c r="AK184" s="1"/>
      <c r="AL184" s="1"/>
    </row>
    <row r="185" spans="6:38" s="36" customFormat="1" x14ac:dyDescent="0.25">
      <c r="F185" s="38"/>
      <c r="G185" s="1"/>
      <c r="K185" s="1"/>
      <c r="Y185" s="1"/>
      <c r="Z185" s="1"/>
      <c r="AA185" s="1"/>
      <c r="AB185" s="1"/>
      <c r="AC185" s="1"/>
      <c r="AD185" s="1"/>
      <c r="AE185" s="1"/>
      <c r="AF185" s="1"/>
      <c r="AG185" s="1"/>
      <c r="AH185" s="1"/>
      <c r="AI185" s="1"/>
      <c r="AJ185" s="1"/>
      <c r="AK185" s="1"/>
      <c r="AL185" s="1"/>
    </row>
    <row r="186" spans="6:38" s="36" customFormat="1" x14ac:dyDescent="0.25">
      <c r="F186" s="38"/>
      <c r="G186" s="1"/>
      <c r="K186" s="1"/>
      <c r="Y186" s="1"/>
      <c r="Z186" s="1"/>
      <c r="AA186" s="1"/>
      <c r="AB186" s="1"/>
      <c r="AC186" s="1"/>
      <c r="AD186" s="1"/>
      <c r="AE186" s="1"/>
      <c r="AF186" s="1"/>
      <c r="AG186" s="1"/>
      <c r="AH186" s="1"/>
      <c r="AI186" s="1"/>
      <c r="AJ186" s="1"/>
      <c r="AK186" s="1"/>
      <c r="AL186" s="1"/>
    </row>
    <row r="187" spans="6:38" s="36" customFormat="1" x14ac:dyDescent="0.25">
      <c r="F187" s="38"/>
      <c r="G187" s="1"/>
      <c r="K187" s="1"/>
      <c r="Y187" s="1"/>
      <c r="Z187" s="1"/>
      <c r="AA187" s="1"/>
      <c r="AB187" s="1"/>
      <c r="AC187" s="1"/>
      <c r="AD187" s="1"/>
      <c r="AE187" s="1"/>
      <c r="AF187" s="1"/>
      <c r="AG187" s="1"/>
      <c r="AH187" s="1"/>
      <c r="AI187" s="1"/>
      <c r="AJ187" s="1"/>
      <c r="AK187" s="1"/>
      <c r="AL187" s="1"/>
    </row>
    <row r="188" spans="6:38" s="36" customFormat="1" x14ac:dyDescent="0.25">
      <c r="F188" s="38"/>
      <c r="G188" s="1"/>
      <c r="K188" s="1"/>
      <c r="Y188" s="1"/>
      <c r="Z188" s="1"/>
      <c r="AA188" s="1"/>
      <c r="AB188" s="1"/>
      <c r="AC188" s="1"/>
      <c r="AD188" s="1"/>
      <c r="AE188" s="1"/>
      <c r="AF188" s="1"/>
      <c r="AG188" s="1"/>
      <c r="AH188" s="1"/>
      <c r="AI188" s="1"/>
      <c r="AJ188" s="1"/>
      <c r="AK188" s="1"/>
      <c r="AL188" s="1"/>
    </row>
    <row r="189" spans="6:38" s="36" customFormat="1" x14ac:dyDescent="0.25">
      <c r="F189" s="38"/>
      <c r="G189" s="1"/>
      <c r="K189" s="1"/>
      <c r="Y189" s="1"/>
      <c r="Z189" s="1"/>
      <c r="AA189" s="1"/>
      <c r="AB189" s="1"/>
      <c r="AC189" s="1"/>
      <c r="AD189" s="1"/>
      <c r="AE189" s="1"/>
      <c r="AF189" s="1"/>
      <c r="AG189" s="1"/>
      <c r="AH189" s="1"/>
      <c r="AI189" s="1"/>
      <c r="AJ189" s="1"/>
      <c r="AK189" s="1"/>
      <c r="AL189" s="1"/>
    </row>
    <row r="190" spans="6:38" s="36" customFormat="1" x14ac:dyDescent="0.25">
      <c r="F190" s="38"/>
      <c r="G190" s="1"/>
      <c r="K190" s="1"/>
      <c r="Y190" s="1"/>
      <c r="Z190" s="1"/>
      <c r="AA190" s="1"/>
      <c r="AB190" s="1"/>
      <c r="AC190" s="1"/>
      <c r="AD190" s="1"/>
      <c r="AE190" s="1"/>
      <c r="AF190" s="1"/>
      <c r="AG190" s="1"/>
      <c r="AH190" s="1"/>
      <c r="AI190" s="1"/>
      <c r="AJ190" s="1"/>
      <c r="AK190" s="1"/>
      <c r="AL190" s="1"/>
    </row>
    <row r="191" spans="6:38" s="36" customFormat="1" x14ac:dyDescent="0.25">
      <c r="F191" s="38"/>
      <c r="G191" s="1"/>
      <c r="K191" s="1"/>
      <c r="Y191" s="1"/>
      <c r="Z191" s="1"/>
      <c r="AA191" s="1"/>
      <c r="AB191" s="1"/>
      <c r="AC191" s="1"/>
      <c r="AD191" s="1"/>
      <c r="AE191" s="1"/>
      <c r="AF191" s="1"/>
      <c r="AG191" s="1"/>
      <c r="AH191" s="1"/>
      <c r="AI191" s="1"/>
      <c r="AJ191" s="1"/>
      <c r="AK191" s="1"/>
      <c r="AL191" s="1"/>
    </row>
    <row r="192" spans="6:38" s="36" customFormat="1" x14ac:dyDescent="0.25">
      <c r="F192" s="38"/>
      <c r="G192" s="1"/>
      <c r="K192" s="1"/>
      <c r="Y192" s="1"/>
      <c r="Z192" s="1"/>
      <c r="AA192" s="1"/>
      <c r="AB192" s="1"/>
      <c r="AC192" s="1"/>
      <c r="AD192" s="1"/>
      <c r="AE192" s="1"/>
      <c r="AF192" s="1"/>
      <c r="AG192" s="1"/>
      <c r="AH192" s="1"/>
      <c r="AI192" s="1"/>
      <c r="AJ192" s="1"/>
      <c r="AK192" s="1"/>
      <c r="AL192" s="1"/>
    </row>
    <row r="193" spans="6:38" s="36" customFormat="1" x14ac:dyDescent="0.25">
      <c r="F193" s="38"/>
      <c r="G193" s="1"/>
      <c r="K193" s="1"/>
      <c r="Y193" s="1"/>
      <c r="Z193" s="1"/>
      <c r="AA193" s="1"/>
      <c r="AB193" s="1"/>
      <c r="AC193" s="1"/>
      <c r="AD193" s="1"/>
      <c r="AE193" s="1"/>
      <c r="AF193" s="1"/>
      <c r="AG193" s="1"/>
      <c r="AH193" s="1"/>
      <c r="AI193" s="1"/>
      <c r="AJ193" s="1"/>
      <c r="AK193" s="1"/>
      <c r="AL193" s="1"/>
    </row>
    <row r="194" spans="6:38" s="36" customFormat="1" x14ac:dyDescent="0.25">
      <c r="F194" s="38"/>
      <c r="G194" s="1"/>
      <c r="K194" s="1"/>
      <c r="Y194" s="1"/>
      <c r="Z194" s="1"/>
      <c r="AA194" s="1"/>
      <c r="AB194" s="1"/>
      <c r="AC194" s="1"/>
      <c r="AD194" s="1"/>
      <c r="AE194" s="1"/>
      <c r="AF194" s="1"/>
      <c r="AG194" s="1"/>
      <c r="AH194" s="1"/>
      <c r="AI194" s="1"/>
      <c r="AJ194" s="1"/>
      <c r="AK194" s="1"/>
      <c r="AL194" s="1"/>
    </row>
    <row r="195" spans="6:38" s="36" customFormat="1" x14ac:dyDescent="0.25">
      <c r="F195" s="38"/>
      <c r="G195" s="1"/>
      <c r="K195" s="1"/>
      <c r="Y195" s="1"/>
      <c r="Z195" s="1"/>
      <c r="AA195" s="1"/>
      <c r="AB195" s="1"/>
      <c r="AC195" s="1"/>
      <c r="AD195" s="1"/>
      <c r="AE195" s="1"/>
      <c r="AF195" s="1"/>
      <c r="AG195" s="1"/>
      <c r="AH195" s="1"/>
      <c r="AI195" s="1"/>
      <c r="AJ195" s="1"/>
      <c r="AK195" s="1"/>
      <c r="AL195" s="1"/>
    </row>
    <row r="196" spans="6:38" s="36" customFormat="1" x14ac:dyDescent="0.25">
      <c r="F196" s="38"/>
      <c r="G196" s="1"/>
      <c r="K196" s="1"/>
      <c r="Y196" s="1"/>
      <c r="Z196" s="1"/>
      <c r="AA196" s="1"/>
      <c r="AB196" s="1"/>
      <c r="AC196" s="1"/>
      <c r="AD196" s="1"/>
      <c r="AE196" s="1"/>
      <c r="AF196" s="1"/>
      <c r="AG196" s="1"/>
      <c r="AH196" s="1"/>
      <c r="AI196" s="1"/>
      <c r="AJ196" s="1"/>
      <c r="AK196" s="1"/>
      <c r="AL196" s="1"/>
    </row>
    <row r="197" spans="6:38" s="36" customFormat="1" x14ac:dyDescent="0.25">
      <c r="F197" s="38"/>
      <c r="G197" s="1"/>
      <c r="K197" s="1"/>
      <c r="Y197" s="1"/>
      <c r="Z197" s="1"/>
      <c r="AA197" s="1"/>
      <c r="AB197" s="1"/>
      <c r="AC197" s="1"/>
      <c r="AD197" s="1"/>
      <c r="AE197" s="1"/>
      <c r="AF197" s="1"/>
      <c r="AG197" s="1"/>
      <c r="AH197" s="1"/>
      <c r="AI197" s="1"/>
      <c r="AJ197" s="1"/>
      <c r="AK197" s="1"/>
      <c r="AL197" s="1"/>
    </row>
    <row r="198" spans="6:38" s="36" customFormat="1" x14ac:dyDescent="0.25">
      <c r="F198" s="38"/>
      <c r="G198" s="1"/>
      <c r="K198" s="1"/>
      <c r="Y198" s="1"/>
      <c r="Z198" s="1"/>
      <c r="AA198" s="1"/>
      <c r="AB198" s="1"/>
      <c r="AC198" s="1"/>
      <c r="AD198" s="1"/>
      <c r="AE198" s="1"/>
      <c r="AF198" s="1"/>
      <c r="AG198" s="1"/>
      <c r="AH198" s="1"/>
      <c r="AI198" s="1"/>
      <c r="AJ198" s="1"/>
      <c r="AK198" s="1"/>
      <c r="AL198" s="1"/>
    </row>
    <row r="199" spans="6:38" s="36" customFormat="1" x14ac:dyDescent="0.25">
      <c r="F199" s="38"/>
      <c r="G199" s="1"/>
      <c r="K199" s="1"/>
      <c r="Y199" s="1"/>
      <c r="Z199" s="1"/>
      <c r="AA199" s="1"/>
      <c r="AB199" s="1"/>
      <c r="AC199" s="1"/>
      <c r="AD199" s="1"/>
      <c r="AE199" s="1"/>
      <c r="AF199" s="1"/>
      <c r="AG199" s="1"/>
      <c r="AH199" s="1"/>
      <c r="AI199" s="1"/>
      <c r="AJ199" s="1"/>
      <c r="AK199" s="1"/>
      <c r="AL199" s="1"/>
    </row>
    <row r="200" spans="6:38" s="36" customFormat="1" x14ac:dyDescent="0.25">
      <c r="F200" s="38"/>
      <c r="G200" s="1"/>
      <c r="K200" s="1"/>
      <c r="Y200" s="1"/>
      <c r="Z200" s="1"/>
      <c r="AA200" s="1"/>
      <c r="AB200" s="1"/>
      <c r="AC200" s="1"/>
      <c r="AD200" s="1"/>
      <c r="AE200" s="1"/>
      <c r="AF200" s="1"/>
      <c r="AG200" s="1"/>
      <c r="AH200" s="1"/>
      <c r="AI200" s="1"/>
      <c r="AJ200" s="1"/>
      <c r="AK200" s="1"/>
      <c r="AL200" s="1"/>
    </row>
    <row r="201" spans="6:38" s="36" customFormat="1" x14ac:dyDescent="0.25">
      <c r="F201" s="38"/>
      <c r="G201" s="1"/>
      <c r="K201" s="1"/>
      <c r="Y201" s="1"/>
      <c r="Z201" s="1"/>
      <c r="AA201" s="1"/>
      <c r="AB201" s="1"/>
      <c r="AC201" s="1"/>
      <c r="AD201" s="1"/>
      <c r="AE201" s="1"/>
      <c r="AF201" s="1"/>
      <c r="AG201" s="1"/>
      <c r="AH201" s="1"/>
      <c r="AI201" s="1"/>
      <c r="AJ201" s="1"/>
      <c r="AK201" s="1"/>
      <c r="AL201" s="1"/>
    </row>
    <row r="202" spans="6:38" s="36" customFormat="1" x14ac:dyDescent="0.25">
      <c r="F202" s="38"/>
      <c r="G202" s="1"/>
      <c r="K202" s="1"/>
      <c r="Y202" s="1"/>
      <c r="Z202" s="1"/>
      <c r="AA202" s="1"/>
      <c r="AB202" s="1"/>
      <c r="AC202" s="1"/>
      <c r="AD202" s="1"/>
      <c r="AE202" s="1"/>
      <c r="AF202" s="1"/>
      <c r="AG202" s="1"/>
      <c r="AH202" s="1"/>
      <c r="AI202" s="1"/>
      <c r="AJ202" s="1"/>
      <c r="AK202" s="1"/>
      <c r="AL202" s="1"/>
    </row>
    <row r="203" spans="6:38" s="36" customFormat="1" x14ac:dyDescent="0.25">
      <c r="F203" s="38"/>
      <c r="G203" s="1"/>
      <c r="K203" s="1"/>
      <c r="Y203" s="1"/>
      <c r="Z203" s="1"/>
      <c r="AA203" s="1"/>
      <c r="AB203" s="1"/>
      <c r="AC203" s="1"/>
      <c r="AD203" s="1"/>
      <c r="AE203" s="1"/>
      <c r="AF203" s="1"/>
      <c r="AG203" s="1"/>
      <c r="AH203" s="1"/>
      <c r="AI203" s="1"/>
      <c r="AJ203" s="1"/>
      <c r="AK203" s="1"/>
      <c r="AL203" s="1"/>
    </row>
    <row r="204" spans="6:38" s="36" customFormat="1" x14ac:dyDescent="0.25">
      <c r="F204" s="38"/>
      <c r="G204" s="1"/>
      <c r="K204" s="1"/>
      <c r="Y204" s="1"/>
      <c r="Z204" s="1"/>
      <c r="AA204" s="1"/>
      <c r="AB204" s="1"/>
      <c r="AC204" s="1"/>
      <c r="AD204" s="1"/>
      <c r="AE204" s="1"/>
      <c r="AF204" s="1"/>
      <c r="AG204" s="1"/>
      <c r="AH204" s="1"/>
      <c r="AI204" s="1"/>
      <c r="AJ204" s="1"/>
      <c r="AK204" s="1"/>
      <c r="AL204" s="1"/>
    </row>
    <row r="205" spans="6:38" s="36" customFormat="1" x14ac:dyDescent="0.25">
      <c r="F205" s="38"/>
      <c r="G205" s="1"/>
      <c r="K205" s="1"/>
      <c r="Y205" s="1"/>
      <c r="Z205" s="1"/>
      <c r="AA205" s="1"/>
      <c r="AB205" s="1"/>
      <c r="AC205" s="1"/>
      <c r="AD205" s="1"/>
      <c r="AE205" s="1"/>
      <c r="AF205" s="1"/>
      <c r="AG205" s="1"/>
      <c r="AH205" s="1"/>
      <c r="AI205" s="1"/>
      <c r="AJ205" s="1"/>
      <c r="AK205" s="1"/>
      <c r="AL205" s="1"/>
    </row>
    <row r="206" spans="6:38" s="36" customFormat="1" x14ac:dyDescent="0.25">
      <c r="F206" s="38"/>
      <c r="G206" s="1"/>
      <c r="K206" s="1"/>
      <c r="Y206" s="1"/>
      <c r="Z206" s="1"/>
      <c r="AA206" s="1"/>
      <c r="AB206" s="1"/>
      <c r="AC206" s="1"/>
      <c r="AD206" s="1"/>
      <c r="AE206" s="1"/>
      <c r="AF206" s="1"/>
      <c r="AG206" s="1"/>
      <c r="AH206" s="1"/>
      <c r="AI206" s="1"/>
      <c r="AJ206" s="1"/>
      <c r="AK206" s="1"/>
      <c r="AL206" s="1"/>
    </row>
    <row r="207" spans="6:38" s="36" customFormat="1" x14ac:dyDescent="0.25">
      <c r="F207" s="38"/>
      <c r="G207" s="1"/>
      <c r="K207" s="1"/>
      <c r="Y207" s="1"/>
      <c r="Z207" s="1"/>
      <c r="AA207" s="1"/>
      <c r="AB207" s="1"/>
      <c r="AC207" s="1"/>
      <c r="AD207" s="1"/>
      <c r="AE207" s="1"/>
      <c r="AF207" s="1"/>
      <c r="AG207" s="1"/>
      <c r="AH207" s="1"/>
      <c r="AI207" s="1"/>
      <c r="AJ207" s="1"/>
      <c r="AK207" s="1"/>
      <c r="AL207" s="1"/>
    </row>
    <row r="208" spans="6:38" s="36" customFormat="1" x14ac:dyDescent="0.25">
      <c r="F208" s="38"/>
      <c r="G208" s="1"/>
      <c r="K208" s="1"/>
      <c r="Y208" s="1"/>
      <c r="Z208" s="1"/>
      <c r="AA208" s="1"/>
      <c r="AB208" s="1"/>
      <c r="AC208" s="1"/>
      <c r="AD208" s="1"/>
      <c r="AE208" s="1"/>
      <c r="AF208" s="1"/>
      <c r="AG208" s="1"/>
      <c r="AH208" s="1"/>
      <c r="AI208" s="1"/>
      <c r="AJ208" s="1"/>
      <c r="AK208" s="1"/>
      <c r="AL208" s="1"/>
    </row>
    <row r="209" spans="6:38" s="36" customFormat="1" x14ac:dyDescent="0.25">
      <c r="F209" s="38"/>
      <c r="G209" s="1"/>
      <c r="K209" s="1"/>
      <c r="Y209" s="1"/>
      <c r="Z209" s="1"/>
      <c r="AA209" s="1"/>
      <c r="AB209" s="1"/>
      <c r="AC209" s="1"/>
      <c r="AD209" s="1"/>
      <c r="AE209" s="1"/>
      <c r="AF209" s="1"/>
      <c r="AG209" s="1"/>
      <c r="AH209" s="1"/>
      <c r="AI209" s="1"/>
      <c r="AJ209" s="1"/>
      <c r="AK209" s="1"/>
      <c r="AL209" s="1"/>
    </row>
    <row r="210" spans="6:38" s="36" customFormat="1" x14ac:dyDescent="0.25">
      <c r="F210" s="38"/>
      <c r="G210" s="1"/>
      <c r="K210" s="1"/>
      <c r="Y210" s="1"/>
      <c r="Z210" s="1"/>
      <c r="AA210" s="1"/>
      <c r="AB210" s="1"/>
      <c r="AC210" s="1"/>
      <c r="AD210" s="1"/>
      <c r="AE210" s="1"/>
      <c r="AF210" s="1"/>
      <c r="AG210" s="1"/>
      <c r="AH210" s="1"/>
      <c r="AI210" s="1"/>
      <c r="AJ210" s="1"/>
      <c r="AK210" s="1"/>
      <c r="AL210" s="1"/>
    </row>
    <row r="211" spans="6:38" s="36" customFormat="1" x14ac:dyDescent="0.25">
      <c r="F211" s="38"/>
      <c r="G211" s="1"/>
      <c r="K211" s="1"/>
      <c r="Y211" s="1"/>
      <c r="Z211" s="1"/>
      <c r="AA211" s="1"/>
      <c r="AB211" s="1"/>
      <c r="AC211" s="1"/>
      <c r="AD211" s="1"/>
      <c r="AE211" s="1"/>
      <c r="AF211" s="1"/>
      <c r="AG211" s="1"/>
      <c r="AH211" s="1"/>
      <c r="AI211" s="1"/>
      <c r="AJ211" s="1"/>
      <c r="AK211" s="1"/>
      <c r="AL211" s="1"/>
    </row>
    <row r="212" spans="6:38" s="36" customFormat="1" x14ac:dyDescent="0.25">
      <c r="F212" s="38"/>
      <c r="G212" s="1"/>
      <c r="K212" s="1"/>
      <c r="Y212" s="1"/>
      <c r="Z212" s="1"/>
      <c r="AA212" s="1"/>
      <c r="AB212" s="1"/>
      <c r="AC212" s="1"/>
      <c r="AD212" s="1"/>
      <c r="AE212" s="1"/>
      <c r="AF212" s="1"/>
      <c r="AG212" s="1"/>
      <c r="AH212" s="1"/>
      <c r="AI212" s="1"/>
      <c r="AJ212" s="1"/>
      <c r="AK212" s="1"/>
      <c r="AL212" s="1"/>
    </row>
    <row r="213" spans="6:38" s="36" customFormat="1" x14ac:dyDescent="0.25">
      <c r="F213" s="38"/>
      <c r="G213" s="1"/>
      <c r="K213" s="1"/>
      <c r="Y213" s="1"/>
      <c r="Z213" s="1"/>
      <c r="AA213" s="1"/>
      <c r="AB213" s="1"/>
      <c r="AC213" s="1"/>
      <c r="AD213" s="1"/>
      <c r="AE213" s="1"/>
      <c r="AF213" s="1"/>
      <c r="AG213" s="1"/>
      <c r="AH213" s="1"/>
      <c r="AI213" s="1"/>
      <c r="AJ213" s="1"/>
      <c r="AK213" s="1"/>
      <c r="AL213" s="1"/>
    </row>
    <row r="214" spans="6:38" s="36" customFormat="1" x14ac:dyDescent="0.25">
      <c r="F214" s="38"/>
      <c r="G214" s="1"/>
      <c r="K214" s="1"/>
      <c r="Y214" s="1"/>
      <c r="Z214" s="1"/>
      <c r="AA214" s="1"/>
      <c r="AB214" s="1"/>
      <c r="AC214" s="1"/>
      <c r="AD214" s="1"/>
      <c r="AE214" s="1"/>
      <c r="AF214" s="1"/>
      <c r="AG214" s="1"/>
      <c r="AH214" s="1"/>
      <c r="AI214" s="1"/>
      <c r="AJ214" s="1"/>
      <c r="AK214" s="1"/>
      <c r="AL214" s="1"/>
    </row>
    <row r="215" spans="6:38" s="36" customFormat="1" x14ac:dyDescent="0.25">
      <c r="F215" s="38"/>
      <c r="G215" s="1"/>
      <c r="K215" s="1"/>
      <c r="Y215" s="1"/>
      <c r="Z215" s="1"/>
      <c r="AA215" s="1"/>
      <c r="AB215" s="1"/>
      <c r="AC215" s="1"/>
      <c r="AD215" s="1"/>
      <c r="AE215" s="1"/>
      <c r="AF215" s="1"/>
      <c r="AG215" s="1"/>
      <c r="AH215" s="1"/>
      <c r="AI215" s="1"/>
      <c r="AJ215" s="1"/>
      <c r="AK215" s="1"/>
      <c r="AL215" s="1"/>
    </row>
    <row r="216" spans="6:38" s="36" customFormat="1" x14ac:dyDescent="0.25">
      <c r="F216" s="38"/>
      <c r="G216" s="1"/>
      <c r="K216" s="1"/>
      <c r="Y216" s="1"/>
      <c r="Z216" s="1"/>
      <c r="AA216" s="1"/>
      <c r="AB216" s="1"/>
      <c r="AC216" s="1"/>
      <c r="AD216" s="1"/>
      <c r="AE216" s="1"/>
      <c r="AF216" s="1"/>
      <c r="AG216" s="1"/>
      <c r="AH216" s="1"/>
      <c r="AI216" s="1"/>
      <c r="AJ216" s="1"/>
      <c r="AK216" s="1"/>
      <c r="AL216" s="1"/>
    </row>
    <row r="217" spans="6:38" s="36" customFormat="1" x14ac:dyDescent="0.25">
      <c r="F217" s="38"/>
      <c r="G217" s="1"/>
      <c r="K217" s="1"/>
      <c r="Y217" s="1"/>
      <c r="Z217" s="1"/>
      <c r="AA217" s="1"/>
      <c r="AB217" s="1"/>
      <c r="AC217" s="1"/>
      <c r="AD217" s="1"/>
      <c r="AE217" s="1"/>
      <c r="AF217" s="1"/>
      <c r="AG217" s="1"/>
      <c r="AH217" s="1"/>
      <c r="AI217" s="1"/>
      <c r="AJ217" s="1"/>
      <c r="AK217" s="1"/>
      <c r="AL217" s="1"/>
    </row>
    <row r="218" spans="6:38" s="36" customFormat="1" x14ac:dyDescent="0.25">
      <c r="F218" s="38"/>
      <c r="G218" s="1"/>
      <c r="K218" s="1"/>
      <c r="Y218" s="1"/>
      <c r="Z218" s="1"/>
      <c r="AA218" s="1"/>
      <c r="AB218" s="1"/>
      <c r="AC218" s="1"/>
      <c r="AD218" s="1"/>
      <c r="AE218" s="1"/>
      <c r="AF218" s="1"/>
      <c r="AG218" s="1"/>
      <c r="AH218" s="1"/>
      <c r="AI218" s="1"/>
      <c r="AJ218" s="1"/>
      <c r="AK218" s="1"/>
      <c r="AL218" s="1"/>
    </row>
    <row r="219" spans="6:38" s="36" customFormat="1" x14ac:dyDescent="0.25">
      <c r="F219" s="38"/>
      <c r="G219" s="1"/>
      <c r="K219" s="1"/>
      <c r="Y219" s="1"/>
      <c r="Z219" s="1"/>
      <c r="AA219" s="1"/>
      <c r="AB219" s="1"/>
      <c r="AC219" s="1"/>
      <c r="AD219" s="1"/>
      <c r="AE219" s="1"/>
      <c r="AF219" s="1"/>
      <c r="AG219" s="1"/>
      <c r="AH219" s="1"/>
      <c r="AI219" s="1"/>
      <c r="AJ219" s="1"/>
      <c r="AK219" s="1"/>
      <c r="AL219" s="1"/>
    </row>
    <row r="220" spans="6:38" s="36" customFormat="1" x14ac:dyDescent="0.25">
      <c r="F220" s="38"/>
      <c r="G220" s="1"/>
      <c r="K220" s="1"/>
      <c r="Y220" s="1"/>
      <c r="Z220" s="1"/>
      <c r="AA220" s="1"/>
      <c r="AB220" s="1"/>
      <c r="AC220" s="1"/>
      <c r="AD220" s="1"/>
      <c r="AE220" s="1"/>
      <c r="AF220" s="1"/>
      <c r="AG220" s="1"/>
      <c r="AH220" s="1"/>
      <c r="AI220" s="1"/>
      <c r="AJ220" s="1"/>
      <c r="AK220" s="1"/>
      <c r="AL220" s="1"/>
    </row>
    <row r="221" spans="6:38" s="36" customFormat="1" x14ac:dyDescent="0.25">
      <c r="F221" s="38"/>
      <c r="G221" s="1"/>
      <c r="K221" s="1"/>
      <c r="Y221" s="1"/>
      <c r="Z221" s="1"/>
      <c r="AA221" s="1"/>
      <c r="AB221" s="1"/>
      <c r="AC221" s="1"/>
      <c r="AD221" s="1"/>
      <c r="AE221" s="1"/>
      <c r="AF221" s="1"/>
      <c r="AG221" s="1"/>
      <c r="AH221" s="1"/>
      <c r="AI221" s="1"/>
      <c r="AJ221" s="1"/>
      <c r="AK221" s="1"/>
      <c r="AL221" s="1"/>
    </row>
    <row r="222" spans="6:38" s="36" customFormat="1" x14ac:dyDescent="0.25">
      <c r="F222" s="38"/>
      <c r="G222" s="1"/>
      <c r="K222" s="1"/>
      <c r="Y222" s="1"/>
      <c r="Z222" s="1"/>
      <c r="AA222" s="1"/>
      <c r="AB222" s="1"/>
      <c r="AC222" s="1"/>
      <c r="AD222" s="1"/>
      <c r="AE222" s="1"/>
      <c r="AF222" s="1"/>
      <c r="AG222" s="1"/>
      <c r="AH222" s="1"/>
      <c r="AI222" s="1"/>
      <c r="AJ222" s="1"/>
      <c r="AK222" s="1"/>
      <c r="AL222" s="1"/>
    </row>
    <row r="223" spans="6:38" s="36" customFormat="1" x14ac:dyDescent="0.25">
      <c r="F223" s="38"/>
      <c r="G223" s="1"/>
      <c r="K223" s="1"/>
      <c r="Y223" s="1"/>
      <c r="Z223" s="1"/>
      <c r="AA223" s="1"/>
      <c r="AB223" s="1"/>
      <c r="AC223" s="1"/>
      <c r="AD223" s="1"/>
      <c r="AE223" s="1"/>
      <c r="AF223" s="1"/>
      <c r="AG223" s="1"/>
      <c r="AH223" s="1"/>
      <c r="AI223" s="1"/>
      <c r="AJ223" s="1"/>
      <c r="AK223" s="1"/>
      <c r="AL223" s="1"/>
    </row>
    <row r="224" spans="6:38" s="36" customFormat="1" x14ac:dyDescent="0.25">
      <c r="F224" s="38"/>
      <c r="G224" s="1"/>
      <c r="K224" s="1"/>
      <c r="Y224" s="1"/>
      <c r="Z224" s="1"/>
      <c r="AA224" s="1"/>
      <c r="AB224" s="1"/>
      <c r="AC224" s="1"/>
      <c r="AD224" s="1"/>
      <c r="AE224" s="1"/>
      <c r="AF224" s="1"/>
      <c r="AG224" s="1"/>
      <c r="AH224" s="1"/>
      <c r="AI224" s="1"/>
      <c r="AJ224" s="1"/>
      <c r="AK224" s="1"/>
      <c r="AL224" s="1"/>
    </row>
    <row r="225" spans="6:38" s="36" customFormat="1" x14ac:dyDescent="0.25">
      <c r="F225" s="38"/>
      <c r="G225" s="1"/>
      <c r="K225" s="1"/>
      <c r="Y225" s="1"/>
      <c r="Z225" s="1"/>
      <c r="AA225" s="1"/>
      <c r="AB225" s="1"/>
      <c r="AC225" s="1"/>
      <c r="AD225" s="1"/>
      <c r="AE225" s="1"/>
      <c r="AF225" s="1"/>
      <c r="AG225" s="1"/>
      <c r="AH225" s="1"/>
      <c r="AI225" s="1"/>
      <c r="AJ225" s="1"/>
      <c r="AK225" s="1"/>
      <c r="AL225" s="1"/>
    </row>
    <row r="226" spans="6:38" s="36" customFormat="1" x14ac:dyDescent="0.25">
      <c r="F226" s="38"/>
      <c r="G226" s="1"/>
      <c r="K226" s="1"/>
      <c r="Y226" s="1"/>
      <c r="Z226" s="1"/>
      <c r="AA226" s="1"/>
      <c r="AB226" s="1"/>
      <c r="AC226" s="1"/>
      <c r="AD226" s="1"/>
      <c r="AE226" s="1"/>
      <c r="AF226" s="1"/>
      <c r="AG226" s="1"/>
      <c r="AH226" s="1"/>
      <c r="AI226" s="1"/>
      <c r="AJ226" s="1"/>
      <c r="AK226" s="1"/>
      <c r="AL226" s="1"/>
    </row>
    <row r="227" spans="6:38" s="36" customFormat="1" x14ac:dyDescent="0.25">
      <c r="F227" s="38"/>
      <c r="G227" s="1"/>
      <c r="K227" s="1"/>
      <c r="Y227" s="1"/>
      <c r="Z227" s="1"/>
      <c r="AA227" s="1"/>
      <c r="AB227" s="1"/>
      <c r="AC227" s="1"/>
      <c r="AD227" s="1"/>
      <c r="AE227" s="1"/>
      <c r="AF227" s="1"/>
      <c r="AG227" s="1"/>
      <c r="AH227" s="1"/>
      <c r="AI227" s="1"/>
      <c r="AJ227" s="1"/>
      <c r="AK227" s="1"/>
      <c r="AL227" s="1"/>
    </row>
    <row r="228" spans="6:38" s="36" customFormat="1" x14ac:dyDescent="0.25">
      <c r="F228" s="38"/>
      <c r="G228" s="1"/>
      <c r="K228" s="1"/>
      <c r="Y228" s="1"/>
      <c r="Z228" s="1"/>
      <c r="AA228" s="1"/>
      <c r="AB228" s="1"/>
      <c r="AC228" s="1"/>
      <c r="AD228" s="1"/>
      <c r="AE228" s="1"/>
      <c r="AF228" s="1"/>
      <c r="AG228" s="1"/>
      <c r="AH228" s="1"/>
      <c r="AI228" s="1"/>
      <c r="AJ228" s="1"/>
      <c r="AK228" s="1"/>
      <c r="AL228" s="1"/>
    </row>
    <row r="229" spans="6:38" s="36" customFormat="1" x14ac:dyDescent="0.25">
      <c r="F229" s="38"/>
      <c r="G229" s="1"/>
      <c r="K229" s="1"/>
      <c r="Y229" s="1"/>
      <c r="Z229" s="1"/>
      <c r="AA229" s="1"/>
      <c r="AB229" s="1"/>
      <c r="AC229" s="1"/>
      <c r="AD229" s="1"/>
      <c r="AE229" s="1"/>
      <c r="AF229" s="1"/>
      <c r="AG229" s="1"/>
      <c r="AH229" s="1"/>
      <c r="AI229" s="1"/>
      <c r="AJ229" s="1"/>
      <c r="AK229" s="1"/>
      <c r="AL229" s="1"/>
    </row>
    <row r="230" spans="6:38" s="36" customFormat="1" x14ac:dyDescent="0.25">
      <c r="F230" s="38"/>
      <c r="G230" s="1"/>
      <c r="K230" s="1"/>
      <c r="Y230" s="1"/>
      <c r="Z230" s="1"/>
      <c r="AA230" s="1"/>
      <c r="AB230" s="1"/>
      <c r="AC230" s="1"/>
      <c r="AD230" s="1"/>
      <c r="AE230" s="1"/>
      <c r="AF230" s="1"/>
      <c r="AG230" s="1"/>
      <c r="AH230" s="1"/>
      <c r="AI230" s="1"/>
      <c r="AJ230" s="1"/>
      <c r="AK230" s="1"/>
      <c r="AL230" s="1"/>
    </row>
    <row r="231" spans="6:38" s="36" customFormat="1" x14ac:dyDescent="0.25">
      <c r="F231" s="38"/>
      <c r="G231" s="1"/>
      <c r="K231" s="1"/>
      <c r="Y231" s="1"/>
      <c r="Z231" s="1"/>
      <c r="AA231" s="1"/>
      <c r="AB231" s="1"/>
      <c r="AC231" s="1"/>
      <c r="AD231" s="1"/>
      <c r="AE231" s="1"/>
      <c r="AF231" s="1"/>
      <c r="AG231" s="1"/>
      <c r="AH231" s="1"/>
      <c r="AI231" s="1"/>
      <c r="AJ231" s="1"/>
      <c r="AK231" s="1"/>
      <c r="AL231" s="1"/>
    </row>
    <row r="232" spans="6:38" s="36" customFormat="1" x14ac:dyDescent="0.25">
      <c r="F232" s="38"/>
      <c r="G232" s="1"/>
      <c r="K232" s="1"/>
      <c r="Y232" s="1"/>
      <c r="Z232" s="1"/>
      <c r="AA232" s="1"/>
      <c r="AB232" s="1"/>
      <c r="AC232" s="1"/>
      <c r="AD232" s="1"/>
      <c r="AE232" s="1"/>
      <c r="AF232" s="1"/>
      <c r="AG232" s="1"/>
      <c r="AH232" s="1"/>
      <c r="AI232" s="1"/>
      <c r="AJ232" s="1"/>
      <c r="AK232" s="1"/>
      <c r="AL232" s="1"/>
    </row>
    <row r="233" spans="6:38" s="36" customFormat="1" x14ac:dyDescent="0.25">
      <c r="F233" s="38"/>
      <c r="G233" s="1"/>
      <c r="K233" s="1"/>
      <c r="Y233" s="1"/>
      <c r="Z233" s="1"/>
      <c r="AA233" s="1"/>
      <c r="AB233" s="1"/>
      <c r="AC233" s="1"/>
      <c r="AD233" s="1"/>
      <c r="AE233" s="1"/>
      <c r="AF233" s="1"/>
      <c r="AG233" s="1"/>
      <c r="AH233" s="1"/>
      <c r="AI233" s="1"/>
      <c r="AJ233" s="1"/>
      <c r="AK233" s="1"/>
      <c r="AL233" s="1"/>
    </row>
    <row r="234" spans="6:38" s="36" customFormat="1" x14ac:dyDescent="0.25">
      <c r="F234" s="38"/>
      <c r="G234" s="1"/>
      <c r="K234" s="1"/>
      <c r="Y234" s="1"/>
      <c r="Z234" s="1"/>
      <c r="AA234" s="1"/>
      <c r="AB234" s="1"/>
      <c r="AC234" s="1"/>
      <c r="AD234" s="1"/>
      <c r="AE234" s="1"/>
      <c r="AF234" s="1"/>
      <c r="AG234" s="1"/>
      <c r="AH234" s="1"/>
      <c r="AI234" s="1"/>
      <c r="AJ234" s="1"/>
      <c r="AK234" s="1"/>
      <c r="AL234" s="1"/>
    </row>
    <row r="235" spans="6:38" s="36" customFormat="1" x14ac:dyDescent="0.25">
      <c r="F235" s="38"/>
      <c r="G235" s="1"/>
      <c r="K235" s="1"/>
      <c r="Y235" s="1"/>
      <c r="Z235" s="1"/>
      <c r="AA235" s="1"/>
      <c r="AB235" s="1"/>
      <c r="AC235" s="1"/>
      <c r="AD235" s="1"/>
      <c r="AE235" s="1"/>
      <c r="AF235" s="1"/>
      <c r="AG235" s="1"/>
      <c r="AH235" s="1"/>
      <c r="AI235" s="1"/>
      <c r="AJ235" s="1"/>
      <c r="AK235" s="1"/>
      <c r="AL235" s="1"/>
    </row>
    <row r="236" spans="6:38" s="36" customFormat="1" x14ac:dyDescent="0.25">
      <c r="F236" s="38"/>
      <c r="G236" s="1"/>
      <c r="K236" s="1"/>
      <c r="Y236" s="1"/>
      <c r="Z236" s="1"/>
      <c r="AA236" s="1"/>
      <c r="AB236" s="1"/>
      <c r="AC236" s="1"/>
      <c r="AD236" s="1"/>
      <c r="AE236" s="1"/>
      <c r="AF236" s="1"/>
      <c r="AG236" s="1"/>
      <c r="AH236" s="1"/>
      <c r="AI236" s="1"/>
      <c r="AJ236" s="1"/>
      <c r="AK236" s="1"/>
      <c r="AL236" s="1"/>
    </row>
    <row r="237" spans="6:38" s="36" customFormat="1" x14ac:dyDescent="0.25">
      <c r="F237" s="38"/>
      <c r="G237" s="1"/>
      <c r="K237" s="1"/>
      <c r="Y237" s="1"/>
      <c r="Z237" s="1"/>
      <c r="AA237" s="1"/>
      <c r="AB237" s="1"/>
      <c r="AC237" s="1"/>
      <c r="AD237" s="1"/>
      <c r="AE237" s="1"/>
      <c r="AF237" s="1"/>
      <c r="AG237" s="1"/>
      <c r="AH237" s="1"/>
      <c r="AI237" s="1"/>
      <c r="AJ237" s="1"/>
      <c r="AK237" s="1"/>
      <c r="AL237" s="1"/>
    </row>
    <row r="238" spans="6:38" s="36" customFormat="1" x14ac:dyDescent="0.25">
      <c r="F238" s="38"/>
      <c r="G238" s="1"/>
      <c r="K238" s="1"/>
      <c r="Y238" s="1"/>
      <c r="Z238" s="1"/>
      <c r="AA238" s="1"/>
      <c r="AB238" s="1"/>
      <c r="AC238" s="1"/>
      <c r="AD238" s="1"/>
      <c r="AE238" s="1"/>
      <c r="AF238" s="1"/>
      <c r="AG238" s="1"/>
      <c r="AH238" s="1"/>
      <c r="AI238" s="1"/>
      <c r="AJ238" s="1"/>
      <c r="AK238" s="1"/>
      <c r="AL238" s="1"/>
    </row>
    <row r="239" spans="6:38" s="36" customFormat="1" x14ac:dyDescent="0.25">
      <c r="F239" s="38"/>
      <c r="G239" s="1"/>
      <c r="K239" s="1"/>
      <c r="Y239" s="1"/>
      <c r="Z239" s="1"/>
      <c r="AA239" s="1"/>
      <c r="AB239" s="1"/>
      <c r="AC239" s="1"/>
      <c r="AD239" s="1"/>
      <c r="AE239" s="1"/>
      <c r="AF239" s="1"/>
      <c r="AG239" s="1"/>
      <c r="AH239" s="1"/>
      <c r="AI239" s="1"/>
      <c r="AJ239" s="1"/>
      <c r="AK239" s="1"/>
      <c r="AL239" s="1"/>
    </row>
    <row r="240" spans="6:38" s="36" customFormat="1" x14ac:dyDescent="0.25">
      <c r="F240" s="38"/>
      <c r="G240" s="1"/>
      <c r="K240" s="1"/>
      <c r="Y240" s="1"/>
      <c r="Z240" s="1"/>
      <c r="AA240" s="1"/>
      <c r="AB240" s="1"/>
      <c r="AC240" s="1"/>
      <c r="AD240" s="1"/>
      <c r="AE240" s="1"/>
      <c r="AF240" s="1"/>
      <c r="AG240" s="1"/>
      <c r="AH240" s="1"/>
      <c r="AI240" s="1"/>
      <c r="AJ240" s="1"/>
      <c r="AK240" s="1"/>
      <c r="AL240" s="1"/>
    </row>
    <row r="241" spans="6:38" s="36" customFormat="1" x14ac:dyDescent="0.25">
      <c r="F241" s="38"/>
      <c r="G241" s="1"/>
      <c r="K241" s="1"/>
      <c r="Y241" s="1"/>
      <c r="Z241" s="1"/>
      <c r="AA241" s="1"/>
      <c r="AB241" s="1"/>
      <c r="AC241" s="1"/>
      <c r="AD241" s="1"/>
      <c r="AE241" s="1"/>
      <c r="AF241" s="1"/>
      <c r="AG241" s="1"/>
      <c r="AH241" s="1"/>
      <c r="AI241" s="1"/>
      <c r="AJ241" s="1"/>
      <c r="AK241" s="1"/>
      <c r="AL241" s="1"/>
    </row>
    <row r="242" spans="6:38" s="36" customFormat="1" x14ac:dyDescent="0.25">
      <c r="F242" s="38"/>
      <c r="G242" s="1"/>
      <c r="K242" s="1"/>
      <c r="Y242" s="1"/>
      <c r="Z242" s="1"/>
      <c r="AA242" s="1"/>
      <c r="AB242" s="1"/>
      <c r="AC242" s="1"/>
      <c r="AD242" s="1"/>
      <c r="AE242" s="1"/>
      <c r="AF242" s="1"/>
      <c r="AG242" s="1"/>
      <c r="AH242" s="1"/>
      <c r="AI242" s="1"/>
      <c r="AJ242" s="1"/>
      <c r="AK242" s="1"/>
      <c r="AL242" s="1"/>
    </row>
    <row r="243" spans="6:38" s="36" customFormat="1" x14ac:dyDescent="0.25">
      <c r="F243" s="38"/>
      <c r="G243" s="1"/>
      <c r="K243" s="1"/>
      <c r="Y243" s="1"/>
      <c r="Z243" s="1"/>
      <c r="AA243" s="1"/>
      <c r="AB243" s="1"/>
      <c r="AC243" s="1"/>
      <c r="AD243" s="1"/>
      <c r="AE243" s="1"/>
      <c r="AF243" s="1"/>
      <c r="AG243" s="1"/>
      <c r="AH243" s="1"/>
      <c r="AI243" s="1"/>
      <c r="AJ243" s="1"/>
      <c r="AK243" s="1"/>
      <c r="AL243" s="1"/>
    </row>
    <row r="244" spans="6:38" s="36" customFormat="1" x14ac:dyDescent="0.25">
      <c r="F244" s="38"/>
      <c r="G244" s="1"/>
      <c r="K244" s="1"/>
      <c r="Y244" s="1"/>
      <c r="Z244" s="1"/>
      <c r="AA244" s="1"/>
      <c r="AB244" s="1"/>
      <c r="AC244" s="1"/>
      <c r="AD244" s="1"/>
      <c r="AE244" s="1"/>
      <c r="AF244" s="1"/>
      <c r="AG244" s="1"/>
      <c r="AH244" s="1"/>
      <c r="AI244" s="1"/>
      <c r="AJ244" s="1"/>
      <c r="AK244" s="1"/>
      <c r="AL244" s="1"/>
    </row>
    <row r="245" spans="6:38" s="36" customFormat="1" x14ac:dyDescent="0.25">
      <c r="F245" s="38"/>
      <c r="G245" s="1"/>
      <c r="K245" s="1"/>
      <c r="Y245" s="1"/>
      <c r="Z245" s="1"/>
      <c r="AA245" s="1"/>
      <c r="AB245" s="1"/>
      <c r="AC245" s="1"/>
      <c r="AD245" s="1"/>
      <c r="AE245" s="1"/>
      <c r="AF245" s="1"/>
      <c r="AG245" s="1"/>
      <c r="AH245" s="1"/>
      <c r="AI245" s="1"/>
      <c r="AJ245" s="1"/>
      <c r="AK245" s="1"/>
      <c r="AL245" s="1"/>
    </row>
    <row r="246" spans="6:38" s="36" customFormat="1" x14ac:dyDescent="0.25">
      <c r="F246" s="38"/>
      <c r="G246" s="1"/>
      <c r="K246" s="1"/>
      <c r="Y246" s="1"/>
      <c r="Z246" s="1"/>
      <c r="AA246" s="1"/>
      <c r="AB246" s="1"/>
      <c r="AC246" s="1"/>
      <c r="AD246" s="1"/>
      <c r="AE246" s="1"/>
      <c r="AF246" s="1"/>
      <c r="AG246" s="1"/>
      <c r="AH246" s="1"/>
      <c r="AI246" s="1"/>
      <c r="AJ246" s="1"/>
      <c r="AK246" s="1"/>
      <c r="AL246" s="1"/>
    </row>
    <row r="247" spans="6:38" s="36" customFormat="1" x14ac:dyDescent="0.25">
      <c r="F247" s="38"/>
      <c r="G247" s="1"/>
      <c r="K247" s="1"/>
      <c r="Y247" s="1"/>
      <c r="Z247" s="1"/>
      <c r="AA247" s="1"/>
      <c r="AB247" s="1"/>
      <c r="AC247" s="1"/>
      <c r="AD247" s="1"/>
      <c r="AE247" s="1"/>
      <c r="AF247" s="1"/>
      <c r="AG247" s="1"/>
      <c r="AH247" s="1"/>
      <c r="AI247" s="1"/>
      <c r="AJ247" s="1"/>
      <c r="AK247" s="1"/>
      <c r="AL247" s="1"/>
    </row>
    <row r="248" spans="6:38" s="36" customFormat="1" x14ac:dyDescent="0.25">
      <c r="F248" s="38"/>
      <c r="G248" s="1"/>
      <c r="K248" s="1"/>
      <c r="Y248" s="1"/>
      <c r="Z248" s="1"/>
      <c r="AA248" s="1"/>
      <c r="AB248" s="1"/>
      <c r="AC248" s="1"/>
      <c r="AD248" s="1"/>
      <c r="AE248" s="1"/>
      <c r="AF248" s="1"/>
      <c r="AG248" s="1"/>
      <c r="AH248" s="1"/>
      <c r="AI248" s="1"/>
      <c r="AJ248" s="1"/>
      <c r="AK248" s="1"/>
      <c r="AL248" s="1"/>
    </row>
    <row r="249" spans="6:38" s="36" customFormat="1" x14ac:dyDescent="0.25">
      <c r="F249" s="38"/>
      <c r="G249" s="1"/>
      <c r="K249" s="1"/>
      <c r="Y249" s="1"/>
      <c r="Z249" s="1"/>
      <c r="AA249" s="1"/>
      <c r="AB249" s="1"/>
      <c r="AC249" s="1"/>
      <c r="AD249" s="1"/>
      <c r="AE249" s="1"/>
      <c r="AF249" s="1"/>
      <c r="AG249" s="1"/>
      <c r="AH249" s="1"/>
      <c r="AI249" s="1"/>
      <c r="AJ249" s="1"/>
      <c r="AK249" s="1"/>
      <c r="AL249" s="1"/>
    </row>
    <row r="250" spans="6:38" s="36" customFormat="1" x14ac:dyDescent="0.25">
      <c r="F250" s="38"/>
      <c r="G250" s="1"/>
      <c r="K250" s="1"/>
      <c r="Y250" s="1"/>
      <c r="Z250" s="1"/>
      <c r="AA250" s="1"/>
      <c r="AB250" s="1"/>
      <c r="AC250" s="1"/>
      <c r="AD250" s="1"/>
      <c r="AE250" s="1"/>
      <c r="AF250" s="1"/>
      <c r="AG250" s="1"/>
      <c r="AH250" s="1"/>
      <c r="AI250" s="1"/>
      <c r="AJ250" s="1"/>
      <c r="AK250" s="1"/>
      <c r="AL250" s="1"/>
    </row>
    <row r="251" spans="6:38" s="36" customFormat="1" x14ac:dyDescent="0.25">
      <c r="F251" s="38"/>
      <c r="G251" s="1"/>
      <c r="K251" s="1"/>
      <c r="Y251" s="1"/>
      <c r="Z251" s="1"/>
      <c r="AA251" s="1"/>
      <c r="AB251" s="1"/>
      <c r="AC251" s="1"/>
      <c r="AD251" s="1"/>
      <c r="AE251" s="1"/>
      <c r="AF251" s="1"/>
      <c r="AG251" s="1"/>
      <c r="AH251" s="1"/>
      <c r="AI251" s="1"/>
      <c r="AJ251" s="1"/>
      <c r="AK251" s="1"/>
      <c r="AL251" s="1"/>
    </row>
    <row r="252" spans="6:38" s="36" customFormat="1" x14ac:dyDescent="0.25">
      <c r="F252" s="38"/>
      <c r="G252" s="1"/>
      <c r="K252" s="1"/>
      <c r="Y252" s="1"/>
      <c r="Z252" s="1"/>
      <c r="AA252" s="1"/>
      <c r="AB252" s="1"/>
      <c r="AC252" s="1"/>
      <c r="AD252" s="1"/>
      <c r="AE252" s="1"/>
      <c r="AF252" s="1"/>
      <c r="AG252" s="1"/>
      <c r="AH252" s="1"/>
      <c r="AI252" s="1"/>
      <c r="AJ252" s="1"/>
      <c r="AK252" s="1"/>
      <c r="AL252" s="1"/>
    </row>
    <row r="253" spans="6:38" s="36" customFormat="1" x14ac:dyDescent="0.25">
      <c r="F253" s="38"/>
      <c r="G253" s="1"/>
      <c r="K253" s="1"/>
      <c r="Y253" s="1"/>
      <c r="Z253" s="1"/>
      <c r="AA253" s="1"/>
      <c r="AB253" s="1"/>
      <c r="AC253" s="1"/>
      <c r="AD253" s="1"/>
      <c r="AE253" s="1"/>
      <c r="AF253" s="1"/>
      <c r="AG253" s="1"/>
      <c r="AH253" s="1"/>
      <c r="AI253" s="1"/>
      <c r="AJ253" s="1"/>
      <c r="AK253" s="1"/>
      <c r="AL253" s="1"/>
    </row>
    <row r="254" spans="6:38" s="36" customFormat="1" x14ac:dyDescent="0.25">
      <c r="F254" s="38"/>
      <c r="G254" s="1"/>
      <c r="K254" s="1"/>
      <c r="Y254" s="1"/>
      <c r="Z254" s="1"/>
      <c r="AA254" s="1"/>
      <c r="AB254" s="1"/>
      <c r="AC254" s="1"/>
      <c r="AD254" s="1"/>
      <c r="AE254" s="1"/>
      <c r="AF254" s="1"/>
      <c r="AG254" s="1"/>
      <c r="AH254" s="1"/>
      <c r="AI254" s="1"/>
      <c r="AJ254" s="1"/>
      <c r="AK254" s="1"/>
      <c r="AL254" s="1"/>
    </row>
    <row r="255" spans="6:38" s="36" customFormat="1" x14ac:dyDescent="0.25">
      <c r="F255" s="38"/>
      <c r="G255" s="1"/>
      <c r="K255" s="1"/>
      <c r="Y255" s="1"/>
      <c r="Z255" s="1"/>
      <c r="AA255" s="1"/>
      <c r="AB255" s="1"/>
      <c r="AC255" s="1"/>
      <c r="AD255" s="1"/>
      <c r="AE255" s="1"/>
      <c r="AF255" s="1"/>
      <c r="AG255" s="1"/>
      <c r="AH255" s="1"/>
      <c r="AI255" s="1"/>
      <c r="AJ255" s="1"/>
      <c r="AK255" s="1"/>
      <c r="AL255" s="1"/>
    </row>
    <row r="256" spans="6:38" s="36" customFormat="1" x14ac:dyDescent="0.25">
      <c r="F256" s="38"/>
      <c r="G256" s="1"/>
      <c r="K256" s="1"/>
      <c r="Y256" s="1"/>
      <c r="Z256" s="1"/>
      <c r="AA256" s="1"/>
      <c r="AB256" s="1"/>
      <c r="AC256" s="1"/>
      <c r="AD256" s="1"/>
      <c r="AE256" s="1"/>
      <c r="AF256" s="1"/>
      <c r="AG256" s="1"/>
      <c r="AH256" s="1"/>
      <c r="AI256" s="1"/>
      <c r="AJ256" s="1"/>
      <c r="AK256" s="1"/>
      <c r="AL256" s="1"/>
    </row>
    <row r="257" spans="6:38" s="36" customFormat="1" x14ac:dyDescent="0.25">
      <c r="F257" s="38"/>
      <c r="G257" s="1"/>
      <c r="K257" s="1"/>
      <c r="Y257" s="1"/>
      <c r="Z257" s="1"/>
      <c r="AA257" s="1"/>
      <c r="AB257" s="1"/>
      <c r="AC257" s="1"/>
      <c r="AD257" s="1"/>
      <c r="AE257" s="1"/>
      <c r="AF257" s="1"/>
      <c r="AG257" s="1"/>
      <c r="AH257" s="1"/>
      <c r="AI257" s="1"/>
      <c r="AJ257" s="1"/>
      <c r="AK257" s="1"/>
      <c r="AL257" s="1"/>
    </row>
    <row r="258" spans="6:38" s="36" customFormat="1" x14ac:dyDescent="0.25">
      <c r="F258" s="38"/>
      <c r="G258" s="1"/>
      <c r="K258" s="1"/>
      <c r="Y258" s="1"/>
      <c r="Z258" s="1"/>
      <c r="AA258" s="1"/>
      <c r="AB258" s="1"/>
      <c r="AC258" s="1"/>
      <c r="AD258" s="1"/>
      <c r="AE258" s="1"/>
      <c r="AF258" s="1"/>
      <c r="AG258" s="1"/>
      <c r="AH258" s="1"/>
      <c r="AI258" s="1"/>
      <c r="AJ258" s="1"/>
      <c r="AK258" s="1"/>
      <c r="AL258" s="1"/>
    </row>
    <row r="259" spans="6:38" s="36" customFormat="1" x14ac:dyDescent="0.25">
      <c r="F259" s="38"/>
      <c r="G259" s="1"/>
      <c r="K259" s="1"/>
      <c r="Y259" s="1"/>
      <c r="Z259" s="1"/>
      <c r="AA259" s="1"/>
      <c r="AB259" s="1"/>
      <c r="AC259" s="1"/>
      <c r="AD259" s="1"/>
      <c r="AE259" s="1"/>
      <c r="AF259" s="1"/>
      <c r="AG259" s="1"/>
      <c r="AH259" s="1"/>
      <c r="AI259" s="1"/>
      <c r="AJ259" s="1"/>
      <c r="AK259" s="1"/>
      <c r="AL259" s="1"/>
    </row>
    <row r="260" spans="6:38" s="36" customFormat="1" x14ac:dyDescent="0.25">
      <c r="F260" s="38"/>
      <c r="G260" s="1"/>
      <c r="K260" s="1"/>
      <c r="Y260" s="1"/>
      <c r="Z260" s="1"/>
      <c r="AA260" s="1"/>
      <c r="AB260" s="1"/>
      <c r="AC260" s="1"/>
      <c r="AD260" s="1"/>
      <c r="AE260" s="1"/>
      <c r="AF260" s="1"/>
      <c r="AG260" s="1"/>
      <c r="AH260" s="1"/>
      <c r="AI260" s="1"/>
      <c r="AJ260" s="1"/>
      <c r="AK260" s="1"/>
      <c r="AL260" s="1"/>
    </row>
    <row r="261" spans="6:38" s="36" customFormat="1" x14ac:dyDescent="0.25">
      <c r="F261" s="38"/>
      <c r="G261" s="1"/>
      <c r="K261" s="1"/>
      <c r="Y261" s="1"/>
      <c r="Z261" s="1"/>
      <c r="AA261" s="1"/>
      <c r="AB261" s="1"/>
      <c r="AC261" s="1"/>
      <c r="AD261" s="1"/>
      <c r="AE261" s="1"/>
      <c r="AF261" s="1"/>
      <c r="AG261" s="1"/>
      <c r="AH261" s="1"/>
      <c r="AI261" s="1"/>
      <c r="AJ261" s="1"/>
      <c r="AK261" s="1"/>
      <c r="AL261" s="1"/>
    </row>
    <row r="262" spans="6:38" s="36" customFormat="1" x14ac:dyDescent="0.25">
      <c r="F262" s="38"/>
      <c r="G262" s="1"/>
      <c r="K262" s="1"/>
      <c r="Y262" s="1"/>
      <c r="Z262" s="1"/>
      <c r="AA262" s="1"/>
      <c r="AB262" s="1"/>
      <c r="AC262" s="1"/>
      <c r="AD262" s="1"/>
      <c r="AE262" s="1"/>
      <c r="AF262" s="1"/>
      <c r="AG262" s="1"/>
      <c r="AH262" s="1"/>
      <c r="AI262" s="1"/>
      <c r="AJ262" s="1"/>
      <c r="AK262" s="1"/>
      <c r="AL262" s="1"/>
    </row>
    <row r="263" spans="6:38" s="36" customFormat="1" x14ac:dyDescent="0.25">
      <c r="F263" s="38"/>
      <c r="G263" s="1"/>
      <c r="K263" s="1"/>
      <c r="Y263" s="1"/>
      <c r="Z263" s="1"/>
      <c r="AA263" s="1"/>
      <c r="AB263" s="1"/>
      <c r="AC263" s="1"/>
      <c r="AD263" s="1"/>
      <c r="AE263" s="1"/>
      <c r="AF263" s="1"/>
      <c r="AG263" s="1"/>
      <c r="AH263" s="1"/>
      <c r="AI263" s="1"/>
      <c r="AJ263" s="1"/>
      <c r="AK263" s="1"/>
      <c r="AL263" s="1"/>
    </row>
    <row r="264" spans="6:38" s="36" customFormat="1" x14ac:dyDescent="0.25">
      <c r="F264" s="38"/>
      <c r="G264" s="1"/>
      <c r="K264" s="1"/>
      <c r="Y264" s="1"/>
      <c r="Z264" s="1"/>
      <c r="AA264" s="1"/>
      <c r="AB264" s="1"/>
      <c r="AC264" s="1"/>
      <c r="AD264" s="1"/>
      <c r="AE264" s="1"/>
      <c r="AF264" s="1"/>
      <c r="AG264" s="1"/>
      <c r="AH264" s="1"/>
      <c r="AI264" s="1"/>
      <c r="AJ264" s="1"/>
      <c r="AK264" s="1"/>
      <c r="AL264" s="1"/>
    </row>
    <row r="265" spans="6:38" s="36" customFormat="1" x14ac:dyDescent="0.25">
      <c r="F265" s="38"/>
      <c r="G265" s="1"/>
      <c r="K265" s="1"/>
      <c r="Y265" s="1"/>
      <c r="Z265" s="1"/>
      <c r="AA265" s="1"/>
      <c r="AB265" s="1"/>
      <c r="AC265" s="1"/>
      <c r="AD265" s="1"/>
      <c r="AE265" s="1"/>
      <c r="AF265" s="1"/>
      <c r="AG265" s="1"/>
      <c r="AH265" s="1"/>
      <c r="AI265" s="1"/>
      <c r="AJ265" s="1"/>
      <c r="AK265" s="1"/>
      <c r="AL265" s="1"/>
    </row>
    <row r="266" spans="6:38" s="36" customFormat="1" x14ac:dyDescent="0.25">
      <c r="F266" s="38"/>
      <c r="G266" s="1"/>
      <c r="K266" s="1"/>
      <c r="Y266" s="1"/>
      <c r="Z266" s="1"/>
      <c r="AA266" s="1"/>
      <c r="AB266" s="1"/>
      <c r="AC266" s="1"/>
      <c r="AD266" s="1"/>
      <c r="AE266" s="1"/>
      <c r="AF266" s="1"/>
      <c r="AG266" s="1"/>
      <c r="AH266" s="1"/>
      <c r="AI266" s="1"/>
      <c r="AJ266" s="1"/>
      <c r="AK266" s="1"/>
      <c r="AL266" s="1"/>
    </row>
    <row r="267" spans="6:38" s="36" customFormat="1" x14ac:dyDescent="0.25">
      <c r="F267" s="38"/>
      <c r="G267" s="1"/>
      <c r="K267" s="1"/>
      <c r="Y267" s="1"/>
      <c r="Z267" s="1"/>
      <c r="AA267" s="1"/>
      <c r="AB267" s="1"/>
      <c r="AC267" s="1"/>
      <c r="AD267" s="1"/>
      <c r="AE267" s="1"/>
      <c r="AF267" s="1"/>
      <c r="AG267" s="1"/>
      <c r="AH267" s="1"/>
      <c r="AI267" s="1"/>
      <c r="AJ267" s="1"/>
      <c r="AK267" s="1"/>
      <c r="AL267" s="1"/>
    </row>
    <row r="268" spans="6:38" s="36" customFormat="1" x14ac:dyDescent="0.25">
      <c r="F268" s="38"/>
      <c r="G268" s="1"/>
      <c r="K268" s="1"/>
      <c r="Y268" s="1"/>
      <c r="Z268" s="1"/>
      <c r="AA268" s="1"/>
      <c r="AB268" s="1"/>
      <c r="AC268" s="1"/>
      <c r="AD268" s="1"/>
      <c r="AE268" s="1"/>
      <c r="AF268" s="1"/>
      <c r="AG268" s="1"/>
      <c r="AH268" s="1"/>
      <c r="AI268" s="1"/>
      <c r="AJ268" s="1"/>
      <c r="AK268" s="1"/>
      <c r="AL268" s="1"/>
    </row>
    <row r="269" spans="6:38" s="36" customFormat="1" x14ac:dyDescent="0.25">
      <c r="F269" s="38"/>
      <c r="G269" s="1"/>
      <c r="K269" s="1"/>
      <c r="Y269" s="1"/>
      <c r="Z269" s="1"/>
      <c r="AA269" s="1"/>
      <c r="AB269" s="1"/>
      <c r="AC269" s="1"/>
      <c r="AD269" s="1"/>
      <c r="AE269" s="1"/>
      <c r="AF269" s="1"/>
      <c r="AG269" s="1"/>
      <c r="AH269" s="1"/>
      <c r="AI269" s="1"/>
      <c r="AJ269" s="1"/>
      <c r="AK269" s="1"/>
      <c r="AL269" s="1"/>
    </row>
    <row r="270" spans="6:38" s="36" customFormat="1" x14ac:dyDescent="0.25">
      <c r="F270" s="38"/>
      <c r="G270" s="1"/>
      <c r="K270" s="1"/>
      <c r="Y270" s="1"/>
      <c r="Z270" s="1"/>
      <c r="AA270" s="1"/>
      <c r="AB270" s="1"/>
      <c r="AC270" s="1"/>
      <c r="AD270" s="1"/>
      <c r="AE270" s="1"/>
      <c r="AF270" s="1"/>
      <c r="AG270" s="1"/>
      <c r="AH270" s="1"/>
      <c r="AI270" s="1"/>
      <c r="AJ270" s="1"/>
      <c r="AK270" s="1"/>
      <c r="AL270" s="1"/>
    </row>
    <row r="271" spans="6:38" s="36" customFormat="1" x14ac:dyDescent="0.25">
      <c r="F271" s="38"/>
      <c r="G271" s="1"/>
      <c r="K271" s="1"/>
      <c r="Y271" s="1"/>
      <c r="Z271" s="1"/>
      <c r="AA271" s="1"/>
      <c r="AB271" s="1"/>
      <c r="AC271" s="1"/>
      <c r="AD271" s="1"/>
      <c r="AE271" s="1"/>
      <c r="AF271" s="1"/>
      <c r="AG271" s="1"/>
      <c r="AH271" s="1"/>
      <c r="AI271" s="1"/>
      <c r="AJ271" s="1"/>
      <c r="AK271" s="1"/>
      <c r="AL271" s="1"/>
    </row>
    <row r="272" spans="6:38" s="36" customFormat="1" x14ac:dyDescent="0.25">
      <c r="F272" s="38"/>
      <c r="G272" s="1"/>
      <c r="K272" s="1"/>
      <c r="Y272" s="1"/>
      <c r="Z272" s="1"/>
      <c r="AA272" s="1"/>
      <c r="AB272" s="1"/>
      <c r="AC272" s="1"/>
      <c r="AD272" s="1"/>
      <c r="AE272" s="1"/>
      <c r="AF272" s="1"/>
      <c r="AG272" s="1"/>
      <c r="AH272" s="1"/>
      <c r="AI272" s="1"/>
      <c r="AJ272" s="1"/>
      <c r="AK272" s="1"/>
      <c r="AL272" s="1"/>
    </row>
    <row r="273" spans="6:38" s="36" customFormat="1" x14ac:dyDescent="0.25">
      <c r="F273" s="38"/>
      <c r="G273" s="1"/>
      <c r="K273" s="1"/>
      <c r="Y273" s="1"/>
      <c r="Z273" s="1"/>
      <c r="AA273" s="1"/>
      <c r="AB273" s="1"/>
      <c r="AC273" s="1"/>
      <c r="AD273" s="1"/>
      <c r="AE273" s="1"/>
      <c r="AF273" s="1"/>
      <c r="AG273" s="1"/>
      <c r="AH273" s="1"/>
      <c r="AI273" s="1"/>
      <c r="AJ273" s="1"/>
      <c r="AK273" s="1"/>
      <c r="AL273" s="1"/>
    </row>
    <row r="274" spans="6:38" s="36" customFormat="1" x14ac:dyDescent="0.25">
      <c r="F274" s="38"/>
      <c r="G274" s="1"/>
      <c r="K274" s="1"/>
      <c r="Y274" s="1"/>
      <c r="Z274" s="1"/>
      <c r="AA274" s="1"/>
      <c r="AB274" s="1"/>
      <c r="AC274" s="1"/>
      <c r="AD274" s="1"/>
      <c r="AE274" s="1"/>
      <c r="AF274" s="1"/>
      <c r="AG274" s="1"/>
      <c r="AH274" s="1"/>
      <c r="AI274" s="1"/>
      <c r="AJ274" s="1"/>
      <c r="AK274" s="1"/>
      <c r="AL274" s="1"/>
    </row>
    <row r="275" spans="6:38" s="36" customFormat="1" x14ac:dyDescent="0.25">
      <c r="F275" s="38"/>
      <c r="G275" s="1"/>
      <c r="K275" s="1"/>
      <c r="Y275" s="1"/>
      <c r="Z275" s="1"/>
      <c r="AA275" s="1"/>
      <c r="AB275" s="1"/>
      <c r="AC275" s="1"/>
      <c r="AD275" s="1"/>
      <c r="AE275" s="1"/>
      <c r="AF275" s="1"/>
      <c r="AG275" s="1"/>
      <c r="AH275" s="1"/>
      <c r="AI275" s="1"/>
      <c r="AJ275" s="1"/>
      <c r="AK275" s="1"/>
      <c r="AL275" s="1"/>
    </row>
    <row r="276" spans="6:38" s="36" customFormat="1" x14ac:dyDescent="0.25">
      <c r="F276" s="38"/>
      <c r="G276" s="1"/>
      <c r="K276" s="1"/>
      <c r="Y276" s="1"/>
      <c r="Z276" s="1"/>
      <c r="AA276" s="1"/>
      <c r="AB276" s="1"/>
      <c r="AC276" s="1"/>
      <c r="AD276" s="1"/>
      <c r="AE276" s="1"/>
      <c r="AF276" s="1"/>
      <c r="AG276" s="1"/>
      <c r="AH276" s="1"/>
      <c r="AI276" s="1"/>
      <c r="AJ276" s="1"/>
      <c r="AK276" s="1"/>
      <c r="AL276" s="1"/>
    </row>
    <row r="277" spans="6:38" s="36" customFormat="1" x14ac:dyDescent="0.25">
      <c r="F277" s="38"/>
      <c r="G277" s="1"/>
      <c r="K277" s="1"/>
      <c r="Y277" s="1"/>
      <c r="Z277" s="1"/>
      <c r="AA277" s="1"/>
      <c r="AB277" s="1"/>
      <c r="AC277" s="1"/>
      <c r="AD277" s="1"/>
      <c r="AE277" s="1"/>
      <c r="AF277" s="1"/>
      <c r="AG277" s="1"/>
      <c r="AH277" s="1"/>
      <c r="AI277" s="1"/>
      <c r="AJ277" s="1"/>
      <c r="AK277" s="1"/>
      <c r="AL277" s="1"/>
    </row>
    <row r="278" spans="6:38" s="36" customFormat="1" x14ac:dyDescent="0.25">
      <c r="F278" s="38"/>
      <c r="G278" s="1"/>
      <c r="K278" s="1"/>
      <c r="Y278" s="1"/>
      <c r="Z278" s="1"/>
      <c r="AA278" s="1"/>
      <c r="AB278" s="1"/>
      <c r="AC278" s="1"/>
      <c r="AD278" s="1"/>
      <c r="AE278" s="1"/>
      <c r="AF278" s="1"/>
      <c r="AG278" s="1"/>
      <c r="AH278" s="1"/>
      <c r="AI278" s="1"/>
      <c r="AJ278" s="1"/>
      <c r="AK278" s="1"/>
      <c r="AL278" s="1"/>
    </row>
    <row r="279" spans="6:38" s="36" customFormat="1" x14ac:dyDescent="0.25">
      <c r="F279" s="38"/>
      <c r="G279" s="1"/>
      <c r="K279" s="1"/>
      <c r="Y279" s="1"/>
      <c r="Z279" s="1"/>
      <c r="AA279" s="1"/>
      <c r="AB279" s="1"/>
      <c r="AC279" s="1"/>
      <c r="AD279" s="1"/>
      <c r="AE279" s="1"/>
      <c r="AF279" s="1"/>
      <c r="AG279" s="1"/>
      <c r="AH279" s="1"/>
      <c r="AI279" s="1"/>
      <c r="AJ279" s="1"/>
      <c r="AK279" s="1"/>
      <c r="AL279" s="1"/>
    </row>
    <row r="280" spans="6:38" s="36" customFormat="1" x14ac:dyDescent="0.25">
      <c r="F280" s="38"/>
      <c r="G280" s="1"/>
      <c r="K280" s="1"/>
      <c r="Y280" s="1"/>
      <c r="Z280" s="1"/>
      <c r="AA280" s="1"/>
      <c r="AB280" s="1"/>
      <c r="AC280" s="1"/>
      <c r="AD280" s="1"/>
      <c r="AE280" s="1"/>
      <c r="AF280" s="1"/>
      <c r="AG280" s="1"/>
      <c r="AH280" s="1"/>
      <c r="AI280" s="1"/>
      <c r="AJ280" s="1"/>
      <c r="AK280" s="1"/>
      <c r="AL280" s="1"/>
    </row>
    <row r="281" spans="6:38" s="36" customFormat="1" x14ac:dyDescent="0.25">
      <c r="F281" s="38"/>
      <c r="G281" s="1"/>
      <c r="K281" s="1"/>
      <c r="Y281" s="1"/>
      <c r="Z281" s="1"/>
      <c r="AA281" s="1"/>
      <c r="AB281" s="1"/>
      <c r="AC281" s="1"/>
      <c r="AD281" s="1"/>
      <c r="AE281" s="1"/>
      <c r="AF281" s="1"/>
      <c r="AG281" s="1"/>
      <c r="AH281" s="1"/>
      <c r="AI281" s="1"/>
      <c r="AJ281" s="1"/>
      <c r="AK281" s="1"/>
      <c r="AL281" s="1"/>
    </row>
    <row r="282" spans="6:38" s="36" customFormat="1" x14ac:dyDescent="0.25">
      <c r="F282" s="38"/>
      <c r="G282" s="1"/>
      <c r="K282" s="1"/>
      <c r="Y282" s="1"/>
      <c r="Z282" s="1"/>
      <c r="AA282" s="1"/>
      <c r="AB282" s="1"/>
      <c r="AC282" s="1"/>
      <c r="AD282" s="1"/>
      <c r="AE282" s="1"/>
      <c r="AF282" s="1"/>
      <c r="AG282" s="1"/>
      <c r="AH282" s="1"/>
      <c r="AI282" s="1"/>
      <c r="AJ282" s="1"/>
      <c r="AK282" s="1"/>
      <c r="AL282" s="1"/>
    </row>
    <row r="283" spans="6:38" s="36" customFormat="1" x14ac:dyDescent="0.25">
      <c r="F283" s="38"/>
      <c r="G283" s="1"/>
      <c r="K283" s="1"/>
      <c r="Y283" s="1"/>
      <c r="Z283" s="1"/>
      <c r="AA283" s="1"/>
      <c r="AB283" s="1"/>
      <c r="AC283" s="1"/>
      <c r="AD283" s="1"/>
      <c r="AE283" s="1"/>
      <c r="AF283" s="1"/>
      <c r="AG283" s="1"/>
      <c r="AH283" s="1"/>
      <c r="AI283" s="1"/>
      <c r="AJ283" s="1"/>
      <c r="AK283" s="1"/>
      <c r="AL283" s="1"/>
    </row>
    <row r="284" spans="6:38" s="36" customFormat="1" x14ac:dyDescent="0.25">
      <c r="F284" s="38"/>
      <c r="G284" s="1"/>
      <c r="K284" s="1"/>
      <c r="Y284" s="1"/>
      <c r="Z284" s="1"/>
      <c r="AA284" s="1"/>
      <c r="AB284" s="1"/>
      <c r="AC284" s="1"/>
      <c r="AD284" s="1"/>
      <c r="AE284" s="1"/>
      <c r="AF284" s="1"/>
      <c r="AG284" s="1"/>
      <c r="AH284" s="1"/>
      <c r="AI284" s="1"/>
      <c r="AJ284" s="1"/>
      <c r="AK284" s="1"/>
      <c r="AL284" s="1"/>
    </row>
    <row r="285" spans="6:38" s="36" customFormat="1" x14ac:dyDescent="0.25">
      <c r="F285" s="38"/>
      <c r="G285" s="1"/>
      <c r="K285" s="1"/>
      <c r="Y285" s="1"/>
      <c r="Z285" s="1"/>
      <c r="AA285" s="1"/>
      <c r="AB285" s="1"/>
      <c r="AC285" s="1"/>
      <c r="AD285" s="1"/>
      <c r="AE285" s="1"/>
      <c r="AF285" s="1"/>
      <c r="AG285" s="1"/>
      <c r="AH285" s="1"/>
      <c r="AI285" s="1"/>
      <c r="AJ285" s="1"/>
      <c r="AK285" s="1"/>
      <c r="AL285" s="1"/>
    </row>
    <row r="286" spans="6:38" s="36" customFormat="1" x14ac:dyDescent="0.25">
      <c r="F286" s="38"/>
      <c r="G286" s="1"/>
      <c r="K286" s="1"/>
      <c r="Y286" s="1"/>
      <c r="Z286" s="1"/>
      <c r="AA286" s="1"/>
      <c r="AB286" s="1"/>
      <c r="AC286" s="1"/>
      <c r="AD286" s="1"/>
      <c r="AE286" s="1"/>
      <c r="AF286" s="1"/>
      <c r="AG286" s="1"/>
      <c r="AH286" s="1"/>
      <c r="AI286" s="1"/>
      <c r="AJ286" s="1"/>
      <c r="AK286" s="1"/>
      <c r="AL286" s="1"/>
    </row>
    <row r="287" spans="6:38" s="36" customFormat="1" x14ac:dyDescent="0.25">
      <c r="F287" s="38"/>
      <c r="G287" s="1"/>
      <c r="K287" s="1"/>
      <c r="Y287" s="1"/>
      <c r="Z287" s="1"/>
      <c r="AA287" s="1"/>
      <c r="AB287" s="1"/>
      <c r="AC287" s="1"/>
      <c r="AD287" s="1"/>
      <c r="AE287" s="1"/>
      <c r="AF287" s="1"/>
      <c r="AG287" s="1"/>
      <c r="AH287" s="1"/>
      <c r="AI287" s="1"/>
      <c r="AJ287" s="1"/>
      <c r="AK287" s="1"/>
      <c r="AL287" s="1"/>
    </row>
    <row r="288" spans="6:38" s="36" customFormat="1" x14ac:dyDescent="0.25">
      <c r="F288" s="38"/>
      <c r="G288" s="1"/>
      <c r="K288" s="1"/>
      <c r="Y288" s="1"/>
      <c r="Z288" s="1"/>
      <c r="AA288" s="1"/>
      <c r="AB288" s="1"/>
      <c r="AC288" s="1"/>
      <c r="AD288" s="1"/>
      <c r="AE288" s="1"/>
      <c r="AF288" s="1"/>
      <c r="AG288" s="1"/>
      <c r="AH288" s="1"/>
      <c r="AI288" s="1"/>
      <c r="AJ288" s="1"/>
      <c r="AK288" s="1"/>
      <c r="AL288" s="1"/>
    </row>
    <row r="289" spans="6:38" s="36" customFormat="1" x14ac:dyDescent="0.25">
      <c r="F289" s="38"/>
      <c r="G289" s="1"/>
      <c r="K289" s="1"/>
      <c r="Y289" s="1"/>
      <c r="Z289" s="1"/>
      <c r="AA289" s="1"/>
      <c r="AB289" s="1"/>
      <c r="AC289" s="1"/>
      <c r="AD289" s="1"/>
      <c r="AE289" s="1"/>
      <c r="AF289" s="1"/>
      <c r="AG289" s="1"/>
      <c r="AH289" s="1"/>
      <c r="AI289" s="1"/>
      <c r="AJ289" s="1"/>
      <c r="AK289" s="1"/>
      <c r="AL289" s="1"/>
    </row>
    <row r="290" spans="6:38" s="36" customFormat="1" x14ac:dyDescent="0.25">
      <c r="F290" s="38"/>
      <c r="G290" s="1"/>
      <c r="K290" s="1"/>
      <c r="Y290" s="1"/>
      <c r="Z290" s="1"/>
      <c r="AA290" s="1"/>
      <c r="AB290" s="1"/>
      <c r="AC290" s="1"/>
      <c r="AD290" s="1"/>
      <c r="AE290" s="1"/>
      <c r="AF290" s="1"/>
      <c r="AG290" s="1"/>
      <c r="AH290" s="1"/>
      <c r="AI290" s="1"/>
      <c r="AJ290" s="1"/>
      <c r="AK290" s="1"/>
      <c r="AL290" s="1"/>
    </row>
    <row r="291" spans="6:38" s="36" customFormat="1" x14ac:dyDescent="0.25">
      <c r="F291" s="38"/>
      <c r="G291" s="1"/>
      <c r="K291" s="1"/>
      <c r="Y291" s="1"/>
      <c r="Z291" s="1"/>
      <c r="AA291" s="1"/>
      <c r="AB291" s="1"/>
      <c r="AC291" s="1"/>
      <c r="AD291" s="1"/>
      <c r="AE291" s="1"/>
      <c r="AF291" s="1"/>
      <c r="AG291" s="1"/>
      <c r="AH291" s="1"/>
      <c r="AI291" s="1"/>
      <c r="AJ291" s="1"/>
      <c r="AK291" s="1"/>
      <c r="AL291" s="1"/>
    </row>
    <row r="292" spans="6:38" s="36" customFormat="1" x14ac:dyDescent="0.25">
      <c r="F292" s="38"/>
      <c r="G292" s="1"/>
      <c r="K292" s="1"/>
      <c r="Y292" s="1"/>
      <c r="Z292" s="1"/>
      <c r="AA292" s="1"/>
      <c r="AB292" s="1"/>
      <c r="AC292" s="1"/>
      <c r="AD292" s="1"/>
      <c r="AE292" s="1"/>
      <c r="AF292" s="1"/>
      <c r="AG292" s="1"/>
      <c r="AH292" s="1"/>
      <c r="AI292" s="1"/>
      <c r="AJ292" s="1"/>
      <c r="AK292" s="1"/>
      <c r="AL292" s="1"/>
    </row>
    <row r="293" spans="6:38" s="36" customFormat="1" x14ac:dyDescent="0.25">
      <c r="F293" s="38"/>
      <c r="G293" s="1"/>
      <c r="K293" s="1"/>
      <c r="Y293" s="1"/>
      <c r="Z293" s="1"/>
      <c r="AA293" s="1"/>
      <c r="AB293" s="1"/>
      <c r="AC293" s="1"/>
      <c r="AD293" s="1"/>
      <c r="AE293" s="1"/>
      <c r="AF293" s="1"/>
      <c r="AG293" s="1"/>
      <c r="AH293" s="1"/>
      <c r="AI293" s="1"/>
      <c r="AJ293" s="1"/>
      <c r="AK293" s="1"/>
      <c r="AL293" s="1"/>
    </row>
    <row r="294" spans="6:38" s="36" customFormat="1" x14ac:dyDescent="0.25">
      <c r="F294" s="38"/>
      <c r="G294" s="1"/>
      <c r="K294" s="1"/>
      <c r="Y294" s="1"/>
      <c r="Z294" s="1"/>
      <c r="AA294" s="1"/>
      <c r="AB294" s="1"/>
      <c r="AC294" s="1"/>
      <c r="AD294" s="1"/>
      <c r="AE294" s="1"/>
      <c r="AF294" s="1"/>
      <c r="AG294" s="1"/>
      <c r="AH294" s="1"/>
      <c r="AI294" s="1"/>
      <c r="AJ294" s="1"/>
      <c r="AK294" s="1"/>
      <c r="AL294" s="1"/>
    </row>
    <row r="295" spans="6:38" s="36" customFormat="1" x14ac:dyDescent="0.25">
      <c r="F295" s="38"/>
      <c r="G295" s="1"/>
      <c r="K295" s="1"/>
      <c r="Y295" s="1"/>
      <c r="Z295" s="1"/>
      <c r="AA295" s="1"/>
      <c r="AB295" s="1"/>
      <c r="AC295" s="1"/>
      <c r="AD295" s="1"/>
      <c r="AE295" s="1"/>
      <c r="AF295" s="1"/>
      <c r="AG295" s="1"/>
      <c r="AH295" s="1"/>
      <c r="AI295" s="1"/>
      <c r="AJ295" s="1"/>
      <c r="AK295" s="1"/>
      <c r="AL295" s="1"/>
    </row>
    <row r="296" spans="6:38" s="36" customFormat="1" x14ac:dyDescent="0.25">
      <c r="F296" s="38"/>
      <c r="G296" s="1"/>
      <c r="K296" s="1"/>
      <c r="Y296" s="1"/>
      <c r="Z296" s="1"/>
      <c r="AA296" s="1"/>
      <c r="AB296" s="1"/>
      <c r="AC296" s="1"/>
      <c r="AD296" s="1"/>
      <c r="AE296" s="1"/>
      <c r="AF296" s="1"/>
      <c r="AG296" s="1"/>
      <c r="AH296" s="1"/>
      <c r="AI296" s="1"/>
      <c r="AJ296" s="1"/>
      <c r="AK296" s="1"/>
      <c r="AL296" s="1"/>
    </row>
    <row r="297" spans="6:38" s="36" customFormat="1" x14ac:dyDescent="0.25">
      <c r="F297" s="38"/>
      <c r="G297" s="1"/>
      <c r="K297" s="1"/>
      <c r="Y297" s="1"/>
      <c r="Z297" s="1"/>
      <c r="AA297" s="1"/>
      <c r="AB297" s="1"/>
      <c r="AC297" s="1"/>
      <c r="AD297" s="1"/>
      <c r="AE297" s="1"/>
      <c r="AF297" s="1"/>
      <c r="AG297" s="1"/>
      <c r="AH297" s="1"/>
      <c r="AI297" s="1"/>
      <c r="AJ297" s="1"/>
      <c r="AK297" s="1"/>
      <c r="AL297" s="1"/>
    </row>
    <row r="298" spans="6:38" s="36" customFormat="1" x14ac:dyDescent="0.25">
      <c r="F298" s="38"/>
      <c r="G298" s="1"/>
      <c r="K298" s="1"/>
      <c r="Y298" s="1"/>
      <c r="Z298" s="1"/>
      <c r="AA298" s="1"/>
      <c r="AB298" s="1"/>
      <c r="AC298" s="1"/>
      <c r="AD298" s="1"/>
      <c r="AE298" s="1"/>
      <c r="AF298" s="1"/>
      <c r="AG298" s="1"/>
      <c r="AH298" s="1"/>
      <c r="AI298" s="1"/>
      <c r="AJ298" s="1"/>
      <c r="AK298" s="1"/>
      <c r="AL298" s="1"/>
    </row>
    <row r="299" spans="6:38" s="36" customFormat="1" x14ac:dyDescent="0.25">
      <c r="F299" s="38"/>
      <c r="G299" s="1"/>
      <c r="K299" s="1"/>
      <c r="Y299" s="1"/>
      <c r="Z299" s="1"/>
      <c r="AA299" s="1"/>
      <c r="AB299" s="1"/>
      <c r="AC299" s="1"/>
      <c r="AD299" s="1"/>
      <c r="AE299" s="1"/>
      <c r="AF299" s="1"/>
      <c r="AG299" s="1"/>
      <c r="AH299" s="1"/>
      <c r="AI299" s="1"/>
      <c r="AJ299" s="1"/>
      <c r="AK299" s="1"/>
      <c r="AL299" s="1"/>
    </row>
    <row r="300" spans="6:38" s="36" customFormat="1" x14ac:dyDescent="0.25">
      <c r="F300" s="38"/>
      <c r="G300" s="1"/>
      <c r="K300" s="1"/>
      <c r="Y300" s="1"/>
      <c r="Z300" s="1"/>
      <c r="AA300" s="1"/>
      <c r="AB300" s="1"/>
      <c r="AC300" s="1"/>
      <c r="AD300" s="1"/>
      <c r="AE300" s="1"/>
      <c r="AF300" s="1"/>
      <c r="AG300" s="1"/>
      <c r="AH300" s="1"/>
      <c r="AI300" s="1"/>
      <c r="AJ300" s="1"/>
      <c r="AK300" s="1"/>
      <c r="AL300" s="1"/>
    </row>
    <row r="301" spans="6:38" s="36" customFormat="1" x14ac:dyDescent="0.25">
      <c r="F301" s="38"/>
      <c r="G301" s="1"/>
      <c r="K301" s="1"/>
      <c r="Y301" s="1"/>
      <c r="Z301" s="1"/>
      <c r="AA301" s="1"/>
      <c r="AB301" s="1"/>
      <c r="AC301" s="1"/>
      <c r="AD301" s="1"/>
      <c r="AE301" s="1"/>
      <c r="AF301" s="1"/>
      <c r="AG301" s="1"/>
      <c r="AH301" s="1"/>
      <c r="AI301" s="1"/>
      <c r="AJ301" s="1"/>
      <c r="AK301" s="1"/>
      <c r="AL301" s="1"/>
    </row>
    <row r="302" spans="6:38" s="36" customFormat="1" x14ac:dyDescent="0.25">
      <c r="F302" s="38"/>
      <c r="G302" s="1"/>
      <c r="K302" s="1"/>
      <c r="Y302" s="1"/>
      <c r="Z302" s="1"/>
      <c r="AA302" s="1"/>
      <c r="AB302" s="1"/>
      <c r="AC302" s="1"/>
      <c r="AD302" s="1"/>
      <c r="AE302" s="1"/>
      <c r="AF302" s="1"/>
      <c r="AG302" s="1"/>
      <c r="AH302" s="1"/>
      <c r="AI302" s="1"/>
      <c r="AJ302" s="1"/>
      <c r="AK302" s="1"/>
      <c r="AL302" s="1"/>
    </row>
    <row r="303" spans="6:38" s="36" customFormat="1" x14ac:dyDescent="0.25">
      <c r="F303" s="38"/>
      <c r="G303" s="1"/>
      <c r="K303" s="1"/>
      <c r="Y303" s="1"/>
      <c r="Z303" s="1"/>
      <c r="AA303" s="1"/>
      <c r="AB303" s="1"/>
      <c r="AC303" s="1"/>
      <c r="AD303" s="1"/>
      <c r="AE303" s="1"/>
      <c r="AF303" s="1"/>
      <c r="AG303" s="1"/>
      <c r="AH303" s="1"/>
      <c r="AI303" s="1"/>
      <c r="AJ303" s="1"/>
      <c r="AK303" s="1"/>
      <c r="AL303" s="1"/>
    </row>
    <row r="304" spans="6:38" s="36" customFormat="1" x14ac:dyDescent="0.25">
      <c r="F304" s="38"/>
      <c r="G304" s="1"/>
      <c r="K304" s="1"/>
      <c r="Y304" s="1"/>
      <c r="Z304" s="1"/>
      <c r="AA304" s="1"/>
      <c r="AB304" s="1"/>
      <c r="AC304" s="1"/>
      <c r="AD304" s="1"/>
      <c r="AE304" s="1"/>
      <c r="AF304" s="1"/>
      <c r="AG304" s="1"/>
      <c r="AH304" s="1"/>
      <c r="AI304" s="1"/>
      <c r="AJ304" s="1"/>
      <c r="AK304" s="1"/>
      <c r="AL304" s="1"/>
    </row>
    <row r="305" spans="6:38" s="36" customFormat="1" x14ac:dyDescent="0.25">
      <c r="F305" s="38"/>
      <c r="G305" s="1"/>
      <c r="K305" s="1"/>
      <c r="Y305" s="1"/>
      <c r="Z305" s="1"/>
      <c r="AA305" s="1"/>
      <c r="AB305" s="1"/>
      <c r="AC305" s="1"/>
      <c r="AD305" s="1"/>
      <c r="AE305" s="1"/>
      <c r="AF305" s="1"/>
      <c r="AG305" s="1"/>
      <c r="AH305" s="1"/>
      <c r="AI305" s="1"/>
      <c r="AJ305" s="1"/>
      <c r="AK305" s="1"/>
      <c r="AL305" s="1"/>
    </row>
    <row r="306" spans="6:38" s="36" customFormat="1" x14ac:dyDescent="0.25">
      <c r="F306" s="38"/>
      <c r="G306" s="1"/>
      <c r="K306" s="1"/>
      <c r="Y306" s="1"/>
      <c r="Z306" s="1"/>
      <c r="AA306" s="1"/>
      <c r="AB306" s="1"/>
      <c r="AC306" s="1"/>
      <c r="AD306" s="1"/>
      <c r="AE306" s="1"/>
      <c r="AF306" s="1"/>
      <c r="AG306" s="1"/>
      <c r="AH306" s="1"/>
      <c r="AI306" s="1"/>
      <c r="AJ306" s="1"/>
      <c r="AK306" s="1"/>
      <c r="AL306" s="1"/>
    </row>
    <row r="307" spans="6:38" s="36" customFormat="1" x14ac:dyDescent="0.25">
      <c r="F307" s="38"/>
      <c r="G307" s="1"/>
      <c r="K307" s="1"/>
      <c r="Y307" s="1"/>
      <c r="Z307" s="1"/>
      <c r="AA307" s="1"/>
      <c r="AB307" s="1"/>
      <c r="AC307" s="1"/>
      <c r="AD307" s="1"/>
      <c r="AE307" s="1"/>
      <c r="AF307" s="1"/>
      <c r="AG307" s="1"/>
      <c r="AH307" s="1"/>
      <c r="AI307" s="1"/>
      <c r="AJ307" s="1"/>
      <c r="AK307" s="1"/>
      <c r="AL307" s="1"/>
    </row>
    <row r="308" spans="6:38" s="36" customFormat="1" x14ac:dyDescent="0.25">
      <c r="F308" s="38"/>
      <c r="G308" s="1"/>
      <c r="K308" s="1"/>
      <c r="Y308" s="1"/>
      <c r="Z308" s="1"/>
      <c r="AA308" s="1"/>
      <c r="AB308" s="1"/>
      <c r="AC308" s="1"/>
      <c r="AD308" s="1"/>
      <c r="AE308" s="1"/>
      <c r="AF308" s="1"/>
      <c r="AG308" s="1"/>
      <c r="AH308" s="1"/>
      <c r="AI308" s="1"/>
      <c r="AJ308" s="1"/>
      <c r="AK308" s="1"/>
      <c r="AL308" s="1"/>
    </row>
    <row r="309" spans="6:38" s="36" customFormat="1" x14ac:dyDescent="0.25">
      <c r="F309" s="38"/>
      <c r="G309" s="1"/>
      <c r="K309" s="1"/>
      <c r="Y309" s="1"/>
      <c r="Z309" s="1"/>
      <c r="AA309" s="1"/>
      <c r="AB309" s="1"/>
      <c r="AC309" s="1"/>
      <c r="AD309" s="1"/>
      <c r="AE309" s="1"/>
      <c r="AF309" s="1"/>
      <c r="AG309" s="1"/>
      <c r="AH309" s="1"/>
      <c r="AI309" s="1"/>
      <c r="AJ309" s="1"/>
      <c r="AK309" s="1"/>
      <c r="AL309" s="1"/>
    </row>
    <row r="310" spans="6:38" s="36" customFormat="1" x14ac:dyDescent="0.25">
      <c r="F310" s="38"/>
      <c r="G310" s="1"/>
      <c r="K310" s="1"/>
      <c r="Y310" s="1"/>
      <c r="Z310" s="1"/>
      <c r="AA310" s="1"/>
      <c r="AB310" s="1"/>
      <c r="AC310" s="1"/>
      <c r="AD310" s="1"/>
      <c r="AE310" s="1"/>
      <c r="AF310" s="1"/>
      <c r="AG310" s="1"/>
      <c r="AH310" s="1"/>
      <c r="AI310" s="1"/>
      <c r="AJ310" s="1"/>
      <c r="AK310" s="1"/>
      <c r="AL310" s="1"/>
    </row>
    <row r="311" spans="6:38" s="36" customFormat="1" x14ac:dyDescent="0.25">
      <c r="F311" s="38"/>
      <c r="G311" s="1"/>
      <c r="K311" s="1"/>
      <c r="Y311" s="1"/>
      <c r="Z311" s="1"/>
      <c r="AA311" s="1"/>
      <c r="AB311" s="1"/>
      <c r="AC311" s="1"/>
      <c r="AD311" s="1"/>
      <c r="AE311" s="1"/>
      <c r="AF311" s="1"/>
      <c r="AG311" s="1"/>
      <c r="AH311" s="1"/>
      <c r="AI311" s="1"/>
      <c r="AJ311" s="1"/>
      <c r="AK311" s="1"/>
      <c r="AL311" s="1"/>
    </row>
    <row r="312" spans="6:38" s="36" customFormat="1" x14ac:dyDescent="0.25">
      <c r="F312" s="38"/>
      <c r="G312" s="1"/>
      <c r="K312" s="1"/>
      <c r="Y312" s="1"/>
      <c r="Z312" s="1"/>
      <c r="AA312" s="1"/>
      <c r="AB312" s="1"/>
      <c r="AC312" s="1"/>
      <c r="AD312" s="1"/>
      <c r="AE312" s="1"/>
      <c r="AF312" s="1"/>
      <c r="AG312" s="1"/>
      <c r="AH312" s="1"/>
      <c r="AI312" s="1"/>
      <c r="AJ312" s="1"/>
      <c r="AK312" s="1"/>
      <c r="AL312" s="1"/>
    </row>
    <row r="313" spans="6:38" s="36" customFormat="1" x14ac:dyDescent="0.25">
      <c r="F313" s="38"/>
      <c r="G313" s="1"/>
      <c r="K313" s="1"/>
      <c r="Y313" s="1"/>
      <c r="Z313" s="1"/>
      <c r="AA313" s="1"/>
      <c r="AB313" s="1"/>
      <c r="AC313" s="1"/>
      <c r="AD313" s="1"/>
      <c r="AE313" s="1"/>
      <c r="AF313" s="1"/>
      <c r="AG313" s="1"/>
      <c r="AH313" s="1"/>
      <c r="AI313" s="1"/>
      <c r="AJ313" s="1"/>
      <c r="AK313" s="1"/>
      <c r="AL313" s="1"/>
    </row>
    <row r="314" spans="6:38" s="36" customFormat="1" x14ac:dyDescent="0.25">
      <c r="F314" s="38"/>
      <c r="G314" s="1"/>
      <c r="K314" s="1"/>
      <c r="Y314" s="1"/>
      <c r="Z314" s="1"/>
      <c r="AA314" s="1"/>
      <c r="AB314" s="1"/>
      <c r="AC314" s="1"/>
      <c r="AD314" s="1"/>
      <c r="AE314" s="1"/>
      <c r="AF314" s="1"/>
      <c r="AG314" s="1"/>
      <c r="AH314" s="1"/>
      <c r="AI314" s="1"/>
      <c r="AJ314" s="1"/>
      <c r="AK314" s="1"/>
      <c r="AL314" s="1"/>
    </row>
    <row r="315" spans="6:38" s="36" customFormat="1" x14ac:dyDescent="0.25">
      <c r="F315" s="38"/>
      <c r="G315" s="1"/>
      <c r="K315" s="1"/>
      <c r="Y315" s="1"/>
      <c r="Z315" s="1"/>
      <c r="AA315" s="1"/>
      <c r="AB315" s="1"/>
      <c r="AC315" s="1"/>
      <c r="AD315" s="1"/>
      <c r="AE315" s="1"/>
      <c r="AF315" s="1"/>
      <c r="AG315" s="1"/>
      <c r="AH315" s="1"/>
      <c r="AI315" s="1"/>
      <c r="AJ315" s="1"/>
      <c r="AK315" s="1"/>
      <c r="AL315" s="1"/>
    </row>
    <row r="316" spans="6:38" s="36" customFormat="1" x14ac:dyDescent="0.25">
      <c r="F316" s="38"/>
      <c r="G316" s="1"/>
      <c r="K316" s="1"/>
      <c r="Y316" s="1"/>
      <c r="Z316" s="1"/>
      <c r="AA316" s="1"/>
      <c r="AB316" s="1"/>
      <c r="AC316" s="1"/>
      <c r="AD316" s="1"/>
      <c r="AE316" s="1"/>
      <c r="AF316" s="1"/>
      <c r="AG316" s="1"/>
      <c r="AH316" s="1"/>
      <c r="AI316" s="1"/>
      <c r="AJ316" s="1"/>
      <c r="AK316" s="1"/>
      <c r="AL316" s="1"/>
    </row>
    <row r="317" spans="6:38" s="36" customFormat="1" x14ac:dyDescent="0.25">
      <c r="F317" s="38"/>
      <c r="G317" s="1"/>
      <c r="K317" s="1"/>
      <c r="Y317" s="1"/>
      <c r="Z317" s="1"/>
      <c r="AA317" s="1"/>
      <c r="AB317" s="1"/>
      <c r="AC317" s="1"/>
      <c r="AD317" s="1"/>
      <c r="AE317" s="1"/>
      <c r="AF317" s="1"/>
      <c r="AG317" s="1"/>
      <c r="AH317" s="1"/>
      <c r="AI317" s="1"/>
      <c r="AJ317" s="1"/>
      <c r="AK317" s="1"/>
      <c r="AL317" s="1"/>
    </row>
    <row r="318" spans="6:38" s="36" customFormat="1" x14ac:dyDescent="0.25">
      <c r="F318" s="38"/>
      <c r="G318" s="1"/>
      <c r="K318" s="1"/>
      <c r="Y318" s="1"/>
      <c r="Z318" s="1"/>
      <c r="AA318" s="1"/>
      <c r="AB318" s="1"/>
      <c r="AC318" s="1"/>
      <c r="AD318" s="1"/>
      <c r="AE318" s="1"/>
      <c r="AF318" s="1"/>
      <c r="AG318" s="1"/>
      <c r="AH318" s="1"/>
      <c r="AI318" s="1"/>
      <c r="AJ318" s="1"/>
      <c r="AK318" s="1"/>
      <c r="AL318" s="1"/>
    </row>
    <row r="319" spans="6:38" s="36" customFormat="1" x14ac:dyDescent="0.25">
      <c r="F319" s="38"/>
      <c r="G319" s="1"/>
      <c r="K319" s="1"/>
      <c r="Y319" s="1"/>
      <c r="Z319" s="1"/>
      <c r="AA319" s="1"/>
      <c r="AB319" s="1"/>
      <c r="AC319" s="1"/>
      <c r="AD319" s="1"/>
      <c r="AE319" s="1"/>
      <c r="AF319" s="1"/>
      <c r="AG319" s="1"/>
      <c r="AH319" s="1"/>
      <c r="AI319" s="1"/>
      <c r="AJ319" s="1"/>
      <c r="AK319" s="1"/>
      <c r="AL319" s="1"/>
    </row>
    <row r="320" spans="6:38" s="36" customFormat="1" x14ac:dyDescent="0.25">
      <c r="F320" s="38"/>
      <c r="G320" s="1"/>
      <c r="K320" s="1"/>
      <c r="Y320" s="1"/>
      <c r="Z320" s="1"/>
      <c r="AA320" s="1"/>
      <c r="AB320" s="1"/>
      <c r="AC320" s="1"/>
      <c r="AD320" s="1"/>
      <c r="AE320" s="1"/>
      <c r="AF320" s="1"/>
      <c r="AG320" s="1"/>
      <c r="AH320" s="1"/>
      <c r="AI320" s="1"/>
      <c r="AJ320" s="1"/>
      <c r="AK320" s="1"/>
      <c r="AL320" s="1"/>
    </row>
    <row r="321" spans="6:38" s="36" customFormat="1" x14ac:dyDescent="0.25">
      <c r="F321" s="38"/>
      <c r="G321" s="1"/>
      <c r="K321" s="1"/>
      <c r="Y321" s="1"/>
      <c r="Z321" s="1"/>
      <c r="AA321" s="1"/>
      <c r="AB321" s="1"/>
      <c r="AC321" s="1"/>
      <c r="AD321" s="1"/>
      <c r="AE321" s="1"/>
      <c r="AF321" s="1"/>
      <c r="AG321" s="1"/>
      <c r="AH321" s="1"/>
      <c r="AI321" s="1"/>
      <c r="AJ321" s="1"/>
      <c r="AK321" s="1"/>
      <c r="AL321" s="1"/>
    </row>
    <row r="322" spans="6:38" s="36" customFormat="1" x14ac:dyDescent="0.25">
      <c r="F322" s="38"/>
      <c r="G322" s="1"/>
      <c r="K322" s="1"/>
      <c r="Y322" s="1"/>
      <c r="Z322" s="1"/>
      <c r="AA322" s="1"/>
      <c r="AB322" s="1"/>
      <c r="AC322" s="1"/>
      <c r="AD322" s="1"/>
      <c r="AE322" s="1"/>
      <c r="AF322" s="1"/>
      <c r="AG322" s="1"/>
      <c r="AH322" s="1"/>
      <c r="AI322" s="1"/>
      <c r="AJ322" s="1"/>
      <c r="AK322" s="1"/>
      <c r="AL322" s="1"/>
    </row>
    <row r="323" spans="6:38" s="36" customFormat="1" x14ac:dyDescent="0.25">
      <c r="F323" s="38"/>
      <c r="G323" s="1"/>
      <c r="K323" s="1"/>
      <c r="Y323" s="1"/>
      <c r="Z323" s="1"/>
      <c r="AA323" s="1"/>
      <c r="AB323" s="1"/>
      <c r="AC323" s="1"/>
      <c r="AD323" s="1"/>
      <c r="AE323" s="1"/>
      <c r="AF323" s="1"/>
      <c r="AG323" s="1"/>
      <c r="AH323" s="1"/>
      <c r="AI323" s="1"/>
      <c r="AJ323" s="1"/>
      <c r="AK323" s="1"/>
      <c r="AL323" s="1"/>
    </row>
    <row r="324" spans="6:38" s="36" customFormat="1" x14ac:dyDescent="0.25">
      <c r="F324" s="38"/>
      <c r="G324" s="1"/>
      <c r="K324" s="1"/>
      <c r="Y324" s="1"/>
      <c r="Z324" s="1"/>
      <c r="AA324" s="1"/>
      <c r="AB324" s="1"/>
      <c r="AC324" s="1"/>
      <c r="AD324" s="1"/>
      <c r="AE324" s="1"/>
      <c r="AF324" s="1"/>
      <c r="AG324" s="1"/>
      <c r="AH324" s="1"/>
      <c r="AI324" s="1"/>
      <c r="AJ324" s="1"/>
      <c r="AK324" s="1"/>
      <c r="AL324" s="1"/>
    </row>
    <row r="325" spans="6:38" s="36" customFormat="1" x14ac:dyDescent="0.25">
      <c r="F325" s="38"/>
      <c r="G325" s="1"/>
      <c r="K325" s="1"/>
      <c r="Y325" s="1"/>
      <c r="Z325" s="1"/>
      <c r="AA325" s="1"/>
      <c r="AB325" s="1"/>
      <c r="AC325" s="1"/>
      <c r="AD325" s="1"/>
      <c r="AE325" s="1"/>
      <c r="AF325" s="1"/>
      <c r="AG325" s="1"/>
      <c r="AH325" s="1"/>
      <c r="AI325" s="1"/>
      <c r="AJ325" s="1"/>
      <c r="AK325" s="1"/>
      <c r="AL325" s="1"/>
    </row>
    <row r="326" spans="6:38" s="36" customFormat="1" x14ac:dyDescent="0.25">
      <c r="F326" s="38"/>
      <c r="G326" s="1"/>
      <c r="K326" s="1"/>
      <c r="Y326" s="1"/>
      <c r="Z326" s="1"/>
      <c r="AA326" s="1"/>
      <c r="AB326" s="1"/>
      <c r="AC326" s="1"/>
      <c r="AD326" s="1"/>
      <c r="AE326" s="1"/>
      <c r="AF326" s="1"/>
      <c r="AG326" s="1"/>
      <c r="AH326" s="1"/>
      <c r="AI326" s="1"/>
      <c r="AJ326" s="1"/>
      <c r="AK326" s="1"/>
      <c r="AL326" s="1"/>
    </row>
    <row r="327" spans="6:38" s="36" customFormat="1" x14ac:dyDescent="0.25">
      <c r="F327" s="38"/>
      <c r="G327" s="1"/>
      <c r="K327" s="1"/>
      <c r="Y327" s="1"/>
      <c r="Z327" s="1"/>
      <c r="AA327" s="1"/>
      <c r="AB327" s="1"/>
      <c r="AC327" s="1"/>
      <c r="AD327" s="1"/>
      <c r="AE327" s="1"/>
      <c r="AF327" s="1"/>
      <c r="AG327" s="1"/>
      <c r="AH327" s="1"/>
      <c r="AI327" s="1"/>
      <c r="AJ327" s="1"/>
      <c r="AK327" s="1"/>
      <c r="AL327" s="1"/>
    </row>
    <row r="328" spans="6:38" s="36" customFormat="1" x14ac:dyDescent="0.25">
      <c r="F328" s="38"/>
      <c r="G328" s="1"/>
      <c r="K328" s="1"/>
      <c r="Y328" s="1"/>
      <c r="Z328" s="1"/>
      <c r="AA328" s="1"/>
      <c r="AB328" s="1"/>
      <c r="AC328" s="1"/>
      <c r="AD328" s="1"/>
      <c r="AE328" s="1"/>
      <c r="AF328" s="1"/>
      <c r="AG328" s="1"/>
      <c r="AH328" s="1"/>
      <c r="AI328" s="1"/>
      <c r="AJ328" s="1"/>
      <c r="AK328" s="1"/>
      <c r="AL328" s="1"/>
    </row>
    <row r="329" spans="6:38" s="36" customFormat="1" x14ac:dyDescent="0.25">
      <c r="F329" s="38"/>
      <c r="G329" s="1"/>
      <c r="K329" s="1"/>
      <c r="Y329" s="1"/>
      <c r="Z329" s="1"/>
      <c r="AA329" s="1"/>
      <c r="AB329" s="1"/>
      <c r="AC329" s="1"/>
      <c r="AD329" s="1"/>
      <c r="AE329" s="1"/>
      <c r="AF329" s="1"/>
      <c r="AG329" s="1"/>
      <c r="AH329" s="1"/>
      <c r="AI329" s="1"/>
      <c r="AJ329" s="1"/>
      <c r="AK329" s="1"/>
      <c r="AL329" s="1"/>
    </row>
    <row r="330" spans="6:38" s="36" customFormat="1" x14ac:dyDescent="0.25">
      <c r="F330" s="38"/>
      <c r="G330" s="1"/>
      <c r="K330" s="1"/>
      <c r="Y330" s="1"/>
      <c r="Z330" s="1"/>
      <c r="AA330" s="1"/>
      <c r="AB330" s="1"/>
      <c r="AC330" s="1"/>
      <c r="AD330" s="1"/>
      <c r="AE330" s="1"/>
      <c r="AF330" s="1"/>
      <c r="AG330" s="1"/>
      <c r="AH330" s="1"/>
      <c r="AI330" s="1"/>
      <c r="AJ330" s="1"/>
      <c r="AK330" s="1"/>
      <c r="AL330" s="1"/>
    </row>
    <row r="331" spans="6:38" s="36" customFormat="1" x14ac:dyDescent="0.25">
      <c r="F331" s="38"/>
      <c r="G331" s="1"/>
      <c r="K331" s="1"/>
      <c r="Y331" s="1"/>
      <c r="Z331" s="1"/>
      <c r="AA331" s="1"/>
      <c r="AB331" s="1"/>
      <c r="AC331" s="1"/>
      <c r="AD331" s="1"/>
      <c r="AE331" s="1"/>
      <c r="AF331" s="1"/>
      <c r="AG331" s="1"/>
      <c r="AH331" s="1"/>
      <c r="AI331" s="1"/>
      <c r="AJ331" s="1"/>
      <c r="AK331" s="1"/>
      <c r="AL331" s="1"/>
    </row>
    <row r="332" spans="6:38" s="36" customFormat="1" x14ac:dyDescent="0.25">
      <c r="F332" s="38"/>
      <c r="G332" s="1"/>
      <c r="K332" s="1"/>
      <c r="Y332" s="1"/>
      <c r="Z332" s="1"/>
      <c r="AA332" s="1"/>
      <c r="AB332" s="1"/>
      <c r="AC332" s="1"/>
      <c r="AD332" s="1"/>
      <c r="AE332" s="1"/>
      <c r="AF332" s="1"/>
      <c r="AG332" s="1"/>
      <c r="AH332" s="1"/>
      <c r="AI332" s="1"/>
      <c r="AJ332" s="1"/>
      <c r="AK332" s="1"/>
      <c r="AL332" s="1"/>
    </row>
    <row r="333" spans="6:38" s="36" customFormat="1" x14ac:dyDescent="0.25">
      <c r="F333" s="38"/>
      <c r="G333" s="1"/>
      <c r="K333" s="1"/>
      <c r="Y333" s="1"/>
      <c r="Z333" s="1"/>
      <c r="AA333" s="1"/>
      <c r="AB333" s="1"/>
      <c r="AC333" s="1"/>
      <c r="AD333" s="1"/>
      <c r="AE333" s="1"/>
      <c r="AF333" s="1"/>
      <c r="AG333" s="1"/>
      <c r="AH333" s="1"/>
      <c r="AI333" s="1"/>
      <c r="AJ333" s="1"/>
      <c r="AK333" s="1"/>
      <c r="AL333" s="1"/>
    </row>
    <row r="334" spans="6:38" s="36" customFormat="1" x14ac:dyDescent="0.25">
      <c r="F334" s="38"/>
      <c r="G334" s="1"/>
      <c r="K334" s="1"/>
      <c r="Y334" s="1"/>
      <c r="Z334" s="1"/>
      <c r="AA334" s="1"/>
      <c r="AB334" s="1"/>
      <c r="AC334" s="1"/>
      <c r="AD334" s="1"/>
      <c r="AE334" s="1"/>
      <c r="AF334" s="1"/>
      <c r="AG334" s="1"/>
      <c r="AH334" s="1"/>
      <c r="AI334" s="1"/>
      <c r="AJ334" s="1"/>
      <c r="AK334" s="1"/>
      <c r="AL334" s="1"/>
    </row>
    <row r="335" spans="6:38" s="36" customFormat="1" x14ac:dyDescent="0.25">
      <c r="F335" s="38"/>
      <c r="G335" s="1"/>
      <c r="K335" s="1"/>
      <c r="Y335" s="1"/>
      <c r="Z335" s="1"/>
      <c r="AA335" s="1"/>
      <c r="AB335" s="1"/>
      <c r="AC335" s="1"/>
      <c r="AD335" s="1"/>
      <c r="AE335" s="1"/>
      <c r="AF335" s="1"/>
      <c r="AG335" s="1"/>
      <c r="AH335" s="1"/>
      <c r="AI335" s="1"/>
      <c r="AJ335" s="1"/>
      <c r="AK335" s="1"/>
      <c r="AL335" s="1"/>
    </row>
    <row r="336" spans="6:38" s="36" customFormat="1" x14ac:dyDescent="0.25">
      <c r="F336" s="38"/>
      <c r="G336" s="1"/>
      <c r="K336" s="1"/>
      <c r="Y336" s="1"/>
      <c r="Z336" s="1"/>
      <c r="AA336" s="1"/>
      <c r="AB336" s="1"/>
      <c r="AC336" s="1"/>
      <c r="AD336" s="1"/>
      <c r="AE336" s="1"/>
      <c r="AF336" s="1"/>
      <c r="AG336" s="1"/>
      <c r="AH336" s="1"/>
      <c r="AI336" s="1"/>
      <c r="AJ336" s="1"/>
      <c r="AK336" s="1"/>
      <c r="AL336" s="1"/>
    </row>
    <row r="337" spans="6:38" s="36" customFormat="1" x14ac:dyDescent="0.25">
      <c r="F337" s="38"/>
      <c r="G337" s="1"/>
      <c r="K337" s="1"/>
      <c r="Y337" s="1"/>
      <c r="Z337" s="1"/>
      <c r="AA337" s="1"/>
      <c r="AB337" s="1"/>
      <c r="AC337" s="1"/>
      <c r="AD337" s="1"/>
      <c r="AE337" s="1"/>
      <c r="AF337" s="1"/>
      <c r="AG337" s="1"/>
      <c r="AH337" s="1"/>
      <c r="AI337" s="1"/>
      <c r="AJ337" s="1"/>
      <c r="AK337" s="1"/>
      <c r="AL337" s="1"/>
    </row>
    <row r="338" spans="6:38" s="36" customFormat="1" x14ac:dyDescent="0.25">
      <c r="F338" s="38"/>
      <c r="G338" s="1"/>
      <c r="K338" s="1"/>
      <c r="Y338" s="1"/>
      <c r="Z338" s="1"/>
      <c r="AA338" s="1"/>
      <c r="AB338" s="1"/>
      <c r="AC338" s="1"/>
      <c r="AD338" s="1"/>
      <c r="AE338" s="1"/>
      <c r="AF338" s="1"/>
      <c r="AG338" s="1"/>
      <c r="AH338" s="1"/>
      <c r="AI338" s="1"/>
      <c r="AJ338" s="1"/>
      <c r="AK338" s="1"/>
      <c r="AL338" s="1"/>
    </row>
    <row r="339" spans="6:38" s="36" customFormat="1" x14ac:dyDescent="0.25">
      <c r="F339" s="38"/>
      <c r="G339" s="1"/>
      <c r="K339" s="1"/>
      <c r="Y339" s="1"/>
      <c r="Z339" s="1"/>
      <c r="AA339" s="1"/>
      <c r="AB339" s="1"/>
      <c r="AC339" s="1"/>
      <c r="AD339" s="1"/>
      <c r="AE339" s="1"/>
      <c r="AF339" s="1"/>
      <c r="AG339" s="1"/>
      <c r="AH339" s="1"/>
      <c r="AI339" s="1"/>
      <c r="AJ339" s="1"/>
      <c r="AK339" s="1"/>
      <c r="AL339" s="1"/>
    </row>
    <row r="340" spans="6:38" s="36" customFormat="1" x14ac:dyDescent="0.25">
      <c r="F340" s="38"/>
      <c r="G340" s="1"/>
      <c r="K340" s="1"/>
      <c r="Y340" s="1"/>
      <c r="Z340" s="1"/>
      <c r="AA340" s="1"/>
      <c r="AB340" s="1"/>
      <c r="AC340" s="1"/>
      <c r="AD340" s="1"/>
      <c r="AE340" s="1"/>
      <c r="AF340" s="1"/>
      <c r="AG340" s="1"/>
      <c r="AH340" s="1"/>
      <c r="AI340" s="1"/>
      <c r="AJ340" s="1"/>
      <c r="AK340" s="1"/>
      <c r="AL340" s="1"/>
    </row>
    <row r="341" spans="6:38" s="36" customFormat="1" x14ac:dyDescent="0.25">
      <c r="F341" s="38"/>
      <c r="G341" s="1"/>
      <c r="K341" s="1"/>
      <c r="Y341" s="1"/>
      <c r="Z341" s="1"/>
      <c r="AA341" s="1"/>
      <c r="AB341" s="1"/>
      <c r="AC341" s="1"/>
      <c r="AD341" s="1"/>
      <c r="AE341" s="1"/>
      <c r="AF341" s="1"/>
      <c r="AG341" s="1"/>
      <c r="AH341" s="1"/>
      <c r="AI341" s="1"/>
      <c r="AJ341" s="1"/>
      <c r="AK341" s="1"/>
      <c r="AL341" s="1"/>
    </row>
    <row r="342" spans="6:38" s="36" customFormat="1" x14ac:dyDescent="0.25">
      <c r="F342" s="38"/>
      <c r="G342" s="1"/>
      <c r="K342" s="1"/>
      <c r="Y342" s="1"/>
      <c r="Z342" s="1"/>
      <c r="AA342" s="1"/>
      <c r="AB342" s="1"/>
      <c r="AC342" s="1"/>
      <c r="AD342" s="1"/>
      <c r="AE342" s="1"/>
      <c r="AF342" s="1"/>
      <c r="AG342" s="1"/>
      <c r="AH342" s="1"/>
      <c r="AI342" s="1"/>
      <c r="AJ342" s="1"/>
      <c r="AK342" s="1"/>
      <c r="AL342" s="1"/>
    </row>
    <row r="343" spans="6:38" s="36" customFormat="1" x14ac:dyDescent="0.25">
      <c r="F343" s="38"/>
      <c r="G343" s="1"/>
      <c r="K343" s="1"/>
      <c r="Y343" s="1"/>
      <c r="Z343" s="1"/>
      <c r="AA343" s="1"/>
      <c r="AB343" s="1"/>
      <c r="AC343" s="1"/>
      <c r="AD343" s="1"/>
      <c r="AE343" s="1"/>
      <c r="AF343" s="1"/>
      <c r="AG343" s="1"/>
      <c r="AH343" s="1"/>
      <c r="AI343" s="1"/>
      <c r="AJ343" s="1"/>
      <c r="AK343" s="1"/>
      <c r="AL343" s="1"/>
    </row>
    <row r="344" spans="6:38" s="36" customFormat="1" x14ac:dyDescent="0.25">
      <c r="F344" s="38"/>
      <c r="G344" s="1"/>
      <c r="K344" s="1"/>
      <c r="Y344" s="1"/>
      <c r="Z344" s="1"/>
      <c r="AA344" s="1"/>
      <c r="AB344" s="1"/>
      <c r="AC344" s="1"/>
      <c r="AD344" s="1"/>
      <c r="AE344" s="1"/>
      <c r="AF344" s="1"/>
      <c r="AG344" s="1"/>
      <c r="AH344" s="1"/>
      <c r="AI344" s="1"/>
      <c r="AJ344" s="1"/>
      <c r="AK344" s="1"/>
      <c r="AL344" s="1"/>
    </row>
    <row r="345" spans="6:38" s="36" customFormat="1" x14ac:dyDescent="0.25">
      <c r="F345" s="38"/>
      <c r="G345" s="1"/>
      <c r="K345" s="1"/>
      <c r="Y345" s="1"/>
      <c r="Z345" s="1"/>
      <c r="AA345" s="1"/>
      <c r="AB345" s="1"/>
      <c r="AC345" s="1"/>
      <c r="AD345" s="1"/>
      <c r="AE345" s="1"/>
      <c r="AF345" s="1"/>
      <c r="AG345" s="1"/>
      <c r="AH345" s="1"/>
      <c r="AI345" s="1"/>
      <c r="AJ345" s="1"/>
      <c r="AK345" s="1"/>
      <c r="AL345" s="1"/>
    </row>
    <row r="346" spans="6:38" s="36" customFormat="1" x14ac:dyDescent="0.25">
      <c r="F346" s="38"/>
      <c r="G346" s="1"/>
      <c r="K346" s="1"/>
      <c r="Y346" s="1"/>
      <c r="Z346" s="1"/>
      <c r="AA346" s="1"/>
      <c r="AB346" s="1"/>
      <c r="AC346" s="1"/>
      <c r="AD346" s="1"/>
      <c r="AE346" s="1"/>
      <c r="AF346" s="1"/>
      <c r="AG346" s="1"/>
      <c r="AH346" s="1"/>
      <c r="AI346" s="1"/>
      <c r="AJ346" s="1"/>
      <c r="AK346" s="1"/>
      <c r="AL346" s="1"/>
    </row>
    <row r="347" spans="6:38" s="36" customFormat="1" x14ac:dyDescent="0.25">
      <c r="F347" s="38"/>
      <c r="G347" s="1"/>
      <c r="K347" s="1"/>
      <c r="Y347" s="1"/>
      <c r="Z347" s="1"/>
      <c r="AA347" s="1"/>
      <c r="AB347" s="1"/>
      <c r="AC347" s="1"/>
      <c r="AD347" s="1"/>
      <c r="AE347" s="1"/>
      <c r="AF347" s="1"/>
      <c r="AG347" s="1"/>
      <c r="AH347" s="1"/>
      <c r="AI347" s="1"/>
      <c r="AJ347" s="1"/>
      <c r="AK347" s="1"/>
      <c r="AL347" s="1"/>
    </row>
    <row r="348" spans="6:38" s="36" customFormat="1" x14ac:dyDescent="0.25">
      <c r="F348" s="38"/>
      <c r="G348" s="1"/>
      <c r="K348" s="1"/>
      <c r="Y348" s="1"/>
      <c r="Z348" s="1"/>
      <c r="AA348" s="1"/>
      <c r="AB348" s="1"/>
      <c r="AC348" s="1"/>
      <c r="AD348" s="1"/>
      <c r="AE348" s="1"/>
      <c r="AF348" s="1"/>
      <c r="AG348" s="1"/>
      <c r="AH348" s="1"/>
      <c r="AI348" s="1"/>
      <c r="AJ348" s="1"/>
      <c r="AK348" s="1"/>
      <c r="AL348" s="1"/>
    </row>
    <row r="349" spans="6:38" s="36" customFormat="1" x14ac:dyDescent="0.25">
      <c r="F349" s="38"/>
      <c r="G349" s="1"/>
      <c r="K349" s="1"/>
      <c r="Y349" s="1"/>
      <c r="Z349" s="1"/>
      <c r="AA349" s="1"/>
      <c r="AB349" s="1"/>
      <c r="AC349" s="1"/>
      <c r="AD349" s="1"/>
      <c r="AE349" s="1"/>
      <c r="AF349" s="1"/>
      <c r="AG349" s="1"/>
      <c r="AH349" s="1"/>
      <c r="AI349" s="1"/>
      <c r="AJ349" s="1"/>
      <c r="AK349" s="1"/>
      <c r="AL349" s="1"/>
    </row>
    <row r="350" spans="6:38" s="36" customFormat="1" x14ac:dyDescent="0.25">
      <c r="F350" s="38"/>
      <c r="G350" s="1"/>
      <c r="K350" s="1"/>
      <c r="Y350" s="1"/>
      <c r="Z350" s="1"/>
      <c r="AA350" s="1"/>
      <c r="AB350" s="1"/>
      <c r="AC350" s="1"/>
      <c r="AD350" s="1"/>
      <c r="AE350" s="1"/>
      <c r="AF350" s="1"/>
      <c r="AG350" s="1"/>
      <c r="AH350" s="1"/>
      <c r="AI350" s="1"/>
      <c r="AJ350" s="1"/>
      <c r="AK350" s="1"/>
      <c r="AL350" s="1"/>
    </row>
    <row r="351" spans="6:38" s="36" customFormat="1" x14ac:dyDescent="0.25">
      <c r="F351" s="38"/>
      <c r="G351" s="1"/>
      <c r="K351" s="1"/>
      <c r="Y351" s="1"/>
      <c r="Z351" s="1"/>
      <c r="AA351" s="1"/>
      <c r="AB351" s="1"/>
      <c r="AC351" s="1"/>
      <c r="AD351" s="1"/>
      <c r="AE351" s="1"/>
      <c r="AF351" s="1"/>
      <c r="AG351" s="1"/>
      <c r="AH351" s="1"/>
      <c r="AI351" s="1"/>
      <c r="AJ351" s="1"/>
      <c r="AK351" s="1"/>
      <c r="AL351" s="1"/>
    </row>
    <row r="352" spans="6:38" s="36" customFormat="1" x14ac:dyDescent="0.25">
      <c r="F352" s="38"/>
      <c r="G352" s="1"/>
      <c r="K352" s="1"/>
      <c r="Y352" s="1"/>
      <c r="Z352" s="1"/>
      <c r="AA352" s="1"/>
      <c r="AB352" s="1"/>
      <c r="AC352" s="1"/>
      <c r="AD352" s="1"/>
      <c r="AE352" s="1"/>
      <c r="AF352" s="1"/>
      <c r="AG352" s="1"/>
      <c r="AH352" s="1"/>
      <c r="AI352" s="1"/>
      <c r="AJ352" s="1"/>
      <c r="AK352" s="1"/>
      <c r="AL352" s="1"/>
    </row>
    <row r="353" spans="6:38" s="36" customFormat="1" x14ac:dyDescent="0.25">
      <c r="F353" s="38"/>
      <c r="G353" s="1"/>
      <c r="K353" s="1"/>
      <c r="Y353" s="1"/>
      <c r="Z353" s="1"/>
      <c r="AA353" s="1"/>
      <c r="AB353" s="1"/>
      <c r="AC353" s="1"/>
      <c r="AD353" s="1"/>
      <c r="AE353" s="1"/>
      <c r="AF353" s="1"/>
      <c r="AG353" s="1"/>
      <c r="AH353" s="1"/>
      <c r="AI353" s="1"/>
      <c r="AJ353" s="1"/>
      <c r="AK353" s="1"/>
      <c r="AL353" s="1"/>
    </row>
    <row r="354" spans="6:38" s="36" customFormat="1" x14ac:dyDescent="0.25">
      <c r="F354" s="38"/>
      <c r="G354" s="1"/>
      <c r="K354" s="1"/>
      <c r="Y354" s="1"/>
      <c r="Z354" s="1"/>
      <c r="AA354" s="1"/>
      <c r="AB354" s="1"/>
      <c r="AC354" s="1"/>
      <c r="AD354" s="1"/>
      <c r="AE354" s="1"/>
      <c r="AF354" s="1"/>
      <c r="AG354" s="1"/>
      <c r="AH354" s="1"/>
      <c r="AI354" s="1"/>
      <c r="AJ354" s="1"/>
      <c r="AK354" s="1"/>
      <c r="AL354" s="1"/>
    </row>
    <row r="355" spans="6:38" s="36" customFormat="1" x14ac:dyDescent="0.25">
      <c r="F355" s="38"/>
      <c r="G355" s="1"/>
      <c r="K355" s="1"/>
      <c r="Y355" s="1"/>
      <c r="Z355" s="1"/>
      <c r="AA355" s="1"/>
      <c r="AB355" s="1"/>
      <c r="AC355" s="1"/>
      <c r="AD355" s="1"/>
      <c r="AE355" s="1"/>
      <c r="AF355" s="1"/>
      <c r="AG355" s="1"/>
      <c r="AH355" s="1"/>
      <c r="AI355" s="1"/>
      <c r="AJ355" s="1"/>
      <c r="AK355" s="1"/>
      <c r="AL355" s="1"/>
    </row>
    <row r="356" spans="6:38" s="36" customFormat="1" x14ac:dyDescent="0.25">
      <c r="F356" s="38"/>
      <c r="G356" s="1"/>
      <c r="K356" s="1"/>
      <c r="Y356" s="1"/>
      <c r="Z356" s="1"/>
      <c r="AA356" s="1"/>
      <c r="AB356" s="1"/>
      <c r="AC356" s="1"/>
      <c r="AD356" s="1"/>
      <c r="AE356" s="1"/>
      <c r="AF356" s="1"/>
      <c r="AG356" s="1"/>
      <c r="AH356" s="1"/>
      <c r="AI356" s="1"/>
      <c r="AJ356" s="1"/>
      <c r="AK356" s="1"/>
      <c r="AL356" s="1"/>
    </row>
    <row r="357" spans="6:38" s="36" customFormat="1" x14ac:dyDescent="0.25">
      <c r="F357" s="38"/>
      <c r="G357" s="1"/>
      <c r="K357" s="1"/>
      <c r="Y357" s="1"/>
      <c r="Z357" s="1"/>
      <c r="AA357" s="1"/>
      <c r="AB357" s="1"/>
      <c r="AC357" s="1"/>
      <c r="AD357" s="1"/>
      <c r="AE357" s="1"/>
      <c r="AF357" s="1"/>
      <c r="AG357" s="1"/>
      <c r="AH357" s="1"/>
      <c r="AI357" s="1"/>
      <c r="AJ357" s="1"/>
      <c r="AK357" s="1"/>
      <c r="AL357" s="1"/>
    </row>
    <row r="358" spans="6:38" s="36" customFormat="1" x14ac:dyDescent="0.25">
      <c r="F358" s="38"/>
      <c r="G358" s="1"/>
      <c r="K358" s="1"/>
      <c r="Y358" s="1"/>
      <c r="Z358" s="1"/>
      <c r="AA358" s="1"/>
      <c r="AB358" s="1"/>
      <c r="AC358" s="1"/>
      <c r="AD358" s="1"/>
      <c r="AE358" s="1"/>
      <c r="AF358" s="1"/>
      <c r="AG358" s="1"/>
      <c r="AH358" s="1"/>
      <c r="AI358" s="1"/>
      <c r="AJ358" s="1"/>
      <c r="AK358" s="1"/>
      <c r="AL358" s="1"/>
    </row>
    <row r="359" spans="6:38" s="36" customFormat="1" x14ac:dyDescent="0.25">
      <c r="F359" s="38"/>
      <c r="G359" s="1"/>
      <c r="K359" s="1"/>
      <c r="Y359" s="1"/>
      <c r="Z359" s="1"/>
      <c r="AA359" s="1"/>
      <c r="AB359" s="1"/>
      <c r="AC359" s="1"/>
      <c r="AD359" s="1"/>
      <c r="AE359" s="1"/>
      <c r="AF359" s="1"/>
      <c r="AG359" s="1"/>
      <c r="AH359" s="1"/>
      <c r="AI359" s="1"/>
      <c r="AJ359" s="1"/>
      <c r="AK359" s="1"/>
      <c r="AL359" s="1"/>
    </row>
    <row r="360" spans="6:38" s="36" customFormat="1" x14ac:dyDescent="0.25">
      <c r="F360" s="38"/>
      <c r="G360" s="1"/>
      <c r="K360" s="1"/>
      <c r="Y360" s="1"/>
      <c r="Z360" s="1"/>
      <c r="AA360" s="1"/>
      <c r="AB360" s="1"/>
      <c r="AC360" s="1"/>
      <c r="AD360" s="1"/>
      <c r="AE360" s="1"/>
      <c r="AF360" s="1"/>
      <c r="AG360" s="1"/>
      <c r="AH360" s="1"/>
      <c r="AI360" s="1"/>
      <c r="AJ360" s="1"/>
      <c r="AK360" s="1"/>
      <c r="AL360" s="1"/>
    </row>
    <row r="361" spans="6:38" s="36" customFormat="1" x14ac:dyDescent="0.25">
      <c r="F361" s="38"/>
      <c r="G361" s="1"/>
      <c r="K361" s="1"/>
      <c r="Y361" s="1"/>
      <c r="Z361" s="1"/>
      <c r="AA361" s="1"/>
      <c r="AB361" s="1"/>
      <c r="AC361" s="1"/>
      <c r="AD361" s="1"/>
      <c r="AE361" s="1"/>
      <c r="AF361" s="1"/>
      <c r="AG361" s="1"/>
      <c r="AH361" s="1"/>
      <c r="AI361" s="1"/>
      <c r="AJ361" s="1"/>
      <c r="AK361" s="1"/>
      <c r="AL361" s="1"/>
    </row>
    <row r="362" spans="6:38" s="36" customFormat="1" x14ac:dyDescent="0.25">
      <c r="F362" s="38"/>
      <c r="G362" s="1"/>
      <c r="K362" s="1"/>
      <c r="Y362" s="1"/>
      <c r="Z362" s="1"/>
      <c r="AA362" s="1"/>
      <c r="AB362" s="1"/>
      <c r="AC362" s="1"/>
      <c r="AD362" s="1"/>
      <c r="AE362" s="1"/>
      <c r="AF362" s="1"/>
      <c r="AG362" s="1"/>
      <c r="AH362" s="1"/>
      <c r="AI362" s="1"/>
      <c r="AJ362" s="1"/>
      <c r="AK362" s="1"/>
      <c r="AL362" s="1"/>
    </row>
    <row r="363" spans="6:38" s="36" customFormat="1" x14ac:dyDescent="0.25">
      <c r="F363" s="38"/>
      <c r="G363" s="1"/>
      <c r="K363" s="1"/>
      <c r="Y363" s="1"/>
      <c r="Z363" s="1"/>
      <c r="AA363" s="1"/>
      <c r="AB363" s="1"/>
      <c r="AC363" s="1"/>
      <c r="AD363" s="1"/>
      <c r="AE363" s="1"/>
      <c r="AF363" s="1"/>
      <c r="AG363" s="1"/>
      <c r="AH363" s="1"/>
      <c r="AI363" s="1"/>
      <c r="AJ363" s="1"/>
      <c r="AK363" s="1"/>
      <c r="AL363" s="1"/>
    </row>
    <row r="364" spans="6:38" s="36" customFormat="1" x14ac:dyDescent="0.25">
      <c r="F364" s="38"/>
      <c r="G364" s="1"/>
      <c r="K364" s="1"/>
      <c r="Y364" s="1"/>
      <c r="Z364" s="1"/>
      <c r="AA364" s="1"/>
      <c r="AB364" s="1"/>
      <c r="AC364" s="1"/>
      <c r="AD364" s="1"/>
      <c r="AE364" s="1"/>
      <c r="AF364" s="1"/>
      <c r="AG364" s="1"/>
      <c r="AH364" s="1"/>
      <c r="AI364" s="1"/>
      <c r="AJ364" s="1"/>
      <c r="AK364" s="1"/>
      <c r="AL364" s="1"/>
    </row>
    <row r="365" spans="6:38" s="36" customFormat="1" x14ac:dyDescent="0.25">
      <c r="F365" s="38"/>
      <c r="G365" s="1"/>
      <c r="K365" s="1"/>
      <c r="Y365" s="1"/>
      <c r="Z365" s="1"/>
      <c r="AA365" s="1"/>
      <c r="AB365" s="1"/>
      <c r="AC365" s="1"/>
      <c r="AD365" s="1"/>
      <c r="AE365" s="1"/>
      <c r="AF365" s="1"/>
      <c r="AG365" s="1"/>
      <c r="AH365" s="1"/>
      <c r="AI365" s="1"/>
      <c r="AJ365" s="1"/>
      <c r="AK365" s="1"/>
      <c r="AL365" s="1"/>
    </row>
    <row r="366" spans="6:38" s="36" customFormat="1" x14ac:dyDescent="0.25">
      <c r="F366" s="38"/>
      <c r="G366" s="1"/>
      <c r="K366" s="1"/>
      <c r="Y366" s="1"/>
      <c r="Z366" s="1"/>
      <c r="AA366" s="1"/>
      <c r="AB366" s="1"/>
      <c r="AC366" s="1"/>
      <c r="AD366" s="1"/>
      <c r="AE366" s="1"/>
      <c r="AF366" s="1"/>
      <c r="AG366" s="1"/>
      <c r="AH366" s="1"/>
      <c r="AI366" s="1"/>
      <c r="AJ366" s="1"/>
      <c r="AK366" s="1"/>
      <c r="AL366" s="1"/>
    </row>
    <row r="367" spans="6:38" s="36" customFormat="1" x14ac:dyDescent="0.25">
      <c r="F367" s="38"/>
      <c r="G367" s="1"/>
      <c r="K367" s="1"/>
      <c r="Y367" s="1"/>
      <c r="Z367" s="1"/>
      <c r="AA367" s="1"/>
      <c r="AB367" s="1"/>
      <c r="AC367" s="1"/>
      <c r="AD367" s="1"/>
      <c r="AE367" s="1"/>
      <c r="AF367" s="1"/>
      <c r="AG367" s="1"/>
      <c r="AH367" s="1"/>
      <c r="AI367" s="1"/>
      <c r="AJ367" s="1"/>
      <c r="AK367" s="1"/>
      <c r="AL367" s="1"/>
    </row>
    <row r="368" spans="6:38" s="36" customFormat="1" x14ac:dyDescent="0.25">
      <c r="F368" s="38"/>
      <c r="G368" s="1"/>
      <c r="K368" s="1"/>
      <c r="Y368" s="1"/>
      <c r="Z368" s="1"/>
      <c r="AA368" s="1"/>
      <c r="AB368" s="1"/>
      <c r="AC368" s="1"/>
      <c r="AD368" s="1"/>
      <c r="AE368" s="1"/>
      <c r="AF368" s="1"/>
      <c r="AG368" s="1"/>
      <c r="AH368" s="1"/>
      <c r="AI368" s="1"/>
      <c r="AJ368" s="1"/>
      <c r="AK368" s="1"/>
      <c r="AL368" s="1"/>
    </row>
    <row r="369" spans="6:38" s="36" customFormat="1" x14ac:dyDescent="0.25">
      <c r="F369" s="38"/>
      <c r="G369" s="1"/>
      <c r="K369" s="1"/>
      <c r="Y369" s="1"/>
      <c r="Z369" s="1"/>
      <c r="AA369" s="1"/>
      <c r="AB369" s="1"/>
      <c r="AC369" s="1"/>
      <c r="AD369" s="1"/>
      <c r="AE369" s="1"/>
      <c r="AF369" s="1"/>
      <c r="AG369" s="1"/>
      <c r="AH369" s="1"/>
      <c r="AI369" s="1"/>
      <c r="AJ369" s="1"/>
      <c r="AK369" s="1"/>
      <c r="AL369" s="1"/>
    </row>
    <row r="370" spans="6:38" s="36" customFormat="1" x14ac:dyDescent="0.25">
      <c r="F370" s="38"/>
      <c r="G370" s="1"/>
      <c r="K370" s="1"/>
      <c r="Y370" s="1"/>
      <c r="Z370" s="1"/>
      <c r="AA370" s="1"/>
      <c r="AB370" s="1"/>
      <c r="AC370" s="1"/>
      <c r="AD370" s="1"/>
      <c r="AE370" s="1"/>
      <c r="AF370" s="1"/>
      <c r="AG370" s="1"/>
      <c r="AH370" s="1"/>
      <c r="AI370" s="1"/>
      <c r="AJ370" s="1"/>
      <c r="AK370" s="1"/>
      <c r="AL370" s="1"/>
    </row>
    <row r="371" spans="6:38" s="36" customFormat="1" x14ac:dyDescent="0.25">
      <c r="F371" s="38"/>
      <c r="G371" s="1"/>
      <c r="K371" s="1"/>
      <c r="Y371" s="1"/>
      <c r="Z371" s="1"/>
      <c r="AA371" s="1"/>
      <c r="AB371" s="1"/>
      <c r="AC371" s="1"/>
      <c r="AD371" s="1"/>
      <c r="AE371" s="1"/>
      <c r="AF371" s="1"/>
      <c r="AG371" s="1"/>
      <c r="AH371" s="1"/>
      <c r="AI371" s="1"/>
      <c r="AJ371" s="1"/>
      <c r="AK371" s="1"/>
      <c r="AL371" s="1"/>
    </row>
    <row r="372" spans="6:38" s="36" customFormat="1" x14ac:dyDescent="0.25">
      <c r="F372" s="38"/>
      <c r="G372" s="1"/>
      <c r="K372" s="1"/>
      <c r="Y372" s="1"/>
      <c r="Z372" s="1"/>
      <c r="AA372" s="1"/>
      <c r="AB372" s="1"/>
      <c r="AC372" s="1"/>
      <c r="AD372" s="1"/>
      <c r="AE372" s="1"/>
      <c r="AF372" s="1"/>
      <c r="AG372" s="1"/>
      <c r="AH372" s="1"/>
      <c r="AI372" s="1"/>
      <c r="AJ372" s="1"/>
      <c r="AK372" s="1"/>
      <c r="AL372" s="1"/>
    </row>
    <row r="373" spans="6:38" s="36" customFormat="1" x14ac:dyDescent="0.25">
      <c r="F373" s="38"/>
      <c r="G373" s="1"/>
      <c r="K373" s="1"/>
      <c r="Y373" s="1"/>
      <c r="Z373" s="1"/>
      <c r="AA373" s="1"/>
      <c r="AB373" s="1"/>
      <c r="AC373" s="1"/>
      <c r="AD373" s="1"/>
      <c r="AE373" s="1"/>
      <c r="AF373" s="1"/>
      <c r="AG373" s="1"/>
      <c r="AH373" s="1"/>
      <c r="AI373" s="1"/>
      <c r="AJ373" s="1"/>
      <c r="AK373" s="1"/>
      <c r="AL373" s="1"/>
    </row>
    <row r="374" spans="6:38" s="36" customFormat="1" x14ac:dyDescent="0.25">
      <c r="F374" s="38"/>
      <c r="G374" s="1"/>
      <c r="K374" s="1"/>
      <c r="Y374" s="1"/>
      <c r="Z374" s="1"/>
      <c r="AA374" s="1"/>
      <c r="AB374" s="1"/>
      <c r="AC374" s="1"/>
      <c r="AD374" s="1"/>
      <c r="AE374" s="1"/>
      <c r="AF374" s="1"/>
      <c r="AG374" s="1"/>
      <c r="AH374" s="1"/>
      <c r="AI374" s="1"/>
      <c r="AJ374" s="1"/>
      <c r="AK374" s="1"/>
      <c r="AL374" s="1"/>
    </row>
    <row r="375" spans="6:38" s="36" customFormat="1" x14ac:dyDescent="0.25">
      <c r="F375" s="38"/>
      <c r="G375" s="1"/>
      <c r="K375" s="1"/>
      <c r="Y375" s="1"/>
      <c r="Z375" s="1"/>
      <c r="AA375" s="1"/>
      <c r="AB375" s="1"/>
      <c r="AC375" s="1"/>
      <c r="AD375" s="1"/>
      <c r="AE375" s="1"/>
      <c r="AF375" s="1"/>
      <c r="AG375" s="1"/>
      <c r="AH375" s="1"/>
      <c r="AI375" s="1"/>
      <c r="AJ375" s="1"/>
      <c r="AK375" s="1"/>
      <c r="AL375" s="1"/>
    </row>
    <row r="376" spans="6:38" s="36" customFormat="1" x14ac:dyDescent="0.25">
      <c r="F376" s="38"/>
      <c r="G376" s="1"/>
      <c r="K376" s="1"/>
      <c r="Y376" s="1"/>
      <c r="Z376" s="1"/>
      <c r="AA376" s="1"/>
      <c r="AB376" s="1"/>
      <c r="AC376" s="1"/>
      <c r="AD376" s="1"/>
      <c r="AE376" s="1"/>
      <c r="AF376" s="1"/>
      <c r="AG376" s="1"/>
      <c r="AH376" s="1"/>
      <c r="AI376" s="1"/>
      <c r="AJ376" s="1"/>
      <c r="AK376" s="1"/>
      <c r="AL376" s="1"/>
    </row>
    <row r="377" spans="6:38" s="36" customFormat="1" x14ac:dyDescent="0.25">
      <c r="F377" s="38"/>
      <c r="G377" s="1"/>
      <c r="K377" s="1"/>
      <c r="Y377" s="1"/>
      <c r="Z377" s="1"/>
      <c r="AA377" s="1"/>
      <c r="AB377" s="1"/>
      <c r="AC377" s="1"/>
      <c r="AD377" s="1"/>
      <c r="AE377" s="1"/>
      <c r="AF377" s="1"/>
      <c r="AG377" s="1"/>
      <c r="AH377" s="1"/>
      <c r="AI377" s="1"/>
      <c r="AJ377" s="1"/>
      <c r="AK377" s="1"/>
      <c r="AL377" s="1"/>
    </row>
    <row r="378" spans="6:38" s="36" customFormat="1" x14ac:dyDescent="0.25">
      <c r="F378" s="38"/>
      <c r="G378" s="1"/>
      <c r="K378" s="1"/>
      <c r="Y378" s="1"/>
      <c r="Z378" s="1"/>
      <c r="AA378" s="1"/>
      <c r="AB378" s="1"/>
      <c r="AC378" s="1"/>
      <c r="AD378" s="1"/>
      <c r="AE378" s="1"/>
      <c r="AF378" s="1"/>
      <c r="AG378" s="1"/>
      <c r="AH378" s="1"/>
      <c r="AI378" s="1"/>
      <c r="AJ378" s="1"/>
      <c r="AK378" s="1"/>
      <c r="AL378" s="1"/>
    </row>
    <row r="379" spans="6:38" s="36" customFormat="1" x14ac:dyDescent="0.25">
      <c r="F379" s="38"/>
      <c r="G379" s="1"/>
      <c r="K379" s="1"/>
      <c r="Y379" s="1"/>
      <c r="Z379" s="1"/>
      <c r="AA379" s="1"/>
      <c r="AB379" s="1"/>
      <c r="AC379" s="1"/>
      <c r="AD379" s="1"/>
      <c r="AE379" s="1"/>
      <c r="AF379" s="1"/>
      <c r="AG379" s="1"/>
      <c r="AH379" s="1"/>
      <c r="AI379" s="1"/>
      <c r="AJ379" s="1"/>
      <c r="AK379" s="1"/>
      <c r="AL379" s="1"/>
    </row>
    <row r="380" spans="6:38" s="36" customFormat="1" x14ac:dyDescent="0.25">
      <c r="F380" s="38"/>
      <c r="G380" s="1"/>
      <c r="K380" s="1"/>
      <c r="Y380" s="1"/>
      <c r="Z380" s="1"/>
      <c r="AA380" s="1"/>
      <c r="AB380" s="1"/>
      <c r="AC380" s="1"/>
      <c r="AD380" s="1"/>
      <c r="AE380" s="1"/>
      <c r="AF380" s="1"/>
      <c r="AG380" s="1"/>
      <c r="AH380" s="1"/>
      <c r="AI380" s="1"/>
      <c r="AJ380" s="1"/>
      <c r="AK380" s="1"/>
      <c r="AL380" s="1"/>
    </row>
    <row r="381" spans="6:38" s="36" customFormat="1" x14ac:dyDescent="0.25">
      <c r="F381" s="38"/>
      <c r="G381" s="1"/>
      <c r="K381" s="1"/>
      <c r="Y381" s="1"/>
      <c r="Z381" s="1"/>
      <c r="AA381" s="1"/>
      <c r="AB381" s="1"/>
      <c r="AC381" s="1"/>
      <c r="AD381" s="1"/>
      <c r="AE381" s="1"/>
      <c r="AF381" s="1"/>
      <c r="AG381" s="1"/>
      <c r="AH381" s="1"/>
      <c r="AI381" s="1"/>
      <c r="AJ381" s="1"/>
      <c r="AK381" s="1"/>
      <c r="AL381" s="1"/>
    </row>
    <row r="382" spans="6:38" s="36" customFormat="1" x14ac:dyDescent="0.25">
      <c r="F382" s="38"/>
      <c r="G382" s="1"/>
      <c r="K382" s="1"/>
      <c r="Y382" s="1"/>
      <c r="Z382" s="1"/>
      <c r="AA382" s="1"/>
      <c r="AB382" s="1"/>
      <c r="AC382" s="1"/>
      <c r="AD382" s="1"/>
      <c r="AE382" s="1"/>
      <c r="AF382" s="1"/>
      <c r="AG382" s="1"/>
      <c r="AH382" s="1"/>
      <c r="AI382" s="1"/>
      <c r="AJ382" s="1"/>
      <c r="AK382" s="1"/>
      <c r="AL382" s="1"/>
    </row>
    <row r="383" spans="6:38" s="36" customFormat="1" x14ac:dyDescent="0.25">
      <c r="F383" s="38"/>
      <c r="G383" s="1"/>
      <c r="K383" s="1"/>
      <c r="Y383" s="1"/>
      <c r="Z383" s="1"/>
      <c r="AA383" s="1"/>
      <c r="AB383" s="1"/>
      <c r="AC383" s="1"/>
      <c r="AD383" s="1"/>
      <c r="AE383" s="1"/>
      <c r="AF383" s="1"/>
      <c r="AG383" s="1"/>
      <c r="AH383" s="1"/>
      <c r="AI383" s="1"/>
      <c r="AJ383" s="1"/>
      <c r="AK383" s="1"/>
      <c r="AL383" s="1"/>
    </row>
    <row r="384" spans="6:38" s="36" customFormat="1" x14ac:dyDescent="0.25">
      <c r="F384" s="38"/>
      <c r="G384" s="1"/>
      <c r="K384" s="1"/>
      <c r="Y384" s="1"/>
      <c r="Z384" s="1"/>
      <c r="AA384" s="1"/>
      <c r="AB384" s="1"/>
      <c r="AC384" s="1"/>
      <c r="AD384" s="1"/>
      <c r="AE384" s="1"/>
      <c r="AF384" s="1"/>
      <c r="AG384" s="1"/>
      <c r="AH384" s="1"/>
      <c r="AI384" s="1"/>
      <c r="AJ384" s="1"/>
      <c r="AK384" s="1"/>
      <c r="AL384" s="1"/>
    </row>
    <row r="385" spans="6:38" s="36" customFormat="1" x14ac:dyDescent="0.25">
      <c r="F385" s="38"/>
      <c r="G385" s="1"/>
      <c r="K385" s="1"/>
      <c r="Y385" s="1"/>
      <c r="Z385" s="1"/>
      <c r="AA385" s="1"/>
      <c r="AB385" s="1"/>
      <c r="AC385" s="1"/>
      <c r="AD385" s="1"/>
      <c r="AE385" s="1"/>
      <c r="AF385" s="1"/>
      <c r="AG385" s="1"/>
      <c r="AH385" s="1"/>
      <c r="AI385" s="1"/>
      <c r="AJ385" s="1"/>
      <c r="AK385" s="1"/>
      <c r="AL385" s="1"/>
    </row>
    <row r="386" spans="6:38" s="36" customFormat="1" x14ac:dyDescent="0.25">
      <c r="F386" s="38"/>
      <c r="G386" s="1"/>
      <c r="K386" s="1"/>
      <c r="Y386" s="1"/>
      <c r="Z386" s="1"/>
      <c r="AA386" s="1"/>
      <c r="AB386" s="1"/>
      <c r="AC386" s="1"/>
      <c r="AD386" s="1"/>
      <c r="AE386" s="1"/>
      <c r="AF386" s="1"/>
      <c r="AG386" s="1"/>
      <c r="AH386" s="1"/>
      <c r="AI386" s="1"/>
      <c r="AJ386" s="1"/>
      <c r="AK386" s="1"/>
      <c r="AL386" s="1"/>
    </row>
    <row r="387" spans="6:38" s="36" customFormat="1" x14ac:dyDescent="0.25">
      <c r="F387" s="38"/>
      <c r="G387" s="1"/>
      <c r="K387" s="1"/>
      <c r="Y387" s="1"/>
      <c r="Z387" s="1"/>
      <c r="AA387" s="1"/>
      <c r="AB387" s="1"/>
      <c r="AC387" s="1"/>
      <c r="AD387" s="1"/>
      <c r="AE387" s="1"/>
      <c r="AF387" s="1"/>
      <c r="AG387" s="1"/>
      <c r="AH387" s="1"/>
      <c r="AI387" s="1"/>
      <c r="AJ387" s="1"/>
      <c r="AK387" s="1"/>
      <c r="AL387" s="1"/>
    </row>
    <row r="388" spans="6:38" s="36" customFormat="1" x14ac:dyDescent="0.25">
      <c r="F388" s="38"/>
      <c r="G388" s="1"/>
      <c r="K388" s="1"/>
      <c r="Y388" s="1"/>
      <c r="Z388" s="1"/>
      <c r="AA388" s="1"/>
      <c r="AB388" s="1"/>
      <c r="AC388" s="1"/>
      <c r="AD388" s="1"/>
      <c r="AE388" s="1"/>
      <c r="AF388" s="1"/>
      <c r="AG388" s="1"/>
      <c r="AH388" s="1"/>
      <c r="AI388" s="1"/>
      <c r="AJ388" s="1"/>
      <c r="AK388" s="1"/>
      <c r="AL388" s="1"/>
    </row>
    <row r="389" spans="6:38" s="36" customFormat="1" x14ac:dyDescent="0.25">
      <c r="F389" s="38"/>
      <c r="G389" s="1"/>
      <c r="K389" s="1"/>
      <c r="Y389" s="1"/>
      <c r="Z389" s="1"/>
      <c r="AA389" s="1"/>
      <c r="AB389" s="1"/>
      <c r="AC389" s="1"/>
      <c r="AD389" s="1"/>
      <c r="AE389" s="1"/>
      <c r="AF389" s="1"/>
      <c r="AG389" s="1"/>
      <c r="AH389" s="1"/>
      <c r="AI389" s="1"/>
      <c r="AJ389" s="1"/>
      <c r="AK389" s="1"/>
      <c r="AL389" s="1"/>
    </row>
    <row r="390" spans="6:38" s="36" customFormat="1" x14ac:dyDescent="0.25">
      <c r="F390" s="38"/>
      <c r="G390" s="1"/>
      <c r="K390" s="1"/>
      <c r="Y390" s="1"/>
      <c r="Z390" s="1"/>
      <c r="AA390" s="1"/>
      <c r="AB390" s="1"/>
      <c r="AC390" s="1"/>
      <c r="AD390" s="1"/>
      <c r="AE390" s="1"/>
      <c r="AF390" s="1"/>
      <c r="AG390" s="1"/>
      <c r="AH390" s="1"/>
      <c r="AI390" s="1"/>
      <c r="AJ390" s="1"/>
      <c r="AK390" s="1"/>
      <c r="AL390" s="1"/>
    </row>
    <row r="391" spans="6:38" s="36" customFormat="1" x14ac:dyDescent="0.25">
      <c r="F391" s="38"/>
      <c r="G391" s="1"/>
      <c r="K391" s="1"/>
      <c r="Y391" s="1"/>
      <c r="Z391" s="1"/>
      <c r="AA391" s="1"/>
      <c r="AB391" s="1"/>
      <c r="AC391" s="1"/>
      <c r="AD391" s="1"/>
      <c r="AE391" s="1"/>
      <c r="AF391" s="1"/>
      <c r="AG391" s="1"/>
      <c r="AH391" s="1"/>
      <c r="AI391" s="1"/>
      <c r="AJ391" s="1"/>
      <c r="AK391" s="1"/>
      <c r="AL391" s="1"/>
    </row>
    <row r="392" spans="6:38" s="36" customFormat="1" x14ac:dyDescent="0.25">
      <c r="F392" s="38"/>
      <c r="G392" s="1"/>
      <c r="K392" s="1"/>
      <c r="Y392" s="1"/>
      <c r="Z392" s="1"/>
      <c r="AA392" s="1"/>
      <c r="AB392" s="1"/>
      <c r="AC392" s="1"/>
      <c r="AD392" s="1"/>
      <c r="AE392" s="1"/>
      <c r="AF392" s="1"/>
      <c r="AG392" s="1"/>
      <c r="AH392" s="1"/>
      <c r="AI392" s="1"/>
      <c r="AJ392" s="1"/>
      <c r="AK392" s="1"/>
      <c r="AL392" s="1"/>
    </row>
    <row r="393" spans="6:38" s="36" customFormat="1" x14ac:dyDescent="0.25">
      <c r="F393" s="38"/>
      <c r="G393" s="1"/>
      <c r="K393" s="1"/>
      <c r="Y393" s="1"/>
      <c r="Z393" s="1"/>
      <c r="AA393" s="1"/>
      <c r="AB393" s="1"/>
      <c r="AC393" s="1"/>
      <c r="AD393" s="1"/>
      <c r="AE393" s="1"/>
      <c r="AF393" s="1"/>
      <c r="AG393" s="1"/>
      <c r="AH393" s="1"/>
      <c r="AI393" s="1"/>
      <c r="AJ393" s="1"/>
      <c r="AK393" s="1"/>
      <c r="AL393" s="1"/>
    </row>
    <row r="394" spans="6:38" s="36" customFormat="1" x14ac:dyDescent="0.25">
      <c r="F394" s="38"/>
      <c r="G394" s="1"/>
      <c r="K394" s="1"/>
      <c r="Y394" s="1"/>
      <c r="Z394" s="1"/>
      <c r="AA394" s="1"/>
      <c r="AB394" s="1"/>
      <c r="AC394" s="1"/>
      <c r="AD394" s="1"/>
      <c r="AE394" s="1"/>
      <c r="AF394" s="1"/>
      <c r="AG394" s="1"/>
      <c r="AH394" s="1"/>
      <c r="AI394" s="1"/>
      <c r="AJ394" s="1"/>
      <c r="AK394" s="1"/>
      <c r="AL394" s="1"/>
    </row>
    <row r="395" spans="6:38" s="36" customFormat="1" x14ac:dyDescent="0.25">
      <c r="F395" s="38"/>
      <c r="G395" s="1"/>
      <c r="K395" s="1"/>
      <c r="Y395" s="1"/>
      <c r="Z395" s="1"/>
      <c r="AA395" s="1"/>
      <c r="AB395" s="1"/>
      <c r="AC395" s="1"/>
      <c r="AD395" s="1"/>
      <c r="AE395" s="1"/>
      <c r="AF395" s="1"/>
      <c r="AG395" s="1"/>
      <c r="AH395" s="1"/>
      <c r="AI395" s="1"/>
      <c r="AJ395" s="1"/>
      <c r="AK395" s="1"/>
      <c r="AL395" s="1"/>
    </row>
    <row r="396" spans="6:38" s="36" customFormat="1" x14ac:dyDescent="0.25">
      <c r="F396" s="38"/>
      <c r="G396" s="1"/>
      <c r="K396" s="1"/>
      <c r="Y396" s="1"/>
      <c r="Z396" s="1"/>
      <c r="AA396" s="1"/>
      <c r="AB396" s="1"/>
      <c r="AC396" s="1"/>
      <c r="AD396" s="1"/>
      <c r="AE396" s="1"/>
      <c r="AF396" s="1"/>
      <c r="AG396" s="1"/>
      <c r="AH396" s="1"/>
      <c r="AI396" s="1"/>
      <c r="AJ396" s="1"/>
      <c r="AK396" s="1"/>
      <c r="AL396" s="1"/>
    </row>
    <row r="397" spans="6:38" s="36" customFormat="1" x14ac:dyDescent="0.25">
      <c r="F397" s="38"/>
      <c r="G397" s="1"/>
      <c r="K397" s="1"/>
      <c r="Y397" s="1"/>
      <c r="Z397" s="1"/>
      <c r="AA397" s="1"/>
      <c r="AB397" s="1"/>
      <c r="AC397" s="1"/>
      <c r="AD397" s="1"/>
      <c r="AE397" s="1"/>
      <c r="AF397" s="1"/>
      <c r="AG397" s="1"/>
      <c r="AH397" s="1"/>
      <c r="AI397" s="1"/>
      <c r="AJ397" s="1"/>
      <c r="AK397" s="1"/>
      <c r="AL397" s="1"/>
    </row>
    <row r="398" spans="6:38" s="36" customFormat="1" x14ac:dyDescent="0.25">
      <c r="F398" s="38"/>
      <c r="G398" s="1"/>
      <c r="K398" s="1"/>
      <c r="Y398" s="1"/>
      <c r="Z398" s="1"/>
      <c r="AA398" s="1"/>
      <c r="AB398" s="1"/>
      <c r="AC398" s="1"/>
      <c r="AD398" s="1"/>
      <c r="AE398" s="1"/>
      <c r="AF398" s="1"/>
      <c r="AG398" s="1"/>
      <c r="AH398" s="1"/>
      <c r="AI398" s="1"/>
      <c r="AJ398" s="1"/>
      <c r="AK398" s="1"/>
      <c r="AL398" s="1"/>
    </row>
    <row r="399" spans="6:38" s="36" customFormat="1" x14ac:dyDescent="0.25">
      <c r="F399" s="38"/>
      <c r="G399" s="1"/>
      <c r="K399" s="1"/>
      <c r="Y399" s="1"/>
      <c r="Z399" s="1"/>
      <c r="AA399" s="1"/>
      <c r="AB399" s="1"/>
      <c r="AC399" s="1"/>
      <c r="AD399" s="1"/>
      <c r="AE399" s="1"/>
      <c r="AF399" s="1"/>
      <c r="AG399" s="1"/>
      <c r="AH399" s="1"/>
      <c r="AI399" s="1"/>
      <c r="AJ399" s="1"/>
      <c r="AK399" s="1"/>
      <c r="AL399" s="1"/>
    </row>
    <row r="400" spans="6:38" s="36" customFormat="1" x14ac:dyDescent="0.25">
      <c r="F400" s="38"/>
      <c r="G400" s="1"/>
      <c r="K400" s="1"/>
      <c r="Y400" s="1"/>
      <c r="Z400" s="1"/>
      <c r="AA400" s="1"/>
      <c r="AB400" s="1"/>
      <c r="AC400" s="1"/>
      <c r="AD400" s="1"/>
      <c r="AE400" s="1"/>
      <c r="AF400" s="1"/>
      <c r="AG400" s="1"/>
      <c r="AH400" s="1"/>
      <c r="AI400" s="1"/>
      <c r="AJ400" s="1"/>
      <c r="AK400" s="1"/>
      <c r="AL400" s="1"/>
    </row>
    <row r="401" spans="6:38" s="36" customFormat="1" x14ac:dyDescent="0.25">
      <c r="F401" s="38"/>
      <c r="G401" s="1"/>
      <c r="K401" s="1"/>
      <c r="Y401" s="1"/>
      <c r="Z401" s="1"/>
      <c r="AA401" s="1"/>
      <c r="AB401" s="1"/>
      <c r="AC401" s="1"/>
      <c r="AD401" s="1"/>
      <c r="AE401" s="1"/>
      <c r="AF401" s="1"/>
      <c r="AG401" s="1"/>
      <c r="AH401" s="1"/>
      <c r="AI401" s="1"/>
      <c r="AJ401" s="1"/>
      <c r="AK401" s="1"/>
      <c r="AL401" s="1"/>
    </row>
    <row r="402" spans="6:38" s="36" customFormat="1" x14ac:dyDescent="0.25">
      <c r="F402" s="38"/>
      <c r="G402" s="1"/>
      <c r="K402" s="1"/>
      <c r="Y402" s="1"/>
      <c r="Z402" s="1"/>
      <c r="AA402" s="1"/>
      <c r="AB402" s="1"/>
      <c r="AC402" s="1"/>
      <c r="AD402" s="1"/>
      <c r="AE402" s="1"/>
      <c r="AF402" s="1"/>
      <c r="AG402" s="1"/>
      <c r="AH402" s="1"/>
      <c r="AI402" s="1"/>
      <c r="AJ402" s="1"/>
      <c r="AK402" s="1"/>
      <c r="AL402" s="1"/>
    </row>
    <row r="403" spans="6:38" s="36" customFormat="1" x14ac:dyDescent="0.25">
      <c r="F403" s="38"/>
      <c r="G403" s="1"/>
      <c r="K403" s="1"/>
      <c r="Y403" s="1"/>
      <c r="Z403" s="1"/>
      <c r="AA403" s="1"/>
      <c r="AB403" s="1"/>
      <c r="AC403" s="1"/>
      <c r="AD403" s="1"/>
      <c r="AE403" s="1"/>
      <c r="AF403" s="1"/>
      <c r="AG403" s="1"/>
      <c r="AH403" s="1"/>
      <c r="AI403" s="1"/>
      <c r="AJ403" s="1"/>
      <c r="AK403" s="1"/>
      <c r="AL403" s="1"/>
    </row>
    <row r="404" spans="6:38" s="36" customFormat="1" x14ac:dyDescent="0.25">
      <c r="F404" s="38"/>
      <c r="G404" s="1"/>
      <c r="K404" s="1"/>
      <c r="Y404" s="1"/>
      <c r="Z404" s="1"/>
      <c r="AA404" s="1"/>
      <c r="AB404" s="1"/>
      <c r="AC404" s="1"/>
      <c r="AD404" s="1"/>
      <c r="AE404" s="1"/>
      <c r="AF404" s="1"/>
      <c r="AG404" s="1"/>
      <c r="AH404" s="1"/>
      <c r="AI404" s="1"/>
      <c r="AJ404" s="1"/>
      <c r="AK404" s="1"/>
      <c r="AL404" s="1"/>
    </row>
    <row r="405" spans="6:38" s="36" customFormat="1" x14ac:dyDescent="0.25">
      <c r="F405" s="38"/>
      <c r="G405" s="1"/>
      <c r="K405" s="1"/>
      <c r="Y405" s="1"/>
      <c r="Z405" s="1"/>
      <c r="AA405" s="1"/>
      <c r="AB405" s="1"/>
      <c r="AC405" s="1"/>
      <c r="AD405" s="1"/>
      <c r="AE405" s="1"/>
      <c r="AF405" s="1"/>
      <c r="AG405" s="1"/>
      <c r="AH405" s="1"/>
      <c r="AI405" s="1"/>
      <c r="AJ405" s="1"/>
      <c r="AK405" s="1"/>
      <c r="AL405" s="1"/>
    </row>
    <row r="406" spans="6:38" s="36" customFormat="1" x14ac:dyDescent="0.25">
      <c r="F406" s="38"/>
      <c r="G406" s="1"/>
      <c r="K406" s="1"/>
      <c r="Y406" s="1"/>
      <c r="Z406" s="1"/>
      <c r="AA406" s="1"/>
      <c r="AB406" s="1"/>
      <c r="AC406" s="1"/>
      <c r="AD406" s="1"/>
      <c r="AE406" s="1"/>
      <c r="AF406" s="1"/>
      <c r="AG406" s="1"/>
      <c r="AH406" s="1"/>
      <c r="AI406" s="1"/>
      <c r="AJ406" s="1"/>
      <c r="AK406" s="1"/>
      <c r="AL406" s="1"/>
    </row>
    <row r="407" spans="6:38" s="36" customFormat="1" x14ac:dyDescent="0.25">
      <c r="F407" s="38"/>
      <c r="G407" s="1"/>
      <c r="K407" s="1"/>
      <c r="Y407" s="1"/>
      <c r="Z407" s="1"/>
      <c r="AA407" s="1"/>
      <c r="AB407" s="1"/>
      <c r="AC407" s="1"/>
      <c r="AD407" s="1"/>
      <c r="AE407" s="1"/>
      <c r="AF407" s="1"/>
      <c r="AG407" s="1"/>
      <c r="AH407" s="1"/>
      <c r="AI407" s="1"/>
      <c r="AJ407" s="1"/>
      <c r="AK407" s="1"/>
      <c r="AL407" s="1"/>
    </row>
    <row r="408" spans="6:38" s="36" customFormat="1" x14ac:dyDescent="0.25">
      <c r="F408" s="38"/>
      <c r="G408" s="1"/>
      <c r="K408" s="1"/>
      <c r="Y408" s="1"/>
      <c r="Z408" s="1"/>
      <c r="AA408" s="1"/>
      <c r="AB408" s="1"/>
      <c r="AC408" s="1"/>
      <c r="AD408" s="1"/>
      <c r="AE408" s="1"/>
      <c r="AF408" s="1"/>
      <c r="AG408" s="1"/>
      <c r="AH408" s="1"/>
      <c r="AI408" s="1"/>
      <c r="AJ408" s="1"/>
      <c r="AK408" s="1"/>
      <c r="AL408" s="1"/>
    </row>
    <row r="409" spans="6:38" s="36" customFormat="1" x14ac:dyDescent="0.25">
      <c r="F409" s="38"/>
      <c r="G409" s="1"/>
      <c r="K409" s="1"/>
      <c r="Y409" s="1"/>
      <c r="Z409" s="1"/>
      <c r="AA409" s="1"/>
      <c r="AB409" s="1"/>
      <c r="AC409" s="1"/>
      <c r="AD409" s="1"/>
      <c r="AE409" s="1"/>
      <c r="AF409" s="1"/>
      <c r="AG409" s="1"/>
      <c r="AH409" s="1"/>
      <c r="AI409" s="1"/>
      <c r="AJ409" s="1"/>
      <c r="AK409" s="1"/>
      <c r="AL409" s="1"/>
    </row>
    <row r="410" spans="6:38" s="36" customFormat="1" x14ac:dyDescent="0.25">
      <c r="F410" s="38"/>
      <c r="G410" s="1"/>
      <c r="K410" s="1"/>
      <c r="Y410" s="1"/>
      <c r="Z410" s="1"/>
      <c r="AA410" s="1"/>
      <c r="AB410" s="1"/>
      <c r="AC410" s="1"/>
      <c r="AD410" s="1"/>
      <c r="AE410" s="1"/>
      <c r="AF410" s="1"/>
      <c r="AG410" s="1"/>
      <c r="AH410" s="1"/>
      <c r="AI410" s="1"/>
      <c r="AJ410" s="1"/>
      <c r="AK410" s="1"/>
      <c r="AL410" s="1"/>
    </row>
    <row r="411" spans="6:38" s="36" customFormat="1" x14ac:dyDescent="0.25">
      <c r="F411" s="38"/>
      <c r="G411" s="1"/>
      <c r="K411" s="1"/>
      <c r="Y411" s="1"/>
      <c r="Z411" s="1"/>
      <c r="AA411" s="1"/>
      <c r="AB411" s="1"/>
      <c r="AC411" s="1"/>
      <c r="AD411" s="1"/>
      <c r="AE411" s="1"/>
      <c r="AF411" s="1"/>
      <c r="AG411" s="1"/>
      <c r="AH411" s="1"/>
      <c r="AI411" s="1"/>
      <c r="AJ411" s="1"/>
      <c r="AK411" s="1"/>
      <c r="AL411" s="1"/>
    </row>
    <row r="412" spans="6:38" s="36" customFormat="1" x14ac:dyDescent="0.25">
      <c r="F412" s="38"/>
      <c r="G412" s="1"/>
      <c r="K412" s="1"/>
      <c r="Y412" s="1"/>
      <c r="Z412" s="1"/>
      <c r="AA412" s="1"/>
      <c r="AB412" s="1"/>
      <c r="AC412" s="1"/>
      <c r="AD412" s="1"/>
      <c r="AE412" s="1"/>
      <c r="AF412" s="1"/>
      <c r="AG412" s="1"/>
      <c r="AH412" s="1"/>
      <c r="AI412" s="1"/>
      <c r="AJ412" s="1"/>
      <c r="AK412" s="1"/>
      <c r="AL412" s="1"/>
    </row>
    <row r="413" spans="6:38" s="36" customFormat="1" x14ac:dyDescent="0.25">
      <c r="F413" s="38"/>
      <c r="G413" s="1"/>
      <c r="K413" s="1"/>
      <c r="Y413" s="1"/>
      <c r="Z413" s="1"/>
      <c r="AA413" s="1"/>
      <c r="AB413" s="1"/>
      <c r="AC413" s="1"/>
      <c r="AD413" s="1"/>
      <c r="AE413" s="1"/>
      <c r="AF413" s="1"/>
      <c r="AG413" s="1"/>
      <c r="AH413" s="1"/>
      <c r="AI413" s="1"/>
      <c r="AJ413" s="1"/>
      <c r="AK413" s="1"/>
      <c r="AL413" s="1"/>
    </row>
    <row r="414" spans="6:38" s="36" customFormat="1" x14ac:dyDescent="0.25">
      <c r="F414" s="38"/>
      <c r="G414" s="1"/>
      <c r="K414" s="1"/>
      <c r="Y414" s="1"/>
      <c r="Z414" s="1"/>
      <c r="AA414" s="1"/>
      <c r="AB414" s="1"/>
      <c r="AC414" s="1"/>
      <c r="AD414" s="1"/>
      <c r="AE414" s="1"/>
      <c r="AF414" s="1"/>
      <c r="AG414" s="1"/>
      <c r="AH414" s="1"/>
      <c r="AI414" s="1"/>
      <c r="AJ414" s="1"/>
      <c r="AK414" s="1"/>
      <c r="AL414" s="1"/>
    </row>
    <row r="415" spans="6:38" s="36" customFormat="1" x14ac:dyDescent="0.25">
      <c r="F415" s="38"/>
      <c r="G415" s="1"/>
      <c r="K415" s="1"/>
      <c r="Y415" s="1"/>
      <c r="Z415" s="1"/>
      <c r="AA415" s="1"/>
      <c r="AB415" s="1"/>
      <c r="AC415" s="1"/>
      <c r="AD415" s="1"/>
      <c r="AE415" s="1"/>
      <c r="AF415" s="1"/>
      <c r="AG415" s="1"/>
      <c r="AH415" s="1"/>
      <c r="AI415" s="1"/>
      <c r="AJ415" s="1"/>
      <c r="AK415" s="1"/>
      <c r="AL415" s="1"/>
    </row>
    <row r="416" spans="6:38" s="36" customFormat="1" x14ac:dyDescent="0.25">
      <c r="F416" s="38"/>
      <c r="G416" s="1"/>
      <c r="K416" s="1"/>
      <c r="Y416" s="1"/>
      <c r="Z416" s="1"/>
      <c r="AA416" s="1"/>
      <c r="AB416" s="1"/>
      <c r="AC416" s="1"/>
      <c r="AD416" s="1"/>
      <c r="AE416" s="1"/>
      <c r="AF416" s="1"/>
      <c r="AG416" s="1"/>
      <c r="AH416" s="1"/>
      <c r="AI416" s="1"/>
      <c r="AJ416" s="1"/>
      <c r="AK416" s="1"/>
      <c r="AL416" s="1"/>
    </row>
    <row r="417" spans="6:38" s="36" customFormat="1" x14ac:dyDescent="0.25">
      <c r="F417" s="38"/>
      <c r="G417" s="1"/>
      <c r="K417" s="1"/>
      <c r="Y417" s="1"/>
      <c r="Z417" s="1"/>
      <c r="AA417" s="1"/>
      <c r="AB417" s="1"/>
      <c r="AC417" s="1"/>
      <c r="AD417" s="1"/>
      <c r="AE417" s="1"/>
      <c r="AF417" s="1"/>
      <c r="AG417" s="1"/>
      <c r="AH417" s="1"/>
      <c r="AI417" s="1"/>
      <c r="AJ417" s="1"/>
      <c r="AK417" s="1"/>
      <c r="AL417" s="1"/>
    </row>
    <row r="418" spans="6:38" s="36" customFormat="1" x14ac:dyDescent="0.25">
      <c r="F418" s="38"/>
      <c r="G418" s="1"/>
      <c r="K418" s="1"/>
      <c r="Y418" s="1"/>
      <c r="Z418" s="1"/>
      <c r="AA418" s="1"/>
      <c r="AB418" s="1"/>
      <c r="AC418" s="1"/>
      <c r="AD418" s="1"/>
      <c r="AE418" s="1"/>
      <c r="AF418" s="1"/>
      <c r="AG418" s="1"/>
      <c r="AH418" s="1"/>
      <c r="AI418" s="1"/>
      <c r="AJ418" s="1"/>
      <c r="AK418" s="1"/>
      <c r="AL418" s="1"/>
    </row>
    <row r="419" spans="6:38" s="36" customFormat="1" x14ac:dyDescent="0.25">
      <c r="F419" s="38"/>
      <c r="G419" s="1"/>
      <c r="K419" s="1"/>
      <c r="Y419" s="1"/>
      <c r="Z419" s="1"/>
      <c r="AA419" s="1"/>
      <c r="AB419" s="1"/>
      <c r="AC419" s="1"/>
      <c r="AD419" s="1"/>
      <c r="AE419" s="1"/>
      <c r="AF419" s="1"/>
      <c r="AG419" s="1"/>
      <c r="AH419" s="1"/>
      <c r="AI419" s="1"/>
      <c r="AJ419" s="1"/>
      <c r="AK419" s="1"/>
      <c r="AL419" s="1"/>
    </row>
    <row r="420" spans="6:38" s="36" customFormat="1" x14ac:dyDescent="0.25">
      <c r="F420" s="38"/>
      <c r="G420" s="1"/>
      <c r="K420" s="1"/>
      <c r="Y420" s="1"/>
      <c r="Z420" s="1"/>
      <c r="AA420" s="1"/>
      <c r="AB420" s="1"/>
      <c r="AC420" s="1"/>
      <c r="AD420" s="1"/>
      <c r="AE420" s="1"/>
      <c r="AF420" s="1"/>
      <c r="AG420" s="1"/>
      <c r="AH420" s="1"/>
      <c r="AI420" s="1"/>
      <c r="AJ420" s="1"/>
      <c r="AK420" s="1"/>
      <c r="AL420" s="1"/>
    </row>
    <row r="421" spans="6:38" s="36" customFormat="1" x14ac:dyDescent="0.25">
      <c r="F421" s="38"/>
      <c r="G421" s="1"/>
      <c r="K421" s="1"/>
      <c r="Y421" s="1"/>
      <c r="Z421" s="1"/>
      <c r="AA421" s="1"/>
      <c r="AB421" s="1"/>
      <c r="AC421" s="1"/>
      <c r="AD421" s="1"/>
      <c r="AE421" s="1"/>
      <c r="AF421" s="1"/>
      <c r="AG421" s="1"/>
      <c r="AH421" s="1"/>
      <c r="AI421" s="1"/>
      <c r="AJ421" s="1"/>
      <c r="AK421" s="1"/>
      <c r="AL421" s="1"/>
    </row>
    <row r="422" spans="6:38" s="36" customFormat="1" x14ac:dyDescent="0.25">
      <c r="F422" s="38"/>
      <c r="G422" s="1"/>
      <c r="K422" s="1"/>
      <c r="Y422" s="1"/>
      <c r="Z422" s="1"/>
      <c r="AA422" s="1"/>
      <c r="AB422" s="1"/>
      <c r="AC422" s="1"/>
      <c r="AD422" s="1"/>
      <c r="AE422" s="1"/>
      <c r="AF422" s="1"/>
      <c r="AG422" s="1"/>
      <c r="AH422" s="1"/>
      <c r="AI422" s="1"/>
      <c r="AJ422" s="1"/>
      <c r="AK422" s="1"/>
      <c r="AL422" s="1"/>
    </row>
    <row r="423" spans="6:38" s="36" customFormat="1" x14ac:dyDescent="0.25">
      <c r="F423" s="38"/>
      <c r="G423" s="1"/>
      <c r="K423" s="1"/>
      <c r="Y423" s="1"/>
      <c r="Z423" s="1"/>
      <c r="AA423" s="1"/>
      <c r="AB423" s="1"/>
      <c r="AC423" s="1"/>
      <c r="AD423" s="1"/>
      <c r="AE423" s="1"/>
      <c r="AF423" s="1"/>
      <c r="AG423" s="1"/>
      <c r="AH423" s="1"/>
      <c r="AI423" s="1"/>
      <c r="AJ423" s="1"/>
      <c r="AK423" s="1"/>
      <c r="AL423" s="1"/>
    </row>
    <row r="424" spans="6:38" s="36" customFormat="1" x14ac:dyDescent="0.25">
      <c r="F424" s="38"/>
      <c r="G424" s="1"/>
      <c r="K424" s="1"/>
      <c r="Y424" s="1"/>
      <c r="Z424" s="1"/>
      <c r="AA424" s="1"/>
      <c r="AB424" s="1"/>
      <c r="AC424" s="1"/>
      <c r="AD424" s="1"/>
      <c r="AE424" s="1"/>
      <c r="AF424" s="1"/>
      <c r="AG424" s="1"/>
      <c r="AH424" s="1"/>
      <c r="AI424" s="1"/>
      <c r="AJ424" s="1"/>
      <c r="AK424" s="1"/>
      <c r="AL424" s="1"/>
    </row>
    <row r="425" spans="6:38" s="36" customFormat="1" x14ac:dyDescent="0.25">
      <c r="F425" s="38"/>
      <c r="G425" s="1"/>
      <c r="K425" s="1"/>
      <c r="Y425" s="1"/>
      <c r="Z425" s="1"/>
      <c r="AA425" s="1"/>
      <c r="AB425" s="1"/>
      <c r="AC425" s="1"/>
      <c r="AD425" s="1"/>
      <c r="AE425" s="1"/>
      <c r="AF425" s="1"/>
      <c r="AG425" s="1"/>
      <c r="AH425" s="1"/>
      <c r="AI425" s="1"/>
      <c r="AJ425" s="1"/>
      <c r="AK425" s="1"/>
      <c r="AL425" s="1"/>
    </row>
    <row r="426" spans="6:38" s="36" customFormat="1" x14ac:dyDescent="0.25">
      <c r="F426" s="38"/>
      <c r="G426" s="1"/>
      <c r="K426" s="1"/>
      <c r="Y426" s="1"/>
      <c r="Z426" s="1"/>
      <c r="AA426" s="1"/>
      <c r="AB426" s="1"/>
      <c r="AC426" s="1"/>
      <c r="AD426" s="1"/>
      <c r="AE426" s="1"/>
      <c r="AF426" s="1"/>
      <c r="AG426" s="1"/>
      <c r="AH426" s="1"/>
      <c r="AI426" s="1"/>
      <c r="AJ426" s="1"/>
      <c r="AK426" s="1"/>
      <c r="AL426" s="1"/>
    </row>
    <row r="427" spans="6:38" s="36" customFormat="1" x14ac:dyDescent="0.25">
      <c r="F427" s="38"/>
      <c r="G427" s="1"/>
      <c r="K427" s="1"/>
      <c r="Y427" s="1"/>
      <c r="Z427" s="1"/>
      <c r="AA427" s="1"/>
      <c r="AB427" s="1"/>
      <c r="AC427" s="1"/>
      <c r="AD427" s="1"/>
      <c r="AE427" s="1"/>
      <c r="AF427" s="1"/>
      <c r="AG427" s="1"/>
      <c r="AH427" s="1"/>
      <c r="AI427" s="1"/>
      <c r="AJ427" s="1"/>
      <c r="AK427" s="1"/>
      <c r="AL427" s="1"/>
    </row>
    <row r="428" spans="6:38" s="36" customFormat="1" x14ac:dyDescent="0.25">
      <c r="F428" s="38"/>
      <c r="G428" s="1"/>
      <c r="K428" s="1"/>
      <c r="Y428" s="1"/>
      <c r="Z428" s="1"/>
      <c r="AA428" s="1"/>
      <c r="AB428" s="1"/>
      <c r="AC428" s="1"/>
      <c r="AD428" s="1"/>
      <c r="AE428" s="1"/>
      <c r="AF428" s="1"/>
      <c r="AG428" s="1"/>
      <c r="AH428" s="1"/>
      <c r="AI428" s="1"/>
      <c r="AJ428" s="1"/>
      <c r="AK428" s="1"/>
      <c r="AL428" s="1"/>
    </row>
    <row r="429" spans="6:38" s="36" customFormat="1" x14ac:dyDescent="0.25">
      <c r="F429" s="38"/>
      <c r="G429" s="1"/>
      <c r="K429" s="1"/>
      <c r="Y429" s="1"/>
      <c r="Z429" s="1"/>
      <c r="AA429" s="1"/>
      <c r="AB429" s="1"/>
      <c r="AC429" s="1"/>
      <c r="AD429" s="1"/>
      <c r="AE429" s="1"/>
      <c r="AF429" s="1"/>
      <c r="AG429" s="1"/>
      <c r="AH429" s="1"/>
      <c r="AI429" s="1"/>
      <c r="AJ429" s="1"/>
      <c r="AK429" s="1"/>
      <c r="AL429" s="1"/>
    </row>
    <row r="430" spans="6:38" s="36" customFormat="1" x14ac:dyDescent="0.25">
      <c r="F430" s="38"/>
      <c r="G430" s="1"/>
      <c r="K430" s="1"/>
      <c r="Y430" s="1"/>
      <c r="Z430" s="1"/>
      <c r="AA430" s="1"/>
      <c r="AB430" s="1"/>
      <c r="AC430" s="1"/>
      <c r="AD430" s="1"/>
      <c r="AE430" s="1"/>
      <c r="AF430" s="1"/>
      <c r="AG430" s="1"/>
      <c r="AH430" s="1"/>
      <c r="AI430" s="1"/>
      <c r="AJ430" s="1"/>
      <c r="AK430" s="1"/>
      <c r="AL430" s="1"/>
    </row>
    <row r="431" spans="6:38" s="36" customFormat="1" x14ac:dyDescent="0.25">
      <c r="F431" s="38"/>
      <c r="G431" s="1"/>
      <c r="K431" s="1"/>
      <c r="Y431" s="1"/>
      <c r="Z431" s="1"/>
      <c r="AA431" s="1"/>
      <c r="AB431" s="1"/>
      <c r="AC431" s="1"/>
      <c r="AD431" s="1"/>
      <c r="AE431" s="1"/>
      <c r="AF431" s="1"/>
      <c r="AG431" s="1"/>
      <c r="AH431" s="1"/>
      <c r="AI431" s="1"/>
      <c r="AJ431" s="1"/>
      <c r="AK431" s="1"/>
      <c r="AL431" s="1"/>
    </row>
    <row r="432" spans="6:38" s="36" customFormat="1" x14ac:dyDescent="0.25">
      <c r="F432" s="38"/>
      <c r="G432" s="1"/>
      <c r="K432" s="1"/>
      <c r="Y432" s="1"/>
      <c r="Z432" s="1"/>
      <c r="AA432" s="1"/>
      <c r="AB432" s="1"/>
      <c r="AC432" s="1"/>
      <c r="AD432" s="1"/>
      <c r="AE432" s="1"/>
      <c r="AF432" s="1"/>
      <c r="AG432" s="1"/>
      <c r="AH432" s="1"/>
      <c r="AI432" s="1"/>
      <c r="AJ432" s="1"/>
      <c r="AK432" s="1"/>
      <c r="AL432" s="1"/>
    </row>
    <row r="433" spans="6:38" s="36" customFormat="1" x14ac:dyDescent="0.25">
      <c r="F433" s="38"/>
      <c r="G433" s="1"/>
      <c r="K433" s="1"/>
      <c r="Y433" s="1"/>
      <c r="Z433" s="1"/>
      <c r="AA433" s="1"/>
      <c r="AB433" s="1"/>
      <c r="AC433" s="1"/>
      <c r="AD433" s="1"/>
      <c r="AE433" s="1"/>
      <c r="AF433" s="1"/>
      <c r="AG433" s="1"/>
      <c r="AH433" s="1"/>
      <c r="AI433" s="1"/>
      <c r="AJ433" s="1"/>
      <c r="AK433" s="1"/>
      <c r="AL433" s="1"/>
    </row>
    <row r="434" spans="6:38" s="36" customFormat="1" x14ac:dyDescent="0.25">
      <c r="F434" s="38"/>
      <c r="G434" s="1"/>
      <c r="K434" s="1"/>
      <c r="Y434" s="1"/>
      <c r="Z434" s="1"/>
      <c r="AA434" s="1"/>
      <c r="AB434" s="1"/>
      <c r="AC434" s="1"/>
      <c r="AD434" s="1"/>
      <c r="AE434" s="1"/>
      <c r="AF434" s="1"/>
      <c r="AG434" s="1"/>
      <c r="AH434" s="1"/>
      <c r="AI434" s="1"/>
      <c r="AJ434" s="1"/>
      <c r="AK434" s="1"/>
      <c r="AL434" s="1"/>
    </row>
    <row r="435" spans="6:38" s="36" customFormat="1" x14ac:dyDescent="0.25">
      <c r="F435" s="38"/>
      <c r="G435" s="1"/>
      <c r="K435" s="1"/>
      <c r="Y435" s="1"/>
      <c r="Z435" s="1"/>
      <c r="AA435" s="1"/>
      <c r="AB435" s="1"/>
      <c r="AC435" s="1"/>
      <c r="AD435" s="1"/>
      <c r="AE435" s="1"/>
      <c r="AF435" s="1"/>
      <c r="AG435" s="1"/>
      <c r="AH435" s="1"/>
      <c r="AI435" s="1"/>
      <c r="AJ435" s="1"/>
      <c r="AK435" s="1"/>
      <c r="AL435" s="1"/>
    </row>
    <row r="436" spans="6:38" s="36" customFormat="1" x14ac:dyDescent="0.25">
      <c r="F436" s="38"/>
      <c r="G436" s="1"/>
      <c r="K436" s="1"/>
      <c r="Y436" s="1"/>
      <c r="Z436" s="1"/>
      <c r="AA436" s="1"/>
      <c r="AB436" s="1"/>
      <c r="AC436" s="1"/>
      <c r="AD436" s="1"/>
      <c r="AE436" s="1"/>
      <c r="AF436" s="1"/>
      <c r="AG436" s="1"/>
      <c r="AH436" s="1"/>
      <c r="AI436" s="1"/>
      <c r="AJ436" s="1"/>
      <c r="AK436" s="1"/>
      <c r="AL436" s="1"/>
    </row>
    <row r="437" spans="6:38" s="36" customFormat="1" x14ac:dyDescent="0.25">
      <c r="F437" s="38"/>
      <c r="G437" s="1"/>
      <c r="K437" s="1"/>
      <c r="Y437" s="1"/>
      <c r="Z437" s="1"/>
      <c r="AA437" s="1"/>
      <c r="AB437" s="1"/>
      <c r="AC437" s="1"/>
      <c r="AD437" s="1"/>
      <c r="AE437" s="1"/>
      <c r="AF437" s="1"/>
      <c r="AG437" s="1"/>
      <c r="AH437" s="1"/>
      <c r="AI437" s="1"/>
      <c r="AJ437" s="1"/>
      <c r="AK437" s="1"/>
      <c r="AL437" s="1"/>
    </row>
    <row r="438" spans="6:38" s="36" customFormat="1" x14ac:dyDescent="0.25">
      <c r="F438" s="38"/>
      <c r="G438" s="1"/>
      <c r="K438" s="1"/>
      <c r="Y438" s="1"/>
      <c r="Z438" s="1"/>
      <c r="AA438" s="1"/>
      <c r="AB438" s="1"/>
      <c r="AC438" s="1"/>
      <c r="AD438" s="1"/>
      <c r="AE438" s="1"/>
      <c r="AF438" s="1"/>
      <c r="AG438" s="1"/>
      <c r="AH438" s="1"/>
      <c r="AI438" s="1"/>
      <c r="AJ438" s="1"/>
      <c r="AK438" s="1"/>
      <c r="AL438" s="1"/>
    </row>
    <row r="439" spans="6:38" s="36" customFormat="1" x14ac:dyDescent="0.25">
      <c r="F439" s="38"/>
      <c r="G439" s="1"/>
      <c r="K439" s="1"/>
      <c r="Y439" s="1"/>
      <c r="Z439" s="1"/>
      <c r="AA439" s="1"/>
      <c r="AB439" s="1"/>
      <c r="AC439" s="1"/>
      <c r="AD439" s="1"/>
      <c r="AE439" s="1"/>
      <c r="AF439" s="1"/>
      <c r="AG439" s="1"/>
      <c r="AH439" s="1"/>
      <c r="AI439" s="1"/>
      <c r="AJ439" s="1"/>
      <c r="AK439" s="1"/>
      <c r="AL439" s="1"/>
    </row>
    <row r="440" spans="6:38" s="36" customFormat="1" x14ac:dyDescent="0.25">
      <c r="F440" s="38"/>
      <c r="G440" s="1"/>
      <c r="K440" s="1"/>
      <c r="Y440" s="1"/>
      <c r="Z440" s="1"/>
      <c r="AA440" s="1"/>
      <c r="AB440" s="1"/>
      <c r="AC440" s="1"/>
      <c r="AD440" s="1"/>
      <c r="AE440" s="1"/>
      <c r="AF440" s="1"/>
      <c r="AG440" s="1"/>
      <c r="AH440" s="1"/>
      <c r="AI440" s="1"/>
      <c r="AJ440" s="1"/>
      <c r="AK440" s="1"/>
      <c r="AL440" s="1"/>
    </row>
    <row r="441" spans="6:38" s="36" customFormat="1" x14ac:dyDescent="0.25">
      <c r="F441" s="38"/>
      <c r="G441" s="1"/>
      <c r="K441" s="1"/>
      <c r="Y441" s="1"/>
      <c r="Z441" s="1"/>
      <c r="AA441" s="1"/>
      <c r="AB441" s="1"/>
      <c r="AC441" s="1"/>
      <c r="AD441" s="1"/>
      <c r="AE441" s="1"/>
      <c r="AF441" s="1"/>
      <c r="AG441" s="1"/>
      <c r="AH441" s="1"/>
      <c r="AI441" s="1"/>
      <c r="AJ441" s="1"/>
      <c r="AK441" s="1"/>
      <c r="AL441" s="1"/>
    </row>
    <row r="442" spans="6:38" s="36" customFormat="1" x14ac:dyDescent="0.25">
      <c r="F442" s="38"/>
      <c r="G442" s="1"/>
      <c r="K442" s="1"/>
      <c r="Y442" s="1"/>
      <c r="Z442" s="1"/>
      <c r="AA442" s="1"/>
      <c r="AB442" s="1"/>
      <c r="AC442" s="1"/>
      <c r="AD442" s="1"/>
      <c r="AE442" s="1"/>
      <c r="AF442" s="1"/>
      <c r="AG442" s="1"/>
      <c r="AH442" s="1"/>
      <c r="AI442" s="1"/>
      <c r="AJ442" s="1"/>
      <c r="AK442" s="1"/>
      <c r="AL442" s="1"/>
    </row>
    <row r="443" spans="6:38" s="36" customFormat="1" x14ac:dyDescent="0.25">
      <c r="F443" s="38"/>
      <c r="G443" s="1"/>
      <c r="K443" s="1"/>
      <c r="Y443" s="1"/>
      <c r="Z443" s="1"/>
      <c r="AA443" s="1"/>
      <c r="AB443" s="1"/>
      <c r="AC443" s="1"/>
      <c r="AD443" s="1"/>
      <c r="AE443" s="1"/>
      <c r="AF443" s="1"/>
      <c r="AG443" s="1"/>
      <c r="AH443" s="1"/>
      <c r="AI443" s="1"/>
      <c r="AJ443" s="1"/>
      <c r="AK443" s="1"/>
      <c r="AL443" s="1"/>
    </row>
    <row r="444" spans="6:38" s="36" customFormat="1" x14ac:dyDescent="0.25">
      <c r="F444" s="38"/>
      <c r="G444" s="1"/>
      <c r="K444" s="1"/>
      <c r="Y444" s="1"/>
      <c r="Z444" s="1"/>
      <c r="AA444" s="1"/>
      <c r="AB444" s="1"/>
      <c r="AC444" s="1"/>
      <c r="AD444" s="1"/>
      <c r="AE444" s="1"/>
      <c r="AF444" s="1"/>
      <c r="AG444" s="1"/>
      <c r="AH444" s="1"/>
      <c r="AI444" s="1"/>
      <c r="AJ444" s="1"/>
      <c r="AK444" s="1"/>
      <c r="AL444" s="1"/>
    </row>
    <row r="445" spans="6:38" s="36" customFormat="1" x14ac:dyDescent="0.25">
      <c r="F445" s="38"/>
      <c r="G445" s="1"/>
      <c r="K445" s="1"/>
      <c r="Y445" s="1"/>
      <c r="Z445" s="1"/>
      <c r="AA445" s="1"/>
      <c r="AB445" s="1"/>
      <c r="AC445" s="1"/>
      <c r="AD445" s="1"/>
      <c r="AE445" s="1"/>
      <c r="AF445" s="1"/>
      <c r="AG445" s="1"/>
      <c r="AH445" s="1"/>
      <c r="AI445" s="1"/>
      <c r="AJ445" s="1"/>
      <c r="AK445" s="1"/>
      <c r="AL445" s="1"/>
    </row>
    <row r="446" spans="6:38" s="36" customFormat="1" x14ac:dyDescent="0.25">
      <c r="F446" s="38"/>
      <c r="G446" s="1"/>
      <c r="K446" s="1"/>
      <c r="Y446" s="1"/>
      <c r="Z446" s="1"/>
      <c r="AA446" s="1"/>
      <c r="AB446" s="1"/>
      <c r="AC446" s="1"/>
      <c r="AD446" s="1"/>
      <c r="AE446" s="1"/>
      <c r="AF446" s="1"/>
      <c r="AG446" s="1"/>
      <c r="AH446" s="1"/>
      <c r="AI446" s="1"/>
      <c r="AJ446" s="1"/>
      <c r="AK446" s="1"/>
      <c r="AL446" s="1"/>
    </row>
    <row r="447" spans="6:38" s="36" customFormat="1" x14ac:dyDescent="0.25">
      <c r="F447" s="38"/>
      <c r="G447" s="1"/>
      <c r="K447" s="1"/>
      <c r="Y447" s="1"/>
      <c r="Z447" s="1"/>
      <c r="AA447" s="1"/>
      <c r="AB447" s="1"/>
      <c r="AC447" s="1"/>
      <c r="AD447" s="1"/>
      <c r="AE447" s="1"/>
      <c r="AF447" s="1"/>
      <c r="AG447" s="1"/>
      <c r="AH447" s="1"/>
      <c r="AI447" s="1"/>
      <c r="AJ447" s="1"/>
      <c r="AK447" s="1"/>
      <c r="AL447" s="1"/>
    </row>
    <row r="448" spans="6:38" s="36" customFormat="1" x14ac:dyDescent="0.25">
      <c r="F448" s="38"/>
      <c r="G448" s="1"/>
      <c r="K448" s="1"/>
      <c r="Y448" s="1"/>
      <c r="Z448" s="1"/>
      <c r="AA448" s="1"/>
      <c r="AB448" s="1"/>
      <c r="AC448" s="1"/>
      <c r="AD448" s="1"/>
      <c r="AE448" s="1"/>
      <c r="AF448" s="1"/>
      <c r="AG448" s="1"/>
      <c r="AH448" s="1"/>
      <c r="AI448" s="1"/>
      <c r="AJ448" s="1"/>
      <c r="AK448" s="1"/>
      <c r="AL448" s="1"/>
    </row>
    <row r="449" spans="6:38" s="36" customFormat="1" x14ac:dyDescent="0.25">
      <c r="F449" s="38"/>
      <c r="G449" s="1"/>
      <c r="K449" s="1"/>
      <c r="Y449" s="1"/>
      <c r="Z449" s="1"/>
      <c r="AA449" s="1"/>
      <c r="AB449" s="1"/>
      <c r="AC449" s="1"/>
      <c r="AD449" s="1"/>
      <c r="AE449" s="1"/>
      <c r="AF449" s="1"/>
      <c r="AG449" s="1"/>
      <c r="AH449" s="1"/>
      <c r="AI449" s="1"/>
      <c r="AJ449" s="1"/>
      <c r="AK449" s="1"/>
      <c r="AL449" s="1"/>
    </row>
    <row r="450" spans="6:38" s="36" customFormat="1" x14ac:dyDescent="0.25">
      <c r="F450" s="38"/>
      <c r="G450" s="1"/>
      <c r="K450" s="1"/>
      <c r="Y450" s="1"/>
      <c r="Z450" s="1"/>
      <c r="AA450" s="1"/>
      <c r="AB450" s="1"/>
      <c r="AC450" s="1"/>
      <c r="AD450" s="1"/>
      <c r="AE450" s="1"/>
      <c r="AF450" s="1"/>
      <c r="AG450" s="1"/>
      <c r="AH450" s="1"/>
      <c r="AI450" s="1"/>
      <c r="AJ450" s="1"/>
      <c r="AK450" s="1"/>
      <c r="AL450" s="1"/>
    </row>
    <row r="451" spans="6:38" s="36" customFormat="1" x14ac:dyDescent="0.25">
      <c r="F451" s="38"/>
      <c r="G451" s="1"/>
      <c r="K451" s="1"/>
      <c r="Y451" s="1"/>
      <c r="Z451" s="1"/>
      <c r="AA451" s="1"/>
      <c r="AB451" s="1"/>
      <c r="AC451" s="1"/>
      <c r="AD451" s="1"/>
      <c r="AE451" s="1"/>
      <c r="AF451" s="1"/>
      <c r="AG451" s="1"/>
      <c r="AH451" s="1"/>
      <c r="AI451" s="1"/>
      <c r="AJ451" s="1"/>
      <c r="AK451" s="1"/>
      <c r="AL451" s="1"/>
    </row>
    <row r="452" spans="6:38" s="36" customFormat="1" x14ac:dyDescent="0.25">
      <c r="F452" s="38"/>
      <c r="G452" s="1"/>
      <c r="K452" s="1"/>
      <c r="Y452" s="1"/>
      <c r="Z452" s="1"/>
      <c r="AA452" s="1"/>
      <c r="AB452" s="1"/>
      <c r="AC452" s="1"/>
      <c r="AD452" s="1"/>
      <c r="AE452" s="1"/>
      <c r="AF452" s="1"/>
      <c r="AG452" s="1"/>
      <c r="AH452" s="1"/>
      <c r="AI452" s="1"/>
      <c r="AJ452" s="1"/>
      <c r="AK452" s="1"/>
      <c r="AL452" s="1"/>
    </row>
    <row r="453" spans="6:38" s="36" customFormat="1" x14ac:dyDescent="0.25">
      <c r="F453" s="38"/>
      <c r="G453" s="1"/>
      <c r="K453" s="1"/>
      <c r="Y453" s="1"/>
      <c r="Z453" s="1"/>
      <c r="AA453" s="1"/>
      <c r="AB453" s="1"/>
      <c r="AC453" s="1"/>
      <c r="AD453" s="1"/>
      <c r="AE453" s="1"/>
      <c r="AF453" s="1"/>
      <c r="AG453" s="1"/>
      <c r="AH453" s="1"/>
      <c r="AI453" s="1"/>
      <c r="AJ453" s="1"/>
      <c r="AK453" s="1"/>
      <c r="AL453" s="1"/>
    </row>
    <row r="454" spans="6:38" s="36" customFormat="1" x14ac:dyDescent="0.25">
      <c r="F454" s="38"/>
      <c r="G454" s="1"/>
      <c r="K454" s="1"/>
      <c r="Y454" s="1"/>
      <c r="Z454" s="1"/>
      <c r="AA454" s="1"/>
      <c r="AB454" s="1"/>
      <c r="AC454" s="1"/>
      <c r="AD454" s="1"/>
      <c r="AE454" s="1"/>
      <c r="AF454" s="1"/>
      <c r="AG454" s="1"/>
      <c r="AH454" s="1"/>
      <c r="AI454" s="1"/>
      <c r="AJ454" s="1"/>
      <c r="AK454" s="1"/>
      <c r="AL454" s="1"/>
    </row>
    <row r="455" spans="6:38" s="36" customFormat="1" x14ac:dyDescent="0.25">
      <c r="F455" s="38"/>
      <c r="G455" s="1"/>
      <c r="K455" s="1"/>
      <c r="Y455" s="1"/>
      <c r="Z455" s="1"/>
      <c r="AA455" s="1"/>
      <c r="AB455" s="1"/>
      <c r="AC455" s="1"/>
      <c r="AD455" s="1"/>
      <c r="AE455" s="1"/>
      <c r="AF455" s="1"/>
      <c r="AG455" s="1"/>
      <c r="AH455" s="1"/>
      <c r="AI455" s="1"/>
      <c r="AJ455" s="1"/>
      <c r="AK455" s="1"/>
      <c r="AL455" s="1"/>
    </row>
    <row r="456" spans="6:38" s="36" customFormat="1" x14ac:dyDescent="0.25">
      <c r="F456" s="38"/>
      <c r="G456" s="1"/>
      <c r="K456" s="1"/>
      <c r="Y456" s="1"/>
      <c r="Z456" s="1"/>
      <c r="AA456" s="1"/>
      <c r="AB456" s="1"/>
      <c r="AC456" s="1"/>
      <c r="AD456" s="1"/>
      <c r="AE456" s="1"/>
      <c r="AF456" s="1"/>
      <c r="AG456" s="1"/>
      <c r="AH456" s="1"/>
      <c r="AI456" s="1"/>
      <c r="AJ456" s="1"/>
      <c r="AK456" s="1"/>
      <c r="AL456" s="1"/>
    </row>
    <row r="457" spans="6:38" s="36" customFormat="1" x14ac:dyDescent="0.25">
      <c r="F457" s="38"/>
      <c r="G457" s="1"/>
      <c r="K457" s="1"/>
      <c r="Y457" s="1"/>
      <c r="Z457" s="1"/>
      <c r="AA457" s="1"/>
      <c r="AB457" s="1"/>
      <c r="AC457" s="1"/>
      <c r="AD457" s="1"/>
      <c r="AE457" s="1"/>
      <c r="AF457" s="1"/>
      <c r="AG457" s="1"/>
      <c r="AH457" s="1"/>
      <c r="AI457" s="1"/>
      <c r="AJ457" s="1"/>
      <c r="AK457" s="1"/>
      <c r="AL457" s="1"/>
    </row>
    <row r="458" spans="6:38" s="36" customFormat="1" x14ac:dyDescent="0.25">
      <c r="F458" s="38"/>
      <c r="G458" s="1"/>
      <c r="K458" s="1"/>
      <c r="Y458" s="1"/>
      <c r="Z458" s="1"/>
      <c r="AA458" s="1"/>
      <c r="AB458" s="1"/>
      <c r="AC458" s="1"/>
      <c r="AD458" s="1"/>
      <c r="AE458" s="1"/>
      <c r="AF458" s="1"/>
      <c r="AG458" s="1"/>
      <c r="AH458" s="1"/>
      <c r="AI458" s="1"/>
      <c r="AJ458" s="1"/>
      <c r="AK458" s="1"/>
      <c r="AL458" s="1"/>
    </row>
    <row r="459" spans="6:38" s="36" customFormat="1" x14ac:dyDescent="0.25">
      <c r="F459" s="38"/>
      <c r="G459" s="1"/>
      <c r="K459" s="1"/>
      <c r="Y459" s="1"/>
      <c r="Z459" s="1"/>
      <c r="AA459" s="1"/>
      <c r="AB459" s="1"/>
      <c r="AC459" s="1"/>
      <c r="AD459" s="1"/>
      <c r="AE459" s="1"/>
      <c r="AF459" s="1"/>
      <c r="AG459" s="1"/>
      <c r="AH459" s="1"/>
      <c r="AI459" s="1"/>
      <c r="AJ459" s="1"/>
      <c r="AK459" s="1"/>
      <c r="AL459" s="1"/>
    </row>
    <row r="460" spans="6:38" s="36" customFormat="1" x14ac:dyDescent="0.25">
      <c r="F460" s="38"/>
      <c r="G460" s="1"/>
      <c r="K460" s="1"/>
      <c r="Y460" s="1"/>
      <c r="Z460" s="1"/>
      <c r="AA460" s="1"/>
      <c r="AB460" s="1"/>
      <c r="AC460" s="1"/>
      <c r="AD460" s="1"/>
      <c r="AE460" s="1"/>
      <c r="AF460" s="1"/>
      <c r="AG460" s="1"/>
      <c r="AH460" s="1"/>
      <c r="AI460" s="1"/>
      <c r="AJ460" s="1"/>
      <c r="AK460" s="1"/>
      <c r="AL460" s="1"/>
    </row>
    <row r="461" spans="6:38" s="36" customFormat="1" x14ac:dyDescent="0.25">
      <c r="F461" s="38"/>
      <c r="G461" s="1"/>
      <c r="K461" s="1"/>
      <c r="Y461" s="1"/>
      <c r="Z461" s="1"/>
      <c r="AA461" s="1"/>
      <c r="AB461" s="1"/>
      <c r="AC461" s="1"/>
      <c r="AD461" s="1"/>
      <c r="AE461" s="1"/>
      <c r="AF461" s="1"/>
      <c r="AG461" s="1"/>
      <c r="AH461" s="1"/>
      <c r="AI461" s="1"/>
      <c r="AJ461" s="1"/>
      <c r="AK461" s="1"/>
      <c r="AL461" s="1"/>
    </row>
    <row r="462" spans="6:38" s="36" customFormat="1" x14ac:dyDescent="0.25">
      <c r="F462" s="38"/>
      <c r="G462" s="1"/>
      <c r="K462" s="1"/>
      <c r="Y462" s="1"/>
      <c r="Z462" s="1"/>
      <c r="AA462" s="1"/>
      <c r="AB462" s="1"/>
      <c r="AC462" s="1"/>
      <c r="AD462" s="1"/>
      <c r="AE462" s="1"/>
      <c r="AF462" s="1"/>
      <c r="AG462" s="1"/>
      <c r="AH462" s="1"/>
      <c r="AI462" s="1"/>
      <c r="AJ462" s="1"/>
      <c r="AK462" s="1"/>
      <c r="AL462" s="1"/>
    </row>
    <row r="463" spans="6:38" s="36" customFormat="1" x14ac:dyDescent="0.25">
      <c r="F463" s="38"/>
      <c r="G463" s="1"/>
      <c r="K463" s="1"/>
      <c r="Y463" s="1"/>
      <c r="Z463" s="1"/>
      <c r="AA463" s="1"/>
      <c r="AB463" s="1"/>
      <c r="AC463" s="1"/>
      <c r="AD463" s="1"/>
      <c r="AE463" s="1"/>
      <c r="AF463" s="1"/>
      <c r="AG463" s="1"/>
      <c r="AH463" s="1"/>
      <c r="AI463" s="1"/>
      <c r="AJ463" s="1"/>
      <c r="AK463" s="1"/>
      <c r="AL463" s="1"/>
    </row>
    <row r="464" spans="6:38" s="36" customFormat="1" x14ac:dyDescent="0.25">
      <c r="F464" s="38"/>
      <c r="G464" s="1"/>
      <c r="K464" s="1"/>
      <c r="Y464" s="1"/>
      <c r="Z464" s="1"/>
      <c r="AA464" s="1"/>
      <c r="AB464" s="1"/>
      <c r="AC464" s="1"/>
      <c r="AD464" s="1"/>
      <c r="AE464" s="1"/>
      <c r="AF464" s="1"/>
      <c r="AG464" s="1"/>
      <c r="AH464" s="1"/>
      <c r="AI464" s="1"/>
      <c r="AJ464" s="1"/>
      <c r="AK464" s="1"/>
      <c r="AL464" s="1"/>
    </row>
    <row r="465" spans="6:38" s="36" customFormat="1" x14ac:dyDescent="0.25">
      <c r="F465" s="38"/>
      <c r="G465" s="1"/>
      <c r="K465" s="1"/>
      <c r="Y465" s="1"/>
      <c r="Z465" s="1"/>
      <c r="AA465" s="1"/>
      <c r="AB465" s="1"/>
      <c r="AC465" s="1"/>
      <c r="AD465" s="1"/>
      <c r="AE465" s="1"/>
      <c r="AF465" s="1"/>
      <c r="AG465" s="1"/>
      <c r="AH465" s="1"/>
      <c r="AI465" s="1"/>
      <c r="AJ465" s="1"/>
      <c r="AK465" s="1"/>
      <c r="AL465" s="1"/>
    </row>
    <row r="466" spans="6:38" s="36" customFormat="1" x14ac:dyDescent="0.25">
      <c r="F466" s="38"/>
      <c r="G466" s="1"/>
      <c r="K466" s="1"/>
      <c r="Y466" s="1"/>
      <c r="Z466" s="1"/>
      <c r="AA466" s="1"/>
      <c r="AB466" s="1"/>
      <c r="AC466" s="1"/>
      <c r="AD466" s="1"/>
      <c r="AE466" s="1"/>
      <c r="AF466" s="1"/>
      <c r="AG466" s="1"/>
      <c r="AH466" s="1"/>
      <c r="AI466" s="1"/>
      <c r="AJ466" s="1"/>
      <c r="AK466" s="1"/>
      <c r="AL466" s="1"/>
    </row>
    <row r="467" spans="6:38" s="36" customFormat="1" x14ac:dyDescent="0.25">
      <c r="F467" s="38"/>
      <c r="G467" s="1"/>
      <c r="K467" s="1"/>
      <c r="Y467" s="1"/>
      <c r="Z467" s="1"/>
      <c r="AA467" s="1"/>
      <c r="AB467" s="1"/>
      <c r="AC467" s="1"/>
      <c r="AD467" s="1"/>
      <c r="AE467" s="1"/>
      <c r="AF467" s="1"/>
      <c r="AG467" s="1"/>
      <c r="AH467" s="1"/>
      <c r="AI467" s="1"/>
      <c r="AJ467" s="1"/>
      <c r="AK467" s="1"/>
      <c r="AL467" s="1"/>
    </row>
    <row r="468" spans="6:38" s="36" customFormat="1" x14ac:dyDescent="0.25">
      <c r="F468" s="38"/>
      <c r="G468" s="1"/>
      <c r="K468" s="1"/>
      <c r="Y468" s="1"/>
      <c r="Z468" s="1"/>
      <c r="AA468" s="1"/>
      <c r="AB468" s="1"/>
      <c r="AC468" s="1"/>
      <c r="AD468" s="1"/>
      <c r="AE468" s="1"/>
      <c r="AF468" s="1"/>
      <c r="AG468" s="1"/>
      <c r="AH468" s="1"/>
      <c r="AI468" s="1"/>
      <c r="AJ468" s="1"/>
      <c r="AK468" s="1"/>
      <c r="AL468" s="1"/>
    </row>
    <row r="469" spans="6:38" s="36" customFormat="1" x14ac:dyDescent="0.25">
      <c r="F469" s="38"/>
      <c r="G469" s="1"/>
      <c r="K469" s="1"/>
      <c r="Y469" s="1"/>
      <c r="Z469" s="1"/>
      <c r="AA469" s="1"/>
      <c r="AB469" s="1"/>
      <c r="AC469" s="1"/>
      <c r="AD469" s="1"/>
      <c r="AE469" s="1"/>
      <c r="AF469" s="1"/>
      <c r="AG469" s="1"/>
      <c r="AH469" s="1"/>
      <c r="AI469" s="1"/>
      <c r="AJ469" s="1"/>
      <c r="AK469" s="1"/>
      <c r="AL469" s="1"/>
    </row>
    <row r="470" spans="6:38" s="36" customFormat="1" x14ac:dyDescent="0.25">
      <c r="F470" s="38"/>
      <c r="G470" s="1"/>
      <c r="K470" s="1"/>
      <c r="Y470" s="1"/>
      <c r="Z470" s="1"/>
      <c r="AA470" s="1"/>
      <c r="AB470" s="1"/>
      <c r="AC470" s="1"/>
      <c r="AD470" s="1"/>
      <c r="AE470" s="1"/>
      <c r="AF470" s="1"/>
      <c r="AG470" s="1"/>
      <c r="AH470" s="1"/>
      <c r="AI470" s="1"/>
      <c r="AJ470" s="1"/>
      <c r="AK470" s="1"/>
      <c r="AL470" s="1"/>
    </row>
    <row r="471" spans="6:38" s="36" customFormat="1" x14ac:dyDescent="0.25">
      <c r="F471" s="38"/>
      <c r="G471" s="1"/>
      <c r="K471" s="1"/>
      <c r="Y471" s="1"/>
      <c r="Z471" s="1"/>
      <c r="AA471" s="1"/>
      <c r="AB471" s="1"/>
      <c r="AC471" s="1"/>
      <c r="AD471" s="1"/>
      <c r="AE471" s="1"/>
      <c r="AF471" s="1"/>
      <c r="AG471" s="1"/>
      <c r="AH471" s="1"/>
      <c r="AI471" s="1"/>
      <c r="AJ471" s="1"/>
      <c r="AK471" s="1"/>
      <c r="AL471" s="1"/>
    </row>
    <row r="472" spans="6:38" s="36" customFormat="1" x14ac:dyDescent="0.25">
      <c r="F472" s="38"/>
      <c r="G472" s="1"/>
      <c r="K472" s="1"/>
      <c r="Y472" s="1"/>
      <c r="Z472" s="1"/>
      <c r="AA472" s="1"/>
      <c r="AB472" s="1"/>
      <c r="AC472" s="1"/>
      <c r="AD472" s="1"/>
      <c r="AE472" s="1"/>
      <c r="AF472" s="1"/>
      <c r="AG472" s="1"/>
      <c r="AH472" s="1"/>
      <c r="AI472" s="1"/>
      <c r="AJ472" s="1"/>
      <c r="AK472" s="1"/>
      <c r="AL472" s="1"/>
    </row>
    <row r="473" spans="6:38" s="36" customFormat="1" x14ac:dyDescent="0.25">
      <c r="F473" s="38"/>
      <c r="G473" s="1"/>
      <c r="K473" s="1"/>
      <c r="Y473" s="1"/>
      <c r="Z473" s="1"/>
      <c r="AA473" s="1"/>
      <c r="AB473" s="1"/>
      <c r="AC473" s="1"/>
      <c r="AD473" s="1"/>
      <c r="AE473" s="1"/>
      <c r="AF473" s="1"/>
      <c r="AG473" s="1"/>
      <c r="AH473" s="1"/>
      <c r="AI473" s="1"/>
      <c r="AJ473" s="1"/>
      <c r="AK473" s="1"/>
      <c r="AL473" s="1"/>
    </row>
    <row r="474" spans="6:38" s="36" customFormat="1" x14ac:dyDescent="0.25">
      <c r="F474" s="38"/>
      <c r="G474" s="1"/>
      <c r="K474" s="1"/>
      <c r="Y474" s="1"/>
      <c r="Z474" s="1"/>
      <c r="AA474" s="1"/>
      <c r="AB474" s="1"/>
      <c r="AC474" s="1"/>
      <c r="AD474" s="1"/>
      <c r="AE474" s="1"/>
      <c r="AF474" s="1"/>
      <c r="AG474" s="1"/>
      <c r="AH474" s="1"/>
      <c r="AI474" s="1"/>
      <c r="AJ474" s="1"/>
      <c r="AK474" s="1"/>
      <c r="AL474" s="1"/>
    </row>
    <row r="475" spans="6:38" s="36" customFormat="1" x14ac:dyDescent="0.25">
      <c r="F475" s="38"/>
      <c r="G475" s="1"/>
      <c r="K475" s="1"/>
      <c r="Y475" s="1"/>
      <c r="Z475" s="1"/>
      <c r="AA475" s="1"/>
      <c r="AB475" s="1"/>
      <c r="AC475" s="1"/>
      <c r="AD475" s="1"/>
      <c r="AE475" s="1"/>
      <c r="AF475" s="1"/>
      <c r="AG475" s="1"/>
      <c r="AH475" s="1"/>
      <c r="AI475" s="1"/>
      <c r="AJ475" s="1"/>
      <c r="AK475" s="1"/>
      <c r="AL475" s="1"/>
    </row>
    <row r="476" spans="6:38" s="36" customFormat="1" x14ac:dyDescent="0.25">
      <c r="F476" s="38"/>
      <c r="G476" s="1"/>
      <c r="K476" s="1"/>
      <c r="Y476" s="1"/>
      <c r="Z476" s="1"/>
      <c r="AA476" s="1"/>
      <c r="AB476" s="1"/>
      <c r="AC476" s="1"/>
      <c r="AD476" s="1"/>
      <c r="AE476" s="1"/>
      <c r="AF476" s="1"/>
      <c r="AG476" s="1"/>
      <c r="AH476" s="1"/>
      <c r="AI476" s="1"/>
      <c r="AJ476" s="1"/>
      <c r="AK476" s="1"/>
      <c r="AL476" s="1"/>
    </row>
    <row r="477" spans="6:38" s="36" customFormat="1" x14ac:dyDescent="0.25">
      <c r="F477" s="38"/>
      <c r="G477" s="1"/>
      <c r="K477" s="1"/>
      <c r="Y477" s="1"/>
      <c r="Z477" s="1"/>
      <c r="AA477" s="1"/>
      <c r="AB477" s="1"/>
      <c r="AC477" s="1"/>
      <c r="AD477" s="1"/>
      <c r="AE477" s="1"/>
      <c r="AF477" s="1"/>
      <c r="AG477" s="1"/>
      <c r="AH477" s="1"/>
      <c r="AI477" s="1"/>
      <c r="AJ477" s="1"/>
      <c r="AK477" s="1"/>
      <c r="AL477" s="1"/>
    </row>
    <row r="478" spans="6:38" s="36" customFormat="1" x14ac:dyDescent="0.25">
      <c r="F478" s="38"/>
      <c r="G478" s="1"/>
      <c r="K478" s="1"/>
      <c r="Y478" s="1"/>
      <c r="Z478" s="1"/>
      <c r="AA478" s="1"/>
      <c r="AB478" s="1"/>
      <c r="AC478" s="1"/>
      <c r="AD478" s="1"/>
      <c r="AE478" s="1"/>
      <c r="AF478" s="1"/>
      <c r="AG478" s="1"/>
      <c r="AH478" s="1"/>
      <c r="AI478" s="1"/>
      <c r="AJ478" s="1"/>
      <c r="AK478" s="1"/>
      <c r="AL478" s="1"/>
    </row>
    <row r="479" spans="6:38" s="36" customFormat="1" x14ac:dyDescent="0.25">
      <c r="F479" s="38"/>
      <c r="G479" s="1"/>
      <c r="K479" s="1"/>
      <c r="Y479" s="1"/>
      <c r="Z479" s="1"/>
      <c r="AA479" s="1"/>
      <c r="AB479" s="1"/>
      <c r="AC479" s="1"/>
      <c r="AD479" s="1"/>
      <c r="AE479" s="1"/>
      <c r="AF479" s="1"/>
      <c r="AG479" s="1"/>
      <c r="AH479" s="1"/>
      <c r="AI479" s="1"/>
      <c r="AJ479" s="1"/>
      <c r="AK479" s="1"/>
      <c r="AL479" s="1"/>
    </row>
    <row r="480" spans="6:38" s="36" customFormat="1" x14ac:dyDescent="0.25">
      <c r="F480" s="38"/>
      <c r="G480" s="1"/>
      <c r="K480" s="1"/>
      <c r="Y480" s="1"/>
      <c r="Z480" s="1"/>
      <c r="AA480" s="1"/>
      <c r="AB480" s="1"/>
      <c r="AC480" s="1"/>
      <c r="AD480" s="1"/>
      <c r="AE480" s="1"/>
      <c r="AF480" s="1"/>
      <c r="AG480" s="1"/>
      <c r="AH480" s="1"/>
      <c r="AI480" s="1"/>
      <c r="AJ480" s="1"/>
      <c r="AK480" s="1"/>
      <c r="AL480" s="1"/>
    </row>
    <row r="481" spans="6:38" s="36" customFormat="1" x14ac:dyDescent="0.25">
      <c r="F481" s="38"/>
      <c r="G481" s="1"/>
      <c r="K481" s="1"/>
      <c r="Y481" s="1"/>
      <c r="Z481" s="1"/>
      <c r="AA481" s="1"/>
      <c r="AB481" s="1"/>
      <c r="AC481" s="1"/>
      <c r="AD481" s="1"/>
      <c r="AE481" s="1"/>
      <c r="AF481" s="1"/>
      <c r="AG481" s="1"/>
      <c r="AH481" s="1"/>
      <c r="AI481" s="1"/>
      <c r="AJ481" s="1"/>
      <c r="AK481" s="1"/>
      <c r="AL481" s="1"/>
    </row>
    <row r="482" spans="6:38" s="36" customFormat="1" x14ac:dyDescent="0.25">
      <c r="F482" s="38"/>
      <c r="G482" s="1"/>
      <c r="K482" s="1"/>
      <c r="Y482" s="1"/>
      <c r="Z482" s="1"/>
      <c r="AA482" s="1"/>
      <c r="AB482" s="1"/>
      <c r="AC482" s="1"/>
      <c r="AD482" s="1"/>
      <c r="AE482" s="1"/>
      <c r="AF482" s="1"/>
      <c r="AG482" s="1"/>
      <c r="AH482" s="1"/>
      <c r="AI482" s="1"/>
      <c r="AJ482" s="1"/>
      <c r="AK482" s="1"/>
      <c r="AL482" s="1"/>
    </row>
    <row r="483" spans="6:38" s="36" customFormat="1" x14ac:dyDescent="0.25">
      <c r="F483" s="38"/>
      <c r="G483" s="1"/>
      <c r="K483" s="1"/>
      <c r="Y483" s="1"/>
      <c r="Z483" s="1"/>
      <c r="AA483" s="1"/>
      <c r="AB483" s="1"/>
      <c r="AC483" s="1"/>
      <c r="AD483" s="1"/>
      <c r="AE483" s="1"/>
      <c r="AF483" s="1"/>
      <c r="AG483" s="1"/>
      <c r="AH483" s="1"/>
      <c r="AI483" s="1"/>
      <c r="AJ483" s="1"/>
      <c r="AK483" s="1"/>
      <c r="AL483" s="1"/>
    </row>
    <row r="484" spans="6:38" s="36" customFormat="1" x14ac:dyDescent="0.25">
      <c r="F484" s="38"/>
      <c r="G484" s="1"/>
      <c r="K484" s="1"/>
      <c r="Y484" s="1"/>
      <c r="Z484" s="1"/>
      <c r="AA484" s="1"/>
      <c r="AB484" s="1"/>
      <c r="AC484" s="1"/>
      <c r="AD484" s="1"/>
      <c r="AE484" s="1"/>
      <c r="AF484" s="1"/>
      <c r="AG484" s="1"/>
      <c r="AH484" s="1"/>
      <c r="AI484" s="1"/>
      <c r="AJ484" s="1"/>
      <c r="AK484" s="1"/>
      <c r="AL484" s="1"/>
    </row>
    <row r="485" spans="6:38" s="36" customFormat="1" x14ac:dyDescent="0.25">
      <c r="F485" s="38"/>
      <c r="G485" s="1"/>
      <c r="K485" s="1"/>
      <c r="Y485" s="1"/>
      <c r="Z485" s="1"/>
      <c r="AA485" s="1"/>
      <c r="AB485" s="1"/>
      <c r="AC485" s="1"/>
      <c r="AD485" s="1"/>
      <c r="AE485" s="1"/>
      <c r="AF485" s="1"/>
      <c r="AG485" s="1"/>
      <c r="AH485" s="1"/>
      <c r="AI485" s="1"/>
      <c r="AJ485" s="1"/>
      <c r="AK485" s="1"/>
      <c r="AL485" s="1"/>
    </row>
    <row r="486" spans="6:38" s="36" customFormat="1" x14ac:dyDescent="0.25">
      <c r="F486" s="38"/>
      <c r="G486" s="1"/>
      <c r="K486" s="1"/>
      <c r="Y486" s="1"/>
      <c r="Z486" s="1"/>
      <c r="AA486" s="1"/>
      <c r="AB486" s="1"/>
      <c r="AC486" s="1"/>
      <c r="AD486" s="1"/>
      <c r="AE486" s="1"/>
      <c r="AF486" s="1"/>
      <c r="AG486" s="1"/>
      <c r="AH486" s="1"/>
      <c r="AI486" s="1"/>
      <c r="AJ486" s="1"/>
      <c r="AK486" s="1"/>
      <c r="AL486" s="1"/>
    </row>
    <row r="487" spans="6:38" s="36" customFormat="1" x14ac:dyDescent="0.25">
      <c r="F487" s="38"/>
      <c r="G487" s="1"/>
      <c r="K487" s="1"/>
      <c r="Y487" s="1"/>
      <c r="Z487" s="1"/>
      <c r="AA487" s="1"/>
      <c r="AB487" s="1"/>
      <c r="AC487" s="1"/>
      <c r="AD487" s="1"/>
      <c r="AE487" s="1"/>
      <c r="AF487" s="1"/>
      <c r="AG487" s="1"/>
      <c r="AH487" s="1"/>
      <c r="AI487" s="1"/>
      <c r="AJ487" s="1"/>
      <c r="AK487" s="1"/>
      <c r="AL487" s="1"/>
    </row>
    <row r="488" spans="6:38" s="36" customFormat="1" x14ac:dyDescent="0.25">
      <c r="F488" s="38"/>
      <c r="G488" s="1"/>
      <c r="K488" s="1"/>
      <c r="Y488" s="1"/>
      <c r="Z488" s="1"/>
      <c r="AA488" s="1"/>
      <c r="AB488" s="1"/>
      <c r="AC488" s="1"/>
      <c r="AD488" s="1"/>
      <c r="AE488" s="1"/>
      <c r="AF488" s="1"/>
      <c r="AG488" s="1"/>
      <c r="AH488" s="1"/>
      <c r="AI488" s="1"/>
      <c r="AJ488" s="1"/>
      <c r="AK488" s="1"/>
      <c r="AL488" s="1"/>
    </row>
    <row r="489" spans="6:38" s="36" customFormat="1" x14ac:dyDescent="0.25">
      <c r="F489" s="38"/>
      <c r="G489" s="1"/>
      <c r="K489" s="1"/>
      <c r="Y489" s="1"/>
      <c r="Z489" s="1"/>
      <c r="AA489" s="1"/>
      <c r="AB489" s="1"/>
      <c r="AC489" s="1"/>
      <c r="AD489" s="1"/>
      <c r="AE489" s="1"/>
      <c r="AF489" s="1"/>
      <c r="AG489" s="1"/>
      <c r="AH489" s="1"/>
      <c r="AI489" s="1"/>
      <c r="AJ489" s="1"/>
      <c r="AK489" s="1"/>
      <c r="AL489" s="1"/>
    </row>
    <row r="490" spans="6:38" s="36" customFormat="1" x14ac:dyDescent="0.25">
      <c r="F490" s="38"/>
      <c r="G490" s="1"/>
      <c r="K490" s="1"/>
      <c r="Y490" s="1"/>
      <c r="Z490" s="1"/>
      <c r="AA490" s="1"/>
      <c r="AB490" s="1"/>
      <c r="AC490" s="1"/>
      <c r="AD490" s="1"/>
      <c r="AE490" s="1"/>
      <c r="AF490" s="1"/>
      <c r="AG490" s="1"/>
      <c r="AH490" s="1"/>
      <c r="AI490" s="1"/>
      <c r="AJ490" s="1"/>
      <c r="AK490" s="1"/>
      <c r="AL490" s="1"/>
    </row>
    <row r="491" spans="6:38" s="36" customFormat="1" x14ac:dyDescent="0.25">
      <c r="F491" s="38"/>
      <c r="G491" s="1"/>
      <c r="K491" s="1"/>
      <c r="Y491" s="1"/>
      <c r="Z491" s="1"/>
      <c r="AA491" s="1"/>
      <c r="AB491" s="1"/>
      <c r="AC491" s="1"/>
      <c r="AD491" s="1"/>
      <c r="AE491" s="1"/>
      <c r="AF491" s="1"/>
      <c r="AG491" s="1"/>
      <c r="AH491" s="1"/>
      <c r="AI491" s="1"/>
      <c r="AJ491" s="1"/>
      <c r="AK491" s="1"/>
      <c r="AL491" s="1"/>
    </row>
    <row r="492" spans="6:38" s="36" customFormat="1" x14ac:dyDescent="0.25">
      <c r="F492" s="38"/>
      <c r="G492" s="1"/>
      <c r="K492" s="1"/>
      <c r="Y492" s="1"/>
      <c r="Z492" s="1"/>
      <c r="AA492" s="1"/>
      <c r="AB492" s="1"/>
      <c r="AC492" s="1"/>
      <c r="AD492" s="1"/>
      <c r="AE492" s="1"/>
      <c r="AF492" s="1"/>
      <c r="AG492" s="1"/>
      <c r="AH492" s="1"/>
      <c r="AI492" s="1"/>
      <c r="AJ492" s="1"/>
      <c r="AK492" s="1"/>
      <c r="AL492" s="1"/>
    </row>
    <row r="493" spans="6:38" s="36" customFormat="1" x14ac:dyDescent="0.25">
      <c r="F493" s="38"/>
      <c r="G493" s="1"/>
      <c r="K493" s="1"/>
      <c r="Y493" s="1"/>
      <c r="Z493" s="1"/>
      <c r="AA493" s="1"/>
      <c r="AB493" s="1"/>
      <c r="AC493" s="1"/>
      <c r="AD493" s="1"/>
      <c r="AE493" s="1"/>
      <c r="AF493" s="1"/>
      <c r="AG493" s="1"/>
      <c r="AH493" s="1"/>
      <c r="AI493" s="1"/>
      <c r="AJ493" s="1"/>
      <c r="AK493" s="1"/>
      <c r="AL493" s="1"/>
    </row>
    <row r="494" spans="6:38" s="36" customFormat="1" x14ac:dyDescent="0.25">
      <c r="F494" s="38"/>
      <c r="G494" s="1"/>
      <c r="K494" s="1"/>
      <c r="Y494" s="1"/>
      <c r="Z494" s="1"/>
      <c r="AA494" s="1"/>
      <c r="AB494" s="1"/>
      <c r="AC494" s="1"/>
      <c r="AD494" s="1"/>
      <c r="AE494" s="1"/>
      <c r="AF494" s="1"/>
      <c r="AG494" s="1"/>
      <c r="AH494" s="1"/>
      <c r="AI494" s="1"/>
      <c r="AJ494" s="1"/>
      <c r="AK494" s="1"/>
      <c r="AL494" s="1"/>
    </row>
    <row r="495" spans="6:38" s="36" customFormat="1" x14ac:dyDescent="0.25">
      <c r="F495" s="38"/>
      <c r="G495" s="1"/>
      <c r="K495" s="1"/>
      <c r="Y495" s="1"/>
      <c r="Z495" s="1"/>
      <c r="AA495" s="1"/>
      <c r="AB495" s="1"/>
      <c r="AC495" s="1"/>
      <c r="AD495" s="1"/>
      <c r="AE495" s="1"/>
      <c r="AF495" s="1"/>
      <c r="AG495" s="1"/>
      <c r="AH495" s="1"/>
      <c r="AI495" s="1"/>
      <c r="AJ495" s="1"/>
      <c r="AK495" s="1"/>
      <c r="AL495" s="1"/>
    </row>
    <row r="496" spans="6:38" s="36" customFormat="1" x14ac:dyDescent="0.25">
      <c r="F496" s="38"/>
      <c r="G496" s="1"/>
      <c r="K496" s="1"/>
      <c r="Y496" s="1"/>
      <c r="Z496" s="1"/>
      <c r="AA496" s="1"/>
      <c r="AB496" s="1"/>
      <c r="AC496" s="1"/>
      <c r="AD496" s="1"/>
      <c r="AE496" s="1"/>
      <c r="AF496" s="1"/>
      <c r="AG496" s="1"/>
      <c r="AH496" s="1"/>
      <c r="AI496" s="1"/>
      <c r="AJ496" s="1"/>
      <c r="AK496" s="1"/>
      <c r="AL496" s="1"/>
    </row>
    <row r="497" spans="6:38" s="36" customFormat="1" x14ac:dyDescent="0.25">
      <c r="F497" s="38"/>
      <c r="G497" s="1"/>
      <c r="K497" s="1"/>
      <c r="Y497" s="1"/>
      <c r="Z497" s="1"/>
      <c r="AA497" s="1"/>
      <c r="AB497" s="1"/>
      <c r="AC497" s="1"/>
      <c r="AD497" s="1"/>
      <c r="AE497" s="1"/>
      <c r="AF497" s="1"/>
      <c r="AG497" s="1"/>
      <c r="AH497" s="1"/>
      <c r="AI497" s="1"/>
      <c r="AJ497" s="1"/>
      <c r="AK497" s="1"/>
      <c r="AL497" s="1"/>
    </row>
    <row r="498" spans="6:38" s="36" customFormat="1" x14ac:dyDescent="0.25">
      <c r="F498" s="38"/>
      <c r="G498" s="1"/>
      <c r="K498" s="1"/>
      <c r="Y498" s="1"/>
      <c r="Z498" s="1"/>
      <c r="AA498" s="1"/>
      <c r="AB498" s="1"/>
      <c r="AC498" s="1"/>
      <c r="AD498" s="1"/>
      <c r="AE498" s="1"/>
      <c r="AF498" s="1"/>
      <c r="AG498" s="1"/>
      <c r="AH498" s="1"/>
      <c r="AI498" s="1"/>
      <c r="AJ498" s="1"/>
      <c r="AK498" s="1"/>
      <c r="AL498" s="1"/>
    </row>
    <row r="499" spans="6:38" s="36" customFormat="1" x14ac:dyDescent="0.25">
      <c r="F499" s="38"/>
      <c r="G499" s="1"/>
      <c r="K499" s="1"/>
      <c r="Y499" s="1"/>
      <c r="Z499" s="1"/>
      <c r="AA499" s="1"/>
      <c r="AB499" s="1"/>
      <c r="AC499" s="1"/>
      <c r="AD499" s="1"/>
      <c r="AE499" s="1"/>
      <c r="AF499" s="1"/>
      <c r="AG499" s="1"/>
      <c r="AH499" s="1"/>
      <c r="AI499" s="1"/>
      <c r="AJ499" s="1"/>
      <c r="AK499" s="1"/>
      <c r="AL499" s="1"/>
    </row>
    <row r="500" spans="6:38" s="36" customFormat="1" x14ac:dyDescent="0.25">
      <c r="F500" s="38"/>
      <c r="G500" s="1"/>
      <c r="K500" s="1"/>
      <c r="Y500" s="1"/>
      <c r="Z500" s="1"/>
      <c r="AA500" s="1"/>
      <c r="AB500" s="1"/>
      <c r="AC500" s="1"/>
      <c r="AD500" s="1"/>
      <c r="AE500" s="1"/>
      <c r="AF500" s="1"/>
      <c r="AG500" s="1"/>
      <c r="AH500" s="1"/>
      <c r="AI500" s="1"/>
      <c r="AJ500" s="1"/>
      <c r="AK500" s="1"/>
      <c r="AL500" s="1"/>
    </row>
    <row r="501" spans="6:38" s="36" customFormat="1" x14ac:dyDescent="0.25">
      <c r="F501" s="38"/>
      <c r="G501" s="1"/>
      <c r="K501" s="1"/>
      <c r="Y501" s="1"/>
      <c r="Z501" s="1"/>
      <c r="AA501" s="1"/>
      <c r="AB501" s="1"/>
      <c r="AC501" s="1"/>
      <c r="AD501" s="1"/>
      <c r="AE501" s="1"/>
      <c r="AF501" s="1"/>
      <c r="AG501" s="1"/>
      <c r="AH501" s="1"/>
      <c r="AI501" s="1"/>
      <c r="AJ501" s="1"/>
      <c r="AK501" s="1"/>
      <c r="AL501" s="1"/>
    </row>
    <row r="502" spans="6:38" s="36" customFormat="1" x14ac:dyDescent="0.25">
      <c r="F502" s="38"/>
      <c r="G502" s="1"/>
      <c r="K502" s="1"/>
      <c r="Y502" s="1"/>
      <c r="Z502" s="1"/>
      <c r="AA502" s="1"/>
      <c r="AB502" s="1"/>
      <c r="AC502" s="1"/>
      <c r="AD502" s="1"/>
      <c r="AE502" s="1"/>
      <c r="AF502" s="1"/>
      <c r="AG502" s="1"/>
      <c r="AH502" s="1"/>
      <c r="AI502" s="1"/>
      <c r="AJ502" s="1"/>
      <c r="AK502" s="1"/>
      <c r="AL502" s="1"/>
    </row>
    <row r="503" spans="6:38" s="36" customFormat="1" x14ac:dyDescent="0.25">
      <c r="F503" s="38"/>
      <c r="G503" s="1"/>
      <c r="K503" s="1"/>
      <c r="Y503" s="1"/>
      <c r="Z503" s="1"/>
      <c r="AA503" s="1"/>
      <c r="AB503" s="1"/>
      <c r="AC503" s="1"/>
      <c r="AD503" s="1"/>
      <c r="AE503" s="1"/>
      <c r="AF503" s="1"/>
      <c r="AG503" s="1"/>
      <c r="AH503" s="1"/>
      <c r="AI503" s="1"/>
      <c r="AJ503" s="1"/>
      <c r="AK503" s="1"/>
      <c r="AL503" s="1"/>
    </row>
    <row r="504" spans="6:38" s="36" customFormat="1" x14ac:dyDescent="0.25">
      <c r="F504" s="38"/>
      <c r="G504" s="1"/>
      <c r="K504" s="1"/>
      <c r="Y504" s="1"/>
      <c r="Z504" s="1"/>
      <c r="AA504" s="1"/>
      <c r="AB504" s="1"/>
      <c r="AC504" s="1"/>
      <c r="AD504" s="1"/>
      <c r="AE504" s="1"/>
      <c r="AF504" s="1"/>
      <c r="AG504" s="1"/>
      <c r="AH504" s="1"/>
      <c r="AI504" s="1"/>
      <c r="AJ504" s="1"/>
      <c r="AK504" s="1"/>
      <c r="AL504" s="1"/>
    </row>
    <row r="505" spans="6:38" s="36" customFormat="1" x14ac:dyDescent="0.25">
      <c r="F505" s="38"/>
      <c r="G505" s="1"/>
      <c r="K505" s="1"/>
      <c r="Y505" s="1"/>
      <c r="Z505" s="1"/>
      <c r="AA505" s="1"/>
      <c r="AB505" s="1"/>
      <c r="AC505" s="1"/>
      <c r="AD505" s="1"/>
      <c r="AE505" s="1"/>
      <c r="AF505" s="1"/>
      <c r="AG505" s="1"/>
      <c r="AH505" s="1"/>
      <c r="AI505" s="1"/>
      <c r="AJ505" s="1"/>
      <c r="AK505" s="1"/>
      <c r="AL505" s="1"/>
    </row>
    <row r="506" spans="6:38" s="36" customFormat="1" x14ac:dyDescent="0.25">
      <c r="F506" s="38"/>
      <c r="G506" s="1"/>
      <c r="K506" s="1"/>
      <c r="Y506" s="1"/>
      <c r="Z506" s="1"/>
      <c r="AA506" s="1"/>
      <c r="AB506" s="1"/>
      <c r="AC506" s="1"/>
      <c r="AD506" s="1"/>
      <c r="AE506" s="1"/>
      <c r="AF506" s="1"/>
      <c r="AG506" s="1"/>
      <c r="AH506" s="1"/>
      <c r="AI506" s="1"/>
      <c r="AJ506" s="1"/>
      <c r="AK506" s="1"/>
      <c r="AL506" s="1"/>
    </row>
    <row r="507" spans="6:38" s="36" customFormat="1" x14ac:dyDescent="0.25">
      <c r="F507" s="38"/>
      <c r="G507" s="1"/>
      <c r="K507" s="1"/>
      <c r="Y507" s="1"/>
      <c r="Z507" s="1"/>
      <c r="AA507" s="1"/>
      <c r="AB507" s="1"/>
      <c r="AC507" s="1"/>
      <c r="AD507" s="1"/>
      <c r="AE507" s="1"/>
      <c r="AF507" s="1"/>
      <c r="AG507" s="1"/>
      <c r="AH507" s="1"/>
      <c r="AI507" s="1"/>
      <c r="AJ507" s="1"/>
      <c r="AK507" s="1"/>
      <c r="AL507" s="1"/>
    </row>
    <row r="508" spans="6:38" s="36" customFormat="1" x14ac:dyDescent="0.25">
      <c r="F508" s="38"/>
      <c r="G508" s="1"/>
      <c r="K508" s="1"/>
      <c r="Y508" s="1"/>
      <c r="Z508" s="1"/>
      <c r="AA508" s="1"/>
      <c r="AB508" s="1"/>
      <c r="AC508" s="1"/>
      <c r="AD508" s="1"/>
      <c r="AE508" s="1"/>
      <c r="AF508" s="1"/>
      <c r="AG508" s="1"/>
      <c r="AH508" s="1"/>
      <c r="AI508" s="1"/>
      <c r="AJ508" s="1"/>
      <c r="AK508" s="1"/>
      <c r="AL508" s="1"/>
    </row>
    <row r="509" spans="6:38" s="36" customFormat="1" x14ac:dyDescent="0.25">
      <c r="F509" s="38"/>
      <c r="G509" s="1"/>
      <c r="K509" s="1"/>
      <c r="Y509" s="1"/>
      <c r="Z509" s="1"/>
      <c r="AA509" s="1"/>
      <c r="AB509" s="1"/>
      <c r="AC509" s="1"/>
      <c r="AD509" s="1"/>
      <c r="AE509" s="1"/>
      <c r="AF509" s="1"/>
      <c r="AG509" s="1"/>
      <c r="AH509" s="1"/>
      <c r="AI509" s="1"/>
      <c r="AJ509" s="1"/>
      <c r="AK509" s="1"/>
      <c r="AL509" s="1"/>
    </row>
    <row r="510" spans="6:38" s="36" customFormat="1" x14ac:dyDescent="0.25">
      <c r="F510" s="38"/>
      <c r="G510" s="1"/>
      <c r="K510" s="1"/>
      <c r="Y510" s="1"/>
      <c r="Z510" s="1"/>
      <c r="AA510" s="1"/>
      <c r="AB510" s="1"/>
      <c r="AC510" s="1"/>
      <c r="AD510" s="1"/>
      <c r="AE510" s="1"/>
      <c r="AF510" s="1"/>
      <c r="AG510" s="1"/>
      <c r="AH510" s="1"/>
      <c r="AI510" s="1"/>
      <c r="AJ510" s="1"/>
      <c r="AK510" s="1"/>
      <c r="AL510" s="1"/>
    </row>
    <row r="511" spans="6:38" s="36" customFormat="1" x14ac:dyDescent="0.25">
      <c r="F511" s="38"/>
      <c r="G511" s="1"/>
      <c r="K511" s="1"/>
      <c r="Y511" s="1"/>
      <c r="Z511" s="1"/>
      <c r="AA511" s="1"/>
      <c r="AB511" s="1"/>
      <c r="AC511" s="1"/>
      <c r="AD511" s="1"/>
      <c r="AE511" s="1"/>
      <c r="AF511" s="1"/>
      <c r="AG511" s="1"/>
      <c r="AH511" s="1"/>
      <c r="AI511" s="1"/>
      <c r="AJ511" s="1"/>
      <c r="AK511" s="1"/>
      <c r="AL511" s="1"/>
    </row>
    <row r="512" spans="6:38" s="36" customFormat="1" x14ac:dyDescent="0.25">
      <c r="F512" s="38"/>
      <c r="G512" s="1"/>
      <c r="K512" s="1"/>
      <c r="Y512" s="1"/>
      <c r="Z512" s="1"/>
      <c r="AA512" s="1"/>
      <c r="AB512" s="1"/>
      <c r="AC512" s="1"/>
      <c r="AD512" s="1"/>
      <c r="AE512" s="1"/>
      <c r="AF512" s="1"/>
      <c r="AG512" s="1"/>
      <c r="AH512" s="1"/>
      <c r="AI512" s="1"/>
      <c r="AJ512" s="1"/>
      <c r="AK512" s="1"/>
      <c r="AL512" s="1"/>
    </row>
    <row r="513" spans="6:38" s="36" customFormat="1" x14ac:dyDescent="0.25">
      <c r="F513" s="38"/>
      <c r="G513" s="1"/>
      <c r="K513" s="1"/>
      <c r="Y513" s="1"/>
      <c r="Z513" s="1"/>
      <c r="AA513" s="1"/>
      <c r="AB513" s="1"/>
      <c r="AC513" s="1"/>
      <c r="AD513" s="1"/>
      <c r="AE513" s="1"/>
      <c r="AF513" s="1"/>
      <c r="AG513" s="1"/>
      <c r="AH513" s="1"/>
      <c r="AI513" s="1"/>
      <c r="AJ513" s="1"/>
      <c r="AK513" s="1"/>
      <c r="AL513" s="1"/>
    </row>
    <row r="514" spans="6:38" s="36" customFormat="1" x14ac:dyDescent="0.25">
      <c r="F514" s="38"/>
      <c r="G514" s="1"/>
      <c r="K514" s="1"/>
      <c r="Y514" s="1"/>
      <c r="Z514" s="1"/>
      <c r="AA514" s="1"/>
      <c r="AB514" s="1"/>
      <c r="AC514" s="1"/>
      <c r="AD514" s="1"/>
      <c r="AE514" s="1"/>
      <c r="AF514" s="1"/>
      <c r="AG514" s="1"/>
      <c r="AH514" s="1"/>
      <c r="AI514" s="1"/>
      <c r="AJ514" s="1"/>
      <c r="AK514" s="1"/>
      <c r="AL514" s="1"/>
    </row>
    <row r="515" spans="6:38" s="36" customFormat="1" x14ac:dyDescent="0.25">
      <c r="F515" s="38"/>
      <c r="G515" s="1"/>
      <c r="K515" s="1"/>
      <c r="Y515" s="1"/>
      <c r="Z515" s="1"/>
      <c r="AA515" s="1"/>
      <c r="AB515" s="1"/>
      <c r="AC515" s="1"/>
      <c r="AD515" s="1"/>
      <c r="AE515" s="1"/>
      <c r="AF515" s="1"/>
      <c r="AG515" s="1"/>
      <c r="AH515" s="1"/>
      <c r="AI515" s="1"/>
      <c r="AJ515" s="1"/>
      <c r="AK515" s="1"/>
      <c r="AL515" s="1"/>
    </row>
    <row r="516" spans="6:38" s="36" customFormat="1" x14ac:dyDescent="0.25">
      <c r="F516" s="38"/>
      <c r="G516" s="1"/>
      <c r="K516" s="1"/>
      <c r="Y516" s="1"/>
      <c r="Z516" s="1"/>
      <c r="AA516" s="1"/>
      <c r="AB516" s="1"/>
      <c r="AC516" s="1"/>
      <c r="AD516" s="1"/>
      <c r="AE516" s="1"/>
      <c r="AF516" s="1"/>
      <c r="AG516" s="1"/>
      <c r="AH516" s="1"/>
      <c r="AI516" s="1"/>
      <c r="AJ516" s="1"/>
      <c r="AK516" s="1"/>
      <c r="AL516" s="1"/>
    </row>
    <row r="517" spans="6:38" s="36" customFormat="1" x14ac:dyDescent="0.25">
      <c r="F517" s="38"/>
      <c r="G517" s="1"/>
      <c r="K517" s="1"/>
      <c r="Y517" s="1"/>
      <c r="Z517" s="1"/>
      <c r="AA517" s="1"/>
      <c r="AB517" s="1"/>
      <c r="AC517" s="1"/>
      <c r="AD517" s="1"/>
      <c r="AE517" s="1"/>
      <c r="AF517" s="1"/>
      <c r="AG517" s="1"/>
      <c r="AH517" s="1"/>
      <c r="AI517" s="1"/>
      <c r="AJ517" s="1"/>
      <c r="AK517" s="1"/>
      <c r="AL517" s="1"/>
    </row>
    <row r="518" spans="6:38" s="36" customFormat="1" x14ac:dyDescent="0.25">
      <c r="F518" s="38"/>
      <c r="G518" s="1"/>
      <c r="K518" s="1"/>
      <c r="Y518" s="1"/>
      <c r="Z518" s="1"/>
      <c r="AA518" s="1"/>
      <c r="AB518" s="1"/>
      <c r="AC518" s="1"/>
      <c r="AD518" s="1"/>
      <c r="AE518" s="1"/>
      <c r="AF518" s="1"/>
      <c r="AG518" s="1"/>
      <c r="AH518" s="1"/>
      <c r="AI518" s="1"/>
      <c r="AJ518" s="1"/>
      <c r="AK518" s="1"/>
      <c r="AL518" s="1"/>
    </row>
    <row r="519" spans="6:38" s="36" customFormat="1" x14ac:dyDescent="0.25">
      <c r="F519" s="38"/>
      <c r="G519" s="1"/>
      <c r="K519" s="1"/>
      <c r="Y519" s="1"/>
      <c r="Z519" s="1"/>
      <c r="AA519" s="1"/>
      <c r="AB519" s="1"/>
      <c r="AC519" s="1"/>
      <c r="AD519" s="1"/>
      <c r="AE519" s="1"/>
      <c r="AF519" s="1"/>
      <c r="AG519" s="1"/>
      <c r="AH519" s="1"/>
      <c r="AI519" s="1"/>
      <c r="AJ519" s="1"/>
      <c r="AK519" s="1"/>
      <c r="AL519" s="1"/>
    </row>
    <row r="520" spans="6:38" s="36" customFormat="1" x14ac:dyDescent="0.25">
      <c r="F520" s="38"/>
      <c r="G520" s="1"/>
      <c r="K520" s="1"/>
      <c r="Y520" s="1"/>
      <c r="Z520" s="1"/>
      <c r="AA520" s="1"/>
      <c r="AB520" s="1"/>
      <c r="AC520" s="1"/>
      <c r="AD520" s="1"/>
      <c r="AE520" s="1"/>
      <c r="AF520" s="1"/>
      <c r="AG520" s="1"/>
      <c r="AH520" s="1"/>
      <c r="AI520" s="1"/>
      <c r="AJ520" s="1"/>
      <c r="AK520" s="1"/>
      <c r="AL520" s="1"/>
    </row>
    <row r="521" spans="6:38" s="36" customFormat="1" x14ac:dyDescent="0.25">
      <c r="F521" s="38"/>
      <c r="G521" s="1"/>
      <c r="K521" s="1"/>
      <c r="Y521" s="1"/>
      <c r="Z521" s="1"/>
      <c r="AA521" s="1"/>
      <c r="AB521" s="1"/>
      <c r="AC521" s="1"/>
      <c r="AD521" s="1"/>
      <c r="AE521" s="1"/>
      <c r="AF521" s="1"/>
      <c r="AG521" s="1"/>
      <c r="AH521" s="1"/>
      <c r="AI521" s="1"/>
      <c r="AJ521" s="1"/>
      <c r="AK521" s="1"/>
      <c r="AL521" s="1"/>
    </row>
    <row r="522" spans="6:38" s="36" customFormat="1" x14ac:dyDescent="0.25">
      <c r="F522" s="38"/>
      <c r="G522" s="1"/>
      <c r="K522" s="1"/>
      <c r="Y522" s="1"/>
      <c r="Z522" s="1"/>
      <c r="AA522" s="1"/>
      <c r="AB522" s="1"/>
      <c r="AC522" s="1"/>
      <c r="AD522" s="1"/>
      <c r="AE522" s="1"/>
      <c r="AF522" s="1"/>
      <c r="AG522" s="1"/>
      <c r="AH522" s="1"/>
      <c r="AI522" s="1"/>
      <c r="AJ522" s="1"/>
      <c r="AK522" s="1"/>
      <c r="AL522" s="1"/>
    </row>
    <row r="523" spans="6:38" s="36" customFormat="1" x14ac:dyDescent="0.25">
      <c r="F523" s="38"/>
      <c r="G523" s="1"/>
      <c r="K523" s="1"/>
      <c r="Y523" s="1"/>
      <c r="Z523" s="1"/>
      <c r="AA523" s="1"/>
      <c r="AB523" s="1"/>
      <c r="AC523" s="1"/>
      <c r="AD523" s="1"/>
      <c r="AE523" s="1"/>
      <c r="AF523" s="1"/>
      <c r="AG523" s="1"/>
      <c r="AH523" s="1"/>
      <c r="AI523" s="1"/>
      <c r="AJ523" s="1"/>
      <c r="AK523" s="1"/>
      <c r="AL523" s="1"/>
    </row>
    <row r="524" spans="6:38" s="36" customFormat="1" x14ac:dyDescent="0.25">
      <c r="F524" s="38"/>
      <c r="G524" s="1"/>
      <c r="K524" s="1"/>
      <c r="Y524" s="1"/>
      <c r="Z524" s="1"/>
      <c r="AA524" s="1"/>
      <c r="AB524" s="1"/>
      <c r="AC524" s="1"/>
      <c r="AD524" s="1"/>
      <c r="AE524" s="1"/>
      <c r="AF524" s="1"/>
      <c r="AG524" s="1"/>
      <c r="AH524" s="1"/>
      <c r="AI524" s="1"/>
      <c r="AJ524" s="1"/>
      <c r="AK524" s="1"/>
      <c r="AL524" s="1"/>
    </row>
    <row r="525" spans="6:38" s="36" customFormat="1" x14ac:dyDescent="0.25">
      <c r="F525" s="38"/>
      <c r="G525" s="1"/>
      <c r="K525" s="1"/>
      <c r="Y525" s="1"/>
      <c r="Z525" s="1"/>
      <c r="AA525" s="1"/>
      <c r="AB525" s="1"/>
      <c r="AC525" s="1"/>
      <c r="AD525" s="1"/>
      <c r="AE525" s="1"/>
      <c r="AF525" s="1"/>
      <c r="AG525" s="1"/>
      <c r="AH525" s="1"/>
      <c r="AI525" s="1"/>
      <c r="AJ525" s="1"/>
      <c r="AK525" s="1"/>
      <c r="AL525" s="1"/>
    </row>
    <row r="526" spans="6:38" s="36" customFormat="1" x14ac:dyDescent="0.25">
      <c r="F526" s="38"/>
      <c r="G526" s="1"/>
      <c r="K526" s="1"/>
      <c r="Y526" s="1"/>
      <c r="Z526" s="1"/>
      <c r="AA526" s="1"/>
      <c r="AB526" s="1"/>
      <c r="AC526" s="1"/>
      <c r="AD526" s="1"/>
      <c r="AE526" s="1"/>
      <c r="AF526" s="1"/>
      <c r="AG526" s="1"/>
      <c r="AH526" s="1"/>
      <c r="AI526" s="1"/>
      <c r="AJ526" s="1"/>
      <c r="AK526" s="1"/>
      <c r="AL526" s="1"/>
    </row>
    <row r="527" spans="6:38" s="36" customFormat="1" x14ac:dyDescent="0.25">
      <c r="F527" s="38"/>
      <c r="G527" s="1"/>
      <c r="K527" s="1"/>
      <c r="Y527" s="1"/>
      <c r="Z527" s="1"/>
      <c r="AA527" s="1"/>
      <c r="AB527" s="1"/>
      <c r="AC527" s="1"/>
      <c r="AD527" s="1"/>
      <c r="AE527" s="1"/>
      <c r="AF527" s="1"/>
      <c r="AG527" s="1"/>
      <c r="AH527" s="1"/>
      <c r="AI527" s="1"/>
      <c r="AJ527" s="1"/>
      <c r="AK527" s="1"/>
      <c r="AL527" s="1"/>
    </row>
    <row r="528" spans="6:38" s="36" customFormat="1" x14ac:dyDescent="0.25">
      <c r="F528" s="38"/>
      <c r="G528" s="1"/>
      <c r="K528" s="1"/>
      <c r="Y528" s="1"/>
      <c r="Z528" s="1"/>
      <c r="AA528" s="1"/>
      <c r="AB528" s="1"/>
      <c r="AC528" s="1"/>
      <c r="AD528" s="1"/>
      <c r="AE528" s="1"/>
      <c r="AF528" s="1"/>
      <c r="AG528" s="1"/>
      <c r="AH528" s="1"/>
      <c r="AI528" s="1"/>
      <c r="AJ528" s="1"/>
      <c r="AK528" s="1"/>
      <c r="AL528" s="1"/>
    </row>
    <row r="529" spans="6:38" s="36" customFormat="1" x14ac:dyDescent="0.25">
      <c r="F529" s="38"/>
      <c r="G529" s="1"/>
      <c r="K529" s="1"/>
      <c r="Y529" s="1"/>
      <c r="Z529" s="1"/>
      <c r="AA529" s="1"/>
      <c r="AB529" s="1"/>
      <c r="AC529" s="1"/>
      <c r="AD529" s="1"/>
      <c r="AE529" s="1"/>
      <c r="AF529" s="1"/>
      <c r="AG529" s="1"/>
      <c r="AH529" s="1"/>
      <c r="AI529" s="1"/>
      <c r="AJ529" s="1"/>
      <c r="AK529" s="1"/>
      <c r="AL529" s="1"/>
    </row>
    <row r="530" spans="6:38" s="36" customFormat="1" x14ac:dyDescent="0.25">
      <c r="F530" s="38"/>
      <c r="G530" s="1"/>
      <c r="K530" s="1"/>
      <c r="Y530" s="1"/>
      <c r="Z530" s="1"/>
      <c r="AA530" s="1"/>
      <c r="AB530" s="1"/>
      <c r="AC530" s="1"/>
      <c r="AD530" s="1"/>
      <c r="AE530" s="1"/>
      <c r="AF530" s="1"/>
      <c r="AG530" s="1"/>
      <c r="AH530" s="1"/>
      <c r="AI530" s="1"/>
      <c r="AJ530" s="1"/>
      <c r="AK530" s="1"/>
      <c r="AL530" s="1"/>
    </row>
    <row r="531" spans="6:38" s="36" customFormat="1" x14ac:dyDescent="0.25">
      <c r="F531" s="38"/>
      <c r="G531" s="1"/>
      <c r="K531" s="1"/>
      <c r="Y531" s="1"/>
      <c r="Z531" s="1"/>
      <c r="AA531" s="1"/>
      <c r="AB531" s="1"/>
      <c r="AC531" s="1"/>
      <c r="AD531" s="1"/>
      <c r="AE531" s="1"/>
      <c r="AF531" s="1"/>
      <c r="AG531" s="1"/>
      <c r="AH531" s="1"/>
      <c r="AI531" s="1"/>
      <c r="AJ531" s="1"/>
      <c r="AK531" s="1"/>
      <c r="AL531" s="1"/>
    </row>
    <row r="532" spans="6:38" s="36" customFormat="1" x14ac:dyDescent="0.25">
      <c r="F532" s="38"/>
      <c r="G532" s="1"/>
      <c r="K532" s="1"/>
      <c r="Y532" s="1"/>
      <c r="Z532" s="1"/>
      <c r="AA532" s="1"/>
      <c r="AB532" s="1"/>
      <c r="AC532" s="1"/>
      <c r="AD532" s="1"/>
      <c r="AE532" s="1"/>
      <c r="AF532" s="1"/>
      <c r="AG532" s="1"/>
      <c r="AH532" s="1"/>
      <c r="AI532" s="1"/>
      <c r="AJ532" s="1"/>
      <c r="AK532" s="1"/>
      <c r="AL532" s="1"/>
    </row>
    <row r="533" spans="6:38" s="36" customFormat="1" x14ac:dyDescent="0.25">
      <c r="F533" s="38"/>
      <c r="G533" s="1"/>
      <c r="K533" s="1"/>
      <c r="Y533" s="1"/>
      <c r="Z533" s="1"/>
      <c r="AA533" s="1"/>
      <c r="AB533" s="1"/>
      <c r="AC533" s="1"/>
      <c r="AD533" s="1"/>
      <c r="AE533" s="1"/>
      <c r="AF533" s="1"/>
      <c r="AG533" s="1"/>
      <c r="AH533" s="1"/>
      <c r="AI533" s="1"/>
      <c r="AJ533" s="1"/>
      <c r="AK533" s="1"/>
      <c r="AL533" s="1"/>
    </row>
    <row r="534" spans="6:38" s="36" customFormat="1" x14ac:dyDescent="0.25">
      <c r="F534" s="38"/>
      <c r="G534" s="1"/>
      <c r="K534" s="1"/>
      <c r="Y534" s="1"/>
      <c r="Z534" s="1"/>
      <c r="AA534" s="1"/>
      <c r="AB534" s="1"/>
      <c r="AC534" s="1"/>
      <c r="AD534" s="1"/>
      <c r="AE534" s="1"/>
      <c r="AF534" s="1"/>
      <c r="AG534" s="1"/>
      <c r="AH534" s="1"/>
      <c r="AI534" s="1"/>
      <c r="AJ534" s="1"/>
      <c r="AK534" s="1"/>
      <c r="AL534" s="1"/>
    </row>
    <row r="535" spans="6:38" s="36" customFormat="1" x14ac:dyDescent="0.25">
      <c r="F535" s="38"/>
      <c r="G535" s="1"/>
      <c r="K535" s="1"/>
      <c r="Y535" s="1"/>
      <c r="Z535" s="1"/>
      <c r="AA535" s="1"/>
      <c r="AB535" s="1"/>
      <c r="AC535" s="1"/>
      <c r="AD535" s="1"/>
      <c r="AE535" s="1"/>
      <c r="AF535" s="1"/>
      <c r="AG535" s="1"/>
      <c r="AH535" s="1"/>
      <c r="AI535" s="1"/>
      <c r="AJ535" s="1"/>
      <c r="AK535" s="1"/>
      <c r="AL535" s="1"/>
    </row>
    <row r="536" spans="6:38" s="36" customFormat="1" x14ac:dyDescent="0.25">
      <c r="F536" s="38"/>
      <c r="G536" s="1"/>
      <c r="K536" s="1"/>
      <c r="Y536" s="1"/>
      <c r="Z536" s="1"/>
      <c r="AA536" s="1"/>
      <c r="AB536" s="1"/>
      <c r="AC536" s="1"/>
      <c r="AD536" s="1"/>
      <c r="AE536" s="1"/>
      <c r="AF536" s="1"/>
      <c r="AG536" s="1"/>
      <c r="AH536" s="1"/>
      <c r="AI536" s="1"/>
      <c r="AJ536" s="1"/>
      <c r="AK536" s="1"/>
      <c r="AL536" s="1"/>
    </row>
    <row r="537" spans="6:38" s="36" customFormat="1" x14ac:dyDescent="0.25">
      <c r="F537" s="38"/>
      <c r="G537" s="1"/>
      <c r="K537" s="1"/>
      <c r="Y537" s="1"/>
      <c r="Z537" s="1"/>
      <c r="AA537" s="1"/>
      <c r="AB537" s="1"/>
      <c r="AC537" s="1"/>
      <c r="AD537" s="1"/>
      <c r="AE537" s="1"/>
      <c r="AF537" s="1"/>
      <c r="AG537" s="1"/>
      <c r="AH537" s="1"/>
      <c r="AI537" s="1"/>
      <c r="AJ537" s="1"/>
      <c r="AK537" s="1"/>
      <c r="AL537" s="1"/>
    </row>
    <row r="538" spans="6:38" s="36" customFormat="1" x14ac:dyDescent="0.25">
      <c r="F538" s="38"/>
      <c r="G538" s="1"/>
      <c r="K538" s="1"/>
      <c r="Y538" s="1"/>
      <c r="Z538" s="1"/>
      <c r="AA538" s="1"/>
      <c r="AB538" s="1"/>
      <c r="AC538" s="1"/>
      <c r="AD538" s="1"/>
      <c r="AE538" s="1"/>
      <c r="AF538" s="1"/>
      <c r="AG538" s="1"/>
      <c r="AH538" s="1"/>
      <c r="AI538" s="1"/>
      <c r="AJ538" s="1"/>
      <c r="AK538" s="1"/>
      <c r="AL538" s="1"/>
    </row>
    <row r="539" spans="6:38" s="36" customFormat="1" x14ac:dyDescent="0.25">
      <c r="F539" s="38"/>
      <c r="G539" s="1"/>
      <c r="K539" s="1"/>
      <c r="Y539" s="1"/>
      <c r="Z539" s="1"/>
      <c r="AA539" s="1"/>
      <c r="AB539" s="1"/>
      <c r="AC539" s="1"/>
      <c r="AD539" s="1"/>
      <c r="AE539" s="1"/>
      <c r="AF539" s="1"/>
      <c r="AG539" s="1"/>
      <c r="AH539" s="1"/>
      <c r="AI539" s="1"/>
      <c r="AJ539" s="1"/>
      <c r="AK539" s="1"/>
      <c r="AL539" s="1"/>
    </row>
    <row r="540" spans="6:38" s="36" customFormat="1" x14ac:dyDescent="0.25">
      <c r="F540" s="38"/>
      <c r="G540" s="1"/>
      <c r="K540" s="1"/>
      <c r="Y540" s="1"/>
      <c r="Z540" s="1"/>
      <c r="AA540" s="1"/>
      <c r="AB540" s="1"/>
      <c r="AC540" s="1"/>
      <c r="AD540" s="1"/>
      <c r="AE540" s="1"/>
      <c r="AF540" s="1"/>
      <c r="AG540" s="1"/>
      <c r="AH540" s="1"/>
      <c r="AI540" s="1"/>
      <c r="AJ540" s="1"/>
      <c r="AK540" s="1"/>
      <c r="AL540" s="1"/>
    </row>
    <row r="541" spans="6:38" s="36" customFormat="1" x14ac:dyDescent="0.25">
      <c r="F541" s="38"/>
      <c r="G541" s="1"/>
      <c r="K541" s="1"/>
      <c r="Y541" s="1"/>
      <c r="Z541" s="1"/>
      <c r="AA541" s="1"/>
      <c r="AB541" s="1"/>
      <c r="AC541" s="1"/>
      <c r="AD541" s="1"/>
      <c r="AE541" s="1"/>
      <c r="AF541" s="1"/>
      <c r="AG541" s="1"/>
      <c r="AH541" s="1"/>
      <c r="AI541" s="1"/>
      <c r="AJ541" s="1"/>
      <c r="AK541" s="1"/>
      <c r="AL541" s="1"/>
    </row>
    <row r="542" spans="6:38" s="36" customFormat="1" x14ac:dyDescent="0.25">
      <c r="F542" s="38"/>
      <c r="G542" s="1"/>
      <c r="K542" s="1"/>
      <c r="Y542" s="1"/>
      <c r="Z542" s="1"/>
      <c r="AA542" s="1"/>
      <c r="AB542" s="1"/>
      <c r="AC542" s="1"/>
      <c r="AD542" s="1"/>
      <c r="AE542" s="1"/>
      <c r="AF542" s="1"/>
      <c r="AG542" s="1"/>
      <c r="AH542" s="1"/>
      <c r="AI542" s="1"/>
      <c r="AJ542" s="1"/>
      <c r="AK542" s="1"/>
      <c r="AL542" s="1"/>
    </row>
    <row r="543" spans="6:38" s="36" customFormat="1" x14ac:dyDescent="0.25">
      <c r="F543" s="38"/>
      <c r="G543" s="1"/>
      <c r="K543" s="1"/>
      <c r="Y543" s="1"/>
      <c r="Z543" s="1"/>
      <c r="AA543" s="1"/>
      <c r="AB543" s="1"/>
      <c r="AC543" s="1"/>
      <c r="AD543" s="1"/>
      <c r="AE543" s="1"/>
      <c r="AF543" s="1"/>
      <c r="AG543" s="1"/>
      <c r="AH543" s="1"/>
      <c r="AI543" s="1"/>
      <c r="AJ543" s="1"/>
      <c r="AK543" s="1"/>
      <c r="AL543" s="1"/>
    </row>
    <row r="544" spans="6:38" s="36" customFormat="1" x14ac:dyDescent="0.25">
      <c r="F544" s="38"/>
      <c r="G544" s="1"/>
      <c r="K544" s="1"/>
      <c r="Y544" s="1"/>
      <c r="Z544" s="1"/>
      <c r="AA544" s="1"/>
      <c r="AB544" s="1"/>
      <c r="AC544" s="1"/>
      <c r="AD544" s="1"/>
      <c r="AE544" s="1"/>
      <c r="AF544" s="1"/>
      <c r="AG544" s="1"/>
      <c r="AH544" s="1"/>
      <c r="AI544" s="1"/>
      <c r="AJ544" s="1"/>
      <c r="AK544" s="1"/>
      <c r="AL544" s="1"/>
    </row>
    <row r="545" spans="6:38" s="36" customFormat="1" x14ac:dyDescent="0.25">
      <c r="F545" s="38"/>
      <c r="G545" s="1"/>
      <c r="K545" s="1"/>
      <c r="Y545" s="1"/>
      <c r="Z545" s="1"/>
      <c r="AA545" s="1"/>
      <c r="AB545" s="1"/>
      <c r="AC545" s="1"/>
      <c r="AD545" s="1"/>
      <c r="AE545" s="1"/>
      <c r="AF545" s="1"/>
      <c r="AG545" s="1"/>
      <c r="AH545" s="1"/>
      <c r="AI545" s="1"/>
      <c r="AJ545" s="1"/>
      <c r="AK545" s="1"/>
      <c r="AL545" s="1"/>
    </row>
    <row r="546" spans="6:38" s="36" customFormat="1" x14ac:dyDescent="0.25">
      <c r="F546" s="38"/>
      <c r="G546" s="1"/>
      <c r="K546" s="1"/>
      <c r="Y546" s="1"/>
      <c r="Z546" s="1"/>
      <c r="AA546" s="1"/>
      <c r="AB546" s="1"/>
      <c r="AC546" s="1"/>
      <c r="AD546" s="1"/>
      <c r="AE546" s="1"/>
      <c r="AF546" s="1"/>
      <c r="AG546" s="1"/>
      <c r="AH546" s="1"/>
      <c r="AI546" s="1"/>
      <c r="AJ546" s="1"/>
      <c r="AK546" s="1"/>
      <c r="AL546" s="1"/>
    </row>
    <row r="547" spans="6:38" s="36" customFormat="1" x14ac:dyDescent="0.25">
      <c r="F547" s="38"/>
      <c r="G547" s="1"/>
      <c r="K547" s="1"/>
      <c r="Y547" s="1"/>
      <c r="Z547" s="1"/>
      <c r="AA547" s="1"/>
      <c r="AB547" s="1"/>
      <c r="AC547" s="1"/>
      <c r="AD547" s="1"/>
      <c r="AE547" s="1"/>
      <c r="AF547" s="1"/>
      <c r="AG547" s="1"/>
      <c r="AH547" s="1"/>
      <c r="AI547" s="1"/>
      <c r="AJ547" s="1"/>
      <c r="AK547" s="1"/>
      <c r="AL547" s="1"/>
    </row>
    <row r="548" spans="6:38" s="36" customFormat="1" x14ac:dyDescent="0.25">
      <c r="F548" s="38"/>
      <c r="G548" s="1"/>
      <c r="K548" s="1"/>
      <c r="Y548" s="1"/>
      <c r="Z548" s="1"/>
      <c r="AA548" s="1"/>
      <c r="AB548" s="1"/>
      <c r="AC548" s="1"/>
      <c r="AD548" s="1"/>
      <c r="AE548" s="1"/>
      <c r="AF548" s="1"/>
      <c r="AG548" s="1"/>
      <c r="AH548" s="1"/>
      <c r="AI548" s="1"/>
      <c r="AJ548" s="1"/>
      <c r="AK548" s="1"/>
      <c r="AL548" s="1"/>
    </row>
    <row r="549" spans="6:38" s="36" customFormat="1" x14ac:dyDescent="0.25">
      <c r="F549" s="38"/>
      <c r="G549" s="1"/>
      <c r="K549" s="1"/>
      <c r="Y549" s="1"/>
      <c r="Z549" s="1"/>
      <c r="AA549" s="1"/>
      <c r="AB549" s="1"/>
      <c r="AC549" s="1"/>
      <c r="AD549" s="1"/>
      <c r="AE549" s="1"/>
      <c r="AF549" s="1"/>
      <c r="AG549" s="1"/>
      <c r="AH549" s="1"/>
      <c r="AI549" s="1"/>
      <c r="AJ549" s="1"/>
      <c r="AK549" s="1"/>
      <c r="AL549" s="1"/>
    </row>
    <row r="550" spans="6:38" s="36" customFormat="1" x14ac:dyDescent="0.25">
      <c r="F550" s="38"/>
      <c r="G550" s="1"/>
      <c r="K550" s="1"/>
      <c r="Y550" s="1"/>
      <c r="Z550" s="1"/>
      <c r="AA550" s="1"/>
      <c r="AB550" s="1"/>
      <c r="AC550" s="1"/>
      <c r="AD550" s="1"/>
      <c r="AE550" s="1"/>
      <c r="AF550" s="1"/>
      <c r="AG550" s="1"/>
      <c r="AH550" s="1"/>
      <c r="AI550" s="1"/>
      <c r="AJ550" s="1"/>
      <c r="AK550" s="1"/>
      <c r="AL550" s="1"/>
    </row>
    <row r="551" spans="6:38" s="36" customFormat="1" x14ac:dyDescent="0.25">
      <c r="F551" s="38"/>
      <c r="G551" s="1"/>
      <c r="K551" s="1"/>
      <c r="Y551" s="1"/>
      <c r="Z551" s="1"/>
      <c r="AA551" s="1"/>
      <c r="AB551" s="1"/>
      <c r="AC551" s="1"/>
      <c r="AD551" s="1"/>
      <c r="AE551" s="1"/>
      <c r="AF551" s="1"/>
      <c r="AG551" s="1"/>
      <c r="AH551" s="1"/>
      <c r="AI551" s="1"/>
      <c r="AJ551" s="1"/>
      <c r="AK551" s="1"/>
      <c r="AL551" s="1"/>
    </row>
    <row r="552" spans="6:38" s="36" customFormat="1" x14ac:dyDescent="0.25">
      <c r="F552" s="38"/>
      <c r="G552" s="1"/>
      <c r="K552" s="1"/>
      <c r="Y552" s="1"/>
      <c r="Z552" s="1"/>
      <c r="AA552" s="1"/>
      <c r="AB552" s="1"/>
      <c r="AC552" s="1"/>
      <c r="AD552" s="1"/>
      <c r="AE552" s="1"/>
      <c r="AF552" s="1"/>
      <c r="AG552" s="1"/>
      <c r="AH552" s="1"/>
      <c r="AI552" s="1"/>
      <c r="AJ552" s="1"/>
      <c r="AK552" s="1"/>
      <c r="AL552" s="1"/>
    </row>
    <row r="553" spans="6:38" s="36" customFormat="1" x14ac:dyDescent="0.25">
      <c r="F553" s="38"/>
      <c r="G553" s="1"/>
      <c r="K553" s="1"/>
      <c r="Y553" s="1"/>
      <c r="Z553" s="1"/>
      <c r="AA553" s="1"/>
      <c r="AB553" s="1"/>
      <c r="AC553" s="1"/>
      <c r="AD553" s="1"/>
      <c r="AE553" s="1"/>
      <c r="AF553" s="1"/>
      <c r="AG553" s="1"/>
      <c r="AH553" s="1"/>
      <c r="AI553" s="1"/>
      <c r="AJ553" s="1"/>
      <c r="AK553" s="1"/>
      <c r="AL553" s="1"/>
    </row>
    <row r="554" spans="6:38" s="36" customFormat="1" x14ac:dyDescent="0.25">
      <c r="F554" s="38"/>
      <c r="G554" s="1"/>
      <c r="K554" s="1"/>
      <c r="Y554" s="1"/>
      <c r="Z554" s="1"/>
      <c r="AA554" s="1"/>
      <c r="AB554" s="1"/>
      <c r="AC554" s="1"/>
      <c r="AD554" s="1"/>
      <c r="AE554" s="1"/>
      <c r="AF554" s="1"/>
      <c r="AG554" s="1"/>
      <c r="AH554" s="1"/>
      <c r="AI554" s="1"/>
      <c r="AJ554" s="1"/>
      <c r="AK554" s="1"/>
      <c r="AL554" s="1"/>
    </row>
    <row r="555" spans="6:38" s="36" customFormat="1" x14ac:dyDescent="0.25">
      <c r="F555" s="38"/>
      <c r="G555" s="1"/>
      <c r="K555" s="1"/>
      <c r="Y555" s="1"/>
      <c r="Z555" s="1"/>
      <c r="AA555" s="1"/>
      <c r="AB555" s="1"/>
      <c r="AC555" s="1"/>
      <c r="AD555" s="1"/>
      <c r="AE555" s="1"/>
      <c r="AF555" s="1"/>
      <c r="AG555" s="1"/>
      <c r="AH555" s="1"/>
      <c r="AI555" s="1"/>
      <c r="AJ555" s="1"/>
      <c r="AK555" s="1"/>
      <c r="AL555" s="1"/>
    </row>
    <row r="556" spans="6:38" s="36" customFormat="1" x14ac:dyDescent="0.25">
      <c r="F556" s="38"/>
      <c r="G556" s="1"/>
      <c r="K556" s="1"/>
      <c r="Y556" s="1"/>
      <c r="Z556" s="1"/>
      <c r="AA556" s="1"/>
      <c r="AB556" s="1"/>
      <c r="AC556" s="1"/>
      <c r="AD556" s="1"/>
      <c r="AE556" s="1"/>
      <c r="AF556" s="1"/>
      <c r="AG556" s="1"/>
      <c r="AH556" s="1"/>
      <c r="AI556" s="1"/>
      <c r="AJ556" s="1"/>
      <c r="AK556" s="1"/>
      <c r="AL556" s="1"/>
    </row>
    <row r="557" spans="6:38" s="36" customFormat="1" x14ac:dyDescent="0.25">
      <c r="F557" s="38"/>
      <c r="G557" s="1"/>
      <c r="K557" s="1"/>
      <c r="Y557" s="1"/>
      <c r="Z557" s="1"/>
      <c r="AA557" s="1"/>
      <c r="AB557" s="1"/>
      <c r="AC557" s="1"/>
      <c r="AD557" s="1"/>
      <c r="AE557" s="1"/>
      <c r="AF557" s="1"/>
      <c r="AG557" s="1"/>
      <c r="AH557" s="1"/>
      <c r="AI557" s="1"/>
      <c r="AJ557" s="1"/>
      <c r="AK557" s="1"/>
      <c r="AL557" s="1"/>
    </row>
    <row r="558" spans="6:38" s="36" customFormat="1" x14ac:dyDescent="0.25">
      <c r="F558" s="38"/>
      <c r="G558" s="1"/>
      <c r="K558" s="1"/>
      <c r="Y558" s="1"/>
      <c r="Z558" s="1"/>
      <c r="AA558" s="1"/>
      <c r="AB558" s="1"/>
      <c r="AC558" s="1"/>
      <c r="AD558" s="1"/>
      <c r="AE558" s="1"/>
      <c r="AF558" s="1"/>
      <c r="AG558" s="1"/>
      <c r="AH558" s="1"/>
      <c r="AI558" s="1"/>
      <c r="AJ558" s="1"/>
      <c r="AK558" s="1"/>
      <c r="AL558" s="1"/>
    </row>
    <row r="559" spans="6:38" s="36" customFormat="1" x14ac:dyDescent="0.25">
      <c r="F559" s="38"/>
      <c r="G559" s="1"/>
      <c r="K559" s="1"/>
      <c r="Y559" s="1"/>
      <c r="Z559" s="1"/>
      <c r="AA559" s="1"/>
      <c r="AB559" s="1"/>
      <c r="AC559" s="1"/>
      <c r="AD559" s="1"/>
      <c r="AE559" s="1"/>
      <c r="AF559" s="1"/>
      <c r="AG559" s="1"/>
      <c r="AH559" s="1"/>
      <c r="AI559" s="1"/>
      <c r="AJ559" s="1"/>
      <c r="AK559" s="1"/>
      <c r="AL559" s="1"/>
    </row>
    <row r="560" spans="6:38" s="36" customFormat="1" x14ac:dyDescent="0.25">
      <c r="F560" s="38"/>
      <c r="G560" s="1"/>
      <c r="K560" s="1"/>
      <c r="Y560" s="1"/>
      <c r="Z560" s="1"/>
      <c r="AA560" s="1"/>
      <c r="AB560" s="1"/>
      <c r="AC560" s="1"/>
      <c r="AD560" s="1"/>
      <c r="AE560" s="1"/>
      <c r="AF560" s="1"/>
      <c r="AG560" s="1"/>
      <c r="AH560" s="1"/>
      <c r="AI560" s="1"/>
      <c r="AJ560" s="1"/>
      <c r="AK560" s="1"/>
      <c r="AL560" s="1"/>
    </row>
    <row r="561" spans="6:38" s="36" customFormat="1" x14ac:dyDescent="0.25">
      <c r="F561" s="38"/>
      <c r="G561" s="1"/>
      <c r="K561" s="1"/>
      <c r="Y561" s="1"/>
      <c r="Z561" s="1"/>
      <c r="AA561" s="1"/>
      <c r="AB561" s="1"/>
      <c r="AC561" s="1"/>
      <c r="AD561" s="1"/>
      <c r="AE561" s="1"/>
      <c r="AF561" s="1"/>
      <c r="AG561" s="1"/>
      <c r="AH561" s="1"/>
      <c r="AI561" s="1"/>
      <c r="AJ561" s="1"/>
      <c r="AK561" s="1"/>
      <c r="AL561" s="1"/>
    </row>
    <row r="562" spans="6:38" s="36" customFormat="1" x14ac:dyDescent="0.25">
      <c r="F562" s="38"/>
      <c r="G562" s="1"/>
      <c r="K562" s="1"/>
      <c r="Y562" s="1"/>
      <c r="Z562" s="1"/>
      <c r="AA562" s="1"/>
      <c r="AB562" s="1"/>
      <c r="AC562" s="1"/>
      <c r="AD562" s="1"/>
      <c r="AE562" s="1"/>
      <c r="AF562" s="1"/>
      <c r="AG562" s="1"/>
      <c r="AH562" s="1"/>
      <c r="AI562" s="1"/>
      <c r="AJ562" s="1"/>
      <c r="AK562" s="1"/>
      <c r="AL562" s="1"/>
    </row>
    <row r="563" spans="6:38" s="36" customFormat="1" x14ac:dyDescent="0.25">
      <c r="F563" s="38"/>
      <c r="G563" s="1"/>
      <c r="K563" s="1"/>
      <c r="Y563" s="1"/>
      <c r="Z563" s="1"/>
      <c r="AA563" s="1"/>
      <c r="AB563" s="1"/>
      <c r="AC563" s="1"/>
      <c r="AD563" s="1"/>
      <c r="AE563" s="1"/>
      <c r="AF563" s="1"/>
      <c r="AG563" s="1"/>
      <c r="AH563" s="1"/>
      <c r="AI563" s="1"/>
      <c r="AJ563" s="1"/>
      <c r="AK563" s="1"/>
      <c r="AL563" s="1"/>
    </row>
    <row r="564" spans="6:38" s="36" customFormat="1" x14ac:dyDescent="0.25">
      <c r="F564" s="38"/>
      <c r="G564" s="1"/>
      <c r="K564" s="1"/>
      <c r="Y564" s="1"/>
      <c r="Z564" s="1"/>
      <c r="AA564" s="1"/>
      <c r="AB564" s="1"/>
      <c r="AC564" s="1"/>
      <c r="AD564" s="1"/>
      <c r="AE564" s="1"/>
      <c r="AF564" s="1"/>
      <c r="AG564" s="1"/>
      <c r="AH564" s="1"/>
      <c r="AI564" s="1"/>
      <c r="AJ564" s="1"/>
      <c r="AK564" s="1"/>
      <c r="AL564" s="1"/>
    </row>
    <row r="565" spans="6:38" s="36" customFormat="1" x14ac:dyDescent="0.25">
      <c r="F565" s="38"/>
      <c r="G565" s="1"/>
      <c r="K565" s="1"/>
      <c r="Y565" s="1"/>
      <c r="Z565" s="1"/>
      <c r="AA565" s="1"/>
      <c r="AB565" s="1"/>
      <c r="AC565" s="1"/>
      <c r="AD565" s="1"/>
      <c r="AE565" s="1"/>
      <c r="AF565" s="1"/>
      <c r="AG565" s="1"/>
      <c r="AH565" s="1"/>
      <c r="AI565" s="1"/>
      <c r="AJ565" s="1"/>
      <c r="AK565" s="1"/>
      <c r="AL565" s="1"/>
    </row>
    <row r="566" spans="6:38" s="36" customFormat="1" x14ac:dyDescent="0.25">
      <c r="F566" s="38"/>
      <c r="G566" s="1"/>
      <c r="K566" s="1"/>
      <c r="Y566" s="1"/>
      <c r="Z566" s="1"/>
      <c r="AA566" s="1"/>
      <c r="AB566" s="1"/>
      <c r="AC566" s="1"/>
      <c r="AD566" s="1"/>
      <c r="AE566" s="1"/>
      <c r="AF566" s="1"/>
      <c r="AG566" s="1"/>
      <c r="AH566" s="1"/>
      <c r="AI566" s="1"/>
      <c r="AJ566" s="1"/>
      <c r="AK566" s="1"/>
      <c r="AL566" s="1"/>
    </row>
    <row r="567" spans="6:38" s="36" customFormat="1" x14ac:dyDescent="0.25">
      <c r="F567" s="38"/>
      <c r="G567" s="1"/>
      <c r="K567" s="1"/>
      <c r="Y567" s="1"/>
      <c r="Z567" s="1"/>
      <c r="AA567" s="1"/>
      <c r="AB567" s="1"/>
      <c r="AC567" s="1"/>
      <c r="AD567" s="1"/>
      <c r="AE567" s="1"/>
      <c r="AF567" s="1"/>
      <c r="AG567" s="1"/>
      <c r="AH567" s="1"/>
      <c r="AI567" s="1"/>
      <c r="AJ567" s="1"/>
      <c r="AK567" s="1"/>
      <c r="AL567" s="1"/>
    </row>
    <row r="568" spans="6:38" s="36" customFormat="1" x14ac:dyDescent="0.25">
      <c r="F568" s="38"/>
      <c r="G568" s="1"/>
      <c r="K568" s="1"/>
      <c r="Y568" s="1"/>
      <c r="Z568" s="1"/>
      <c r="AA568" s="1"/>
      <c r="AB568" s="1"/>
      <c r="AC568" s="1"/>
      <c r="AD568" s="1"/>
      <c r="AE568" s="1"/>
      <c r="AF568" s="1"/>
      <c r="AG568" s="1"/>
      <c r="AH568" s="1"/>
      <c r="AI568" s="1"/>
      <c r="AJ568" s="1"/>
      <c r="AK568" s="1"/>
      <c r="AL568" s="1"/>
    </row>
    <row r="569" spans="6:38" s="36" customFormat="1" x14ac:dyDescent="0.25">
      <c r="F569" s="38"/>
      <c r="G569" s="1"/>
      <c r="K569" s="1"/>
      <c r="Y569" s="1"/>
      <c r="Z569" s="1"/>
      <c r="AA569" s="1"/>
      <c r="AB569" s="1"/>
      <c r="AC569" s="1"/>
      <c r="AD569" s="1"/>
      <c r="AE569" s="1"/>
      <c r="AF569" s="1"/>
      <c r="AG569" s="1"/>
      <c r="AH569" s="1"/>
      <c r="AI569" s="1"/>
      <c r="AJ569" s="1"/>
      <c r="AK569" s="1"/>
      <c r="AL569" s="1"/>
    </row>
    <row r="570" spans="6:38" s="36" customFormat="1" x14ac:dyDescent="0.25">
      <c r="F570" s="38"/>
      <c r="G570" s="1"/>
      <c r="K570" s="1"/>
      <c r="Y570" s="1"/>
      <c r="Z570" s="1"/>
      <c r="AA570" s="1"/>
      <c r="AB570" s="1"/>
      <c r="AC570" s="1"/>
      <c r="AD570" s="1"/>
      <c r="AE570" s="1"/>
      <c r="AF570" s="1"/>
      <c r="AG570" s="1"/>
      <c r="AH570" s="1"/>
      <c r="AI570" s="1"/>
      <c r="AJ570" s="1"/>
      <c r="AK570" s="1"/>
      <c r="AL570" s="1"/>
    </row>
    <row r="571" spans="6:38" s="36" customFormat="1" x14ac:dyDescent="0.25">
      <c r="F571" s="38"/>
      <c r="G571" s="1"/>
      <c r="K571" s="1"/>
      <c r="Y571" s="1"/>
      <c r="Z571" s="1"/>
      <c r="AA571" s="1"/>
      <c r="AB571" s="1"/>
      <c r="AC571" s="1"/>
      <c r="AD571" s="1"/>
      <c r="AE571" s="1"/>
      <c r="AF571" s="1"/>
      <c r="AG571" s="1"/>
      <c r="AH571" s="1"/>
      <c r="AI571" s="1"/>
      <c r="AJ571" s="1"/>
      <c r="AK571" s="1"/>
      <c r="AL571" s="1"/>
    </row>
    <row r="572" spans="6:38" s="36" customFormat="1" x14ac:dyDescent="0.25">
      <c r="F572" s="38"/>
      <c r="G572" s="1"/>
      <c r="K572" s="1"/>
      <c r="Y572" s="1"/>
      <c r="Z572" s="1"/>
      <c r="AA572" s="1"/>
      <c r="AB572" s="1"/>
      <c r="AC572" s="1"/>
      <c r="AD572" s="1"/>
      <c r="AE572" s="1"/>
      <c r="AF572" s="1"/>
      <c r="AG572" s="1"/>
      <c r="AH572" s="1"/>
      <c r="AI572" s="1"/>
      <c r="AJ572" s="1"/>
      <c r="AK572" s="1"/>
      <c r="AL572" s="1"/>
    </row>
    <row r="573" spans="6:38" s="36" customFormat="1" x14ac:dyDescent="0.25">
      <c r="F573" s="38"/>
      <c r="G573" s="1"/>
      <c r="K573" s="1"/>
      <c r="Y573" s="1"/>
      <c r="Z573" s="1"/>
      <c r="AA573" s="1"/>
      <c r="AB573" s="1"/>
      <c r="AC573" s="1"/>
      <c r="AD573" s="1"/>
      <c r="AE573" s="1"/>
      <c r="AF573" s="1"/>
      <c r="AG573" s="1"/>
      <c r="AH573" s="1"/>
      <c r="AI573" s="1"/>
      <c r="AJ573" s="1"/>
      <c r="AK573" s="1"/>
      <c r="AL573" s="1"/>
    </row>
    <row r="574" spans="6:38" s="36" customFormat="1" x14ac:dyDescent="0.25">
      <c r="F574" s="38"/>
      <c r="G574" s="1"/>
      <c r="K574" s="1"/>
      <c r="Y574" s="1"/>
      <c r="Z574" s="1"/>
      <c r="AA574" s="1"/>
      <c r="AB574" s="1"/>
      <c r="AC574" s="1"/>
      <c r="AD574" s="1"/>
      <c r="AE574" s="1"/>
      <c r="AF574" s="1"/>
      <c r="AG574" s="1"/>
      <c r="AH574" s="1"/>
      <c r="AI574" s="1"/>
      <c r="AJ574" s="1"/>
      <c r="AK574" s="1"/>
      <c r="AL574" s="1"/>
    </row>
    <row r="575" spans="6:38" s="36" customFormat="1" x14ac:dyDescent="0.25">
      <c r="F575" s="38"/>
      <c r="G575" s="1"/>
      <c r="K575" s="1"/>
      <c r="Y575" s="1"/>
      <c r="Z575" s="1"/>
      <c r="AA575" s="1"/>
      <c r="AB575" s="1"/>
      <c r="AC575" s="1"/>
      <c r="AD575" s="1"/>
      <c r="AE575" s="1"/>
      <c r="AF575" s="1"/>
      <c r="AG575" s="1"/>
      <c r="AH575" s="1"/>
      <c r="AI575" s="1"/>
      <c r="AJ575" s="1"/>
      <c r="AK575" s="1"/>
      <c r="AL575" s="1"/>
    </row>
    <row r="576" spans="6:38" s="36" customFormat="1" x14ac:dyDescent="0.25">
      <c r="F576" s="38"/>
      <c r="G576" s="1"/>
      <c r="K576" s="1"/>
      <c r="Y576" s="1"/>
      <c r="Z576" s="1"/>
      <c r="AA576" s="1"/>
      <c r="AB576" s="1"/>
      <c r="AC576" s="1"/>
      <c r="AD576" s="1"/>
      <c r="AE576" s="1"/>
      <c r="AF576" s="1"/>
      <c r="AG576" s="1"/>
      <c r="AH576" s="1"/>
      <c r="AI576" s="1"/>
      <c r="AJ576" s="1"/>
      <c r="AK576" s="1"/>
      <c r="AL576" s="1"/>
    </row>
    <row r="577" spans="6:38" s="36" customFormat="1" x14ac:dyDescent="0.25">
      <c r="F577" s="38"/>
      <c r="G577" s="1"/>
      <c r="K577" s="1"/>
      <c r="Y577" s="1"/>
      <c r="Z577" s="1"/>
      <c r="AA577" s="1"/>
      <c r="AB577" s="1"/>
      <c r="AC577" s="1"/>
      <c r="AD577" s="1"/>
      <c r="AE577" s="1"/>
      <c r="AF577" s="1"/>
      <c r="AG577" s="1"/>
      <c r="AH577" s="1"/>
      <c r="AI577" s="1"/>
      <c r="AJ577" s="1"/>
      <c r="AK577" s="1"/>
      <c r="AL577" s="1"/>
    </row>
    <row r="578" spans="6:38" s="36" customFormat="1" x14ac:dyDescent="0.25">
      <c r="F578" s="38"/>
      <c r="G578" s="1"/>
      <c r="K578" s="1"/>
      <c r="Y578" s="1"/>
      <c r="Z578" s="1"/>
      <c r="AA578" s="1"/>
      <c r="AB578" s="1"/>
      <c r="AC578" s="1"/>
      <c r="AD578" s="1"/>
      <c r="AE578" s="1"/>
      <c r="AF578" s="1"/>
      <c r="AG578" s="1"/>
      <c r="AH578" s="1"/>
      <c r="AI578" s="1"/>
      <c r="AJ578" s="1"/>
      <c r="AK578" s="1"/>
      <c r="AL578" s="1"/>
    </row>
    <row r="579" spans="6:38" s="36" customFormat="1" x14ac:dyDescent="0.25">
      <c r="F579" s="38"/>
      <c r="G579" s="1"/>
      <c r="K579" s="1"/>
      <c r="Y579" s="1"/>
      <c r="Z579" s="1"/>
      <c r="AA579" s="1"/>
      <c r="AB579" s="1"/>
      <c r="AC579" s="1"/>
      <c r="AD579" s="1"/>
      <c r="AE579" s="1"/>
      <c r="AF579" s="1"/>
      <c r="AG579" s="1"/>
      <c r="AH579" s="1"/>
      <c r="AI579" s="1"/>
      <c r="AJ579" s="1"/>
      <c r="AK579" s="1"/>
      <c r="AL579" s="1"/>
    </row>
    <row r="580" spans="6:38" s="36" customFormat="1" x14ac:dyDescent="0.25">
      <c r="F580" s="38"/>
      <c r="G580" s="1"/>
      <c r="K580" s="1"/>
      <c r="Y580" s="1"/>
      <c r="Z580" s="1"/>
      <c r="AA580" s="1"/>
      <c r="AB580" s="1"/>
      <c r="AC580" s="1"/>
      <c r="AD580" s="1"/>
      <c r="AE580" s="1"/>
      <c r="AF580" s="1"/>
      <c r="AG580" s="1"/>
      <c r="AH580" s="1"/>
      <c r="AI580" s="1"/>
      <c r="AJ580" s="1"/>
      <c r="AK580" s="1"/>
      <c r="AL580" s="1"/>
    </row>
    <row r="581" spans="6:38" s="36" customFormat="1" x14ac:dyDescent="0.25">
      <c r="F581" s="38"/>
      <c r="G581" s="1"/>
      <c r="K581" s="1"/>
      <c r="Y581" s="1"/>
      <c r="Z581" s="1"/>
      <c r="AA581" s="1"/>
      <c r="AB581" s="1"/>
      <c r="AC581" s="1"/>
      <c r="AD581" s="1"/>
      <c r="AE581" s="1"/>
      <c r="AF581" s="1"/>
      <c r="AG581" s="1"/>
      <c r="AH581" s="1"/>
      <c r="AI581" s="1"/>
      <c r="AJ581" s="1"/>
      <c r="AK581" s="1"/>
      <c r="AL581" s="1"/>
    </row>
    <row r="582" spans="6:38" s="36" customFormat="1" x14ac:dyDescent="0.25">
      <c r="F582" s="38"/>
      <c r="G582" s="1"/>
      <c r="K582" s="1"/>
      <c r="Y582" s="1"/>
      <c r="Z582" s="1"/>
      <c r="AA582" s="1"/>
      <c r="AB582" s="1"/>
      <c r="AC582" s="1"/>
      <c r="AD582" s="1"/>
      <c r="AE582" s="1"/>
      <c r="AF582" s="1"/>
      <c r="AG582" s="1"/>
      <c r="AH582" s="1"/>
      <c r="AI582" s="1"/>
      <c r="AJ582" s="1"/>
      <c r="AK582" s="1"/>
      <c r="AL582" s="1"/>
    </row>
    <row r="583" spans="6:38" s="36" customFormat="1" x14ac:dyDescent="0.25">
      <c r="F583" s="38"/>
      <c r="G583" s="1"/>
      <c r="K583" s="1"/>
      <c r="Y583" s="1"/>
      <c r="Z583" s="1"/>
      <c r="AA583" s="1"/>
      <c r="AB583" s="1"/>
      <c r="AC583" s="1"/>
      <c r="AD583" s="1"/>
      <c r="AE583" s="1"/>
      <c r="AF583" s="1"/>
      <c r="AG583" s="1"/>
      <c r="AH583" s="1"/>
      <c r="AI583" s="1"/>
      <c r="AJ583" s="1"/>
      <c r="AK583" s="1"/>
      <c r="AL583" s="1"/>
    </row>
    <row r="584" spans="6:38" s="36" customFormat="1" x14ac:dyDescent="0.25">
      <c r="F584" s="38"/>
      <c r="G584" s="1"/>
      <c r="K584" s="1"/>
      <c r="Y584" s="1"/>
      <c r="Z584" s="1"/>
      <c r="AA584" s="1"/>
      <c r="AB584" s="1"/>
      <c r="AC584" s="1"/>
      <c r="AD584" s="1"/>
      <c r="AE584" s="1"/>
      <c r="AF584" s="1"/>
      <c r="AG584" s="1"/>
      <c r="AH584" s="1"/>
      <c r="AI584" s="1"/>
      <c r="AJ584" s="1"/>
      <c r="AK584" s="1"/>
      <c r="AL584" s="1"/>
    </row>
    <row r="585" spans="6:38" s="36" customFormat="1" x14ac:dyDescent="0.25">
      <c r="F585" s="38"/>
      <c r="G585" s="1"/>
      <c r="K585" s="1"/>
      <c r="Y585" s="1"/>
      <c r="Z585" s="1"/>
      <c r="AA585" s="1"/>
      <c r="AB585" s="1"/>
      <c r="AC585" s="1"/>
      <c r="AD585" s="1"/>
      <c r="AE585" s="1"/>
      <c r="AF585" s="1"/>
      <c r="AG585" s="1"/>
      <c r="AH585" s="1"/>
      <c r="AI585" s="1"/>
      <c r="AJ585" s="1"/>
      <c r="AK585" s="1"/>
      <c r="AL585" s="1"/>
    </row>
    <row r="586" spans="6:38" s="36" customFormat="1" x14ac:dyDescent="0.25">
      <c r="F586" s="38"/>
      <c r="G586" s="1"/>
      <c r="K586" s="1"/>
      <c r="Y586" s="1"/>
      <c r="Z586" s="1"/>
      <c r="AA586" s="1"/>
      <c r="AB586" s="1"/>
      <c r="AC586" s="1"/>
      <c r="AD586" s="1"/>
      <c r="AE586" s="1"/>
      <c r="AF586" s="1"/>
      <c r="AG586" s="1"/>
      <c r="AH586" s="1"/>
      <c r="AI586" s="1"/>
      <c r="AJ586" s="1"/>
      <c r="AK586" s="1"/>
      <c r="AL586" s="1"/>
    </row>
    <row r="587" spans="6:38" s="36" customFormat="1" x14ac:dyDescent="0.25">
      <c r="F587" s="38"/>
      <c r="G587" s="1"/>
      <c r="K587" s="1"/>
      <c r="Y587" s="1"/>
      <c r="Z587" s="1"/>
      <c r="AA587" s="1"/>
      <c r="AB587" s="1"/>
      <c r="AC587" s="1"/>
      <c r="AD587" s="1"/>
      <c r="AE587" s="1"/>
      <c r="AF587" s="1"/>
      <c r="AG587" s="1"/>
      <c r="AH587" s="1"/>
      <c r="AI587" s="1"/>
      <c r="AJ587" s="1"/>
      <c r="AK587" s="1"/>
      <c r="AL587" s="1"/>
    </row>
    <row r="588" spans="6:38" s="36" customFormat="1" x14ac:dyDescent="0.25">
      <c r="F588" s="38"/>
      <c r="G588" s="1"/>
      <c r="K588" s="1"/>
      <c r="Y588" s="1"/>
      <c r="Z588" s="1"/>
      <c r="AA588" s="1"/>
      <c r="AB588" s="1"/>
      <c r="AC588" s="1"/>
      <c r="AD588" s="1"/>
      <c r="AE588" s="1"/>
      <c r="AF588" s="1"/>
      <c r="AG588" s="1"/>
      <c r="AH588" s="1"/>
      <c r="AI588" s="1"/>
      <c r="AJ588" s="1"/>
      <c r="AK588" s="1"/>
      <c r="AL588" s="1"/>
    </row>
    <row r="589" spans="6:38" s="36" customFormat="1" x14ac:dyDescent="0.25">
      <c r="F589" s="38"/>
      <c r="G589" s="1"/>
      <c r="K589" s="1"/>
      <c r="Y589" s="1"/>
      <c r="Z589" s="1"/>
      <c r="AA589" s="1"/>
      <c r="AB589" s="1"/>
      <c r="AC589" s="1"/>
      <c r="AD589" s="1"/>
      <c r="AE589" s="1"/>
      <c r="AF589" s="1"/>
      <c r="AG589" s="1"/>
      <c r="AH589" s="1"/>
      <c r="AI589" s="1"/>
      <c r="AJ589" s="1"/>
      <c r="AK589" s="1"/>
      <c r="AL589" s="1"/>
    </row>
    <row r="590" spans="6:38" s="36" customFormat="1" x14ac:dyDescent="0.25">
      <c r="F590" s="38"/>
      <c r="G590" s="1"/>
      <c r="K590" s="1"/>
      <c r="Y590" s="1"/>
      <c r="Z590" s="1"/>
      <c r="AA590" s="1"/>
      <c r="AB590" s="1"/>
      <c r="AC590" s="1"/>
      <c r="AD590" s="1"/>
      <c r="AE590" s="1"/>
      <c r="AF590" s="1"/>
      <c r="AG590" s="1"/>
      <c r="AH590" s="1"/>
      <c r="AI590" s="1"/>
      <c r="AJ590" s="1"/>
      <c r="AK590" s="1"/>
      <c r="AL590" s="1"/>
    </row>
    <row r="591" spans="6:38" s="36" customFormat="1" x14ac:dyDescent="0.25">
      <c r="F591" s="38"/>
      <c r="G591" s="1"/>
      <c r="K591" s="1"/>
      <c r="Y591" s="1"/>
      <c r="Z591" s="1"/>
      <c r="AA591" s="1"/>
      <c r="AB591" s="1"/>
      <c r="AC591" s="1"/>
      <c r="AD591" s="1"/>
      <c r="AE591" s="1"/>
      <c r="AF591" s="1"/>
      <c r="AG591" s="1"/>
      <c r="AH591" s="1"/>
      <c r="AI591" s="1"/>
      <c r="AJ591" s="1"/>
      <c r="AK591" s="1"/>
      <c r="AL591" s="1"/>
    </row>
    <row r="592" spans="6:38" s="36" customFormat="1" x14ac:dyDescent="0.25">
      <c r="F592" s="38"/>
      <c r="G592" s="1"/>
      <c r="K592" s="1"/>
      <c r="Y592" s="1"/>
      <c r="Z592" s="1"/>
      <c r="AA592" s="1"/>
      <c r="AB592" s="1"/>
      <c r="AC592" s="1"/>
      <c r="AD592" s="1"/>
      <c r="AE592" s="1"/>
      <c r="AF592" s="1"/>
      <c r="AG592" s="1"/>
      <c r="AH592" s="1"/>
      <c r="AI592" s="1"/>
      <c r="AJ592" s="1"/>
      <c r="AK592" s="1"/>
      <c r="AL592" s="1"/>
    </row>
    <row r="593" spans="6:38" s="36" customFormat="1" x14ac:dyDescent="0.25">
      <c r="F593" s="38"/>
      <c r="G593" s="1"/>
      <c r="K593" s="1"/>
      <c r="Y593" s="1"/>
      <c r="Z593" s="1"/>
      <c r="AA593" s="1"/>
      <c r="AB593" s="1"/>
      <c r="AC593" s="1"/>
      <c r="AD593" s="1"/>
      <c r="AE593" s="1"/>
      <c r="AF593" s="1"/>
      <c r="AG593" s="1"/>
      <c r="AH593" s="1"/>
      <c r="AI593" s="1"/>
      <c r="AJ593" s="1"/>
      <c r="AK593" s="1"/>
      <c r="AL593" s="1"/>
    </row>
    <row r="594" spans="6:38" s="36" customFormat="1" x14ac:dyDescent="0.25">
      <c r="F594" s="38"/>
      <c r="G594" s="1"/>
      <c r="K594" s="1"/>
      <c r="Y594" s="1"/>
      <c r="Z594" s="1"/>
      <c r="AA594" s="1"/>
      <c r="AB594" s="1"/>
      <c r="AC594" s="1"/>
      <c r="AD594" s="1"/>
      <c r="AE594" s="1"/>
      <c r="AF594" s="1"/>
      <c r="AG594" s="1"/>
      <c r="AH594" s="1"/>
      <c r="AI594" s="1"/>
      <c r="AJ594" s="1"/>
      <c r="AK594" s="1"/>
      <c r="AL594" s="1"/>
    </row>
    <row r="595" spans="6:38" s="36" customFormat="1" x14ac:dyDescent="0.25">
      <c r="F595" s="38"/>
      <c r="G595" s="1"/>
      <c r="K595" s="1"/>
      <c r="Y595" s="1"/>
      <c r="Z595" s="1"/>
      <c r="AA595" s="1"/>
      <c r="AB595" s="1"/>
      <c r="AC595" s="1"/>
      <c r="AD595" s="1"/>
      <c r="AE595" s="1"/>
      <c r="AF595" s="1"/>
      <c r="AG595" s="1"/>
      <c r="AH595" s="1"/>
      <c r="AI595" s="1"/>
      <c r="AJ595" s="1"/>
      <c r="AK595" s="1"/>
      <c r="AL595" s="1"/>
    </row>
    <row r="596" spans="6:38" s="36" customFormat="1" x14ac:dyDescent="0.25">
      <c r="F596" s="38"/>
      <c r="G596" s="1"/>
      <c r="K596" s="1"/>
      <c r="Y596" s="1"/>
      <c r="Z596" s="1"/>
      <c r="AA596" s="1"/>
      <c r="AB596" s="1"/>
      <c r="AC596" s="1"/>
      <c r="AD596" s="1"/>
      <c r="AE596" s="1"/>
      <c r="AF596" s="1"/>
      <c r="AG596" s="1"/>
      <c r="AH596" s="1"/>
      <c r="AI596" s="1"/>
      <c r="AJ596" s="1"/>
      <c r="AK596" s="1"/>
      <c r="AL596" s="1"/>
    </row>
    <row r="597" spans="6:38" s="36" customFormat="1" x14ac:dyDescent="0.25">
      <c r="F597" s="38"/>
      <c r="G597" s="1"/>
      <c r="K597" s="1"/>
      <c r="Y597" s="1"/>
      <c r="Z597" s="1"/>
      <c r="AA597" s="1"/>
      <c r="AB597" s="1"/>
      <c r="AC597" s="1"/>
      <c r="AD597" s="1"/>
      <c r="AE597" s="1"/>
      <c r="AF597" s="1"/>
      <c r="AG597" s="1"/>
      <c r="AH597" s="1"/>
      <c r="AI597" s="1"/>
      <c r="AJ597" s="1"/>
      <c r="AK597" s="1"/>
      <c r="AL597" s="1"/>
    </row>
    <row r="598" spans="6:38" s="36" customFormat="1" x14ac:dyDescent="0.25">
      <c r="F598" s="38"/>
      <c r="G598" s="1"/>
      <c r="K598" s="1"/>
      <c r="Y598" s="1"/>
      <c r="Z598" s="1"/>
      <c r="AA598" s="1"/>
      <c r="AB598" s="1"/>
      <c r="AC598" s="1"/>
      <c r="AD598" s="1"/>
      <c r="AE598" s="1"/>
      <c r="AF598" s="1"/>
      <c r="AG598" s="1"/>
      <c r="AH598" s="1"/>
      <c r="AI598" s="1"/>
      <c r="AJ598" s="1"/>
      <c r="AK598" s="1"/>
      <c r="AL598" s="1"/>
    </row>
    <row r="599" spans="6:38" s="36" customFormat="1" x14ac:dyDescent="0.25">
      <c r="F599" s="38"/>
      <c r="G599" s="1"/>
      <c r="K599" s="1"/>
      <c r="Y599" s="1"/>
      <c r="Z599" s="1"/>
      <c r="AA599" s="1"/>
      <c r="AB599" s="1"/>
      <c r="AC599" s="1"/>
      <c r="AD599" s="1"/>
      <c r="AE599" s="1"/>
      <c r="AF599" s="1"/>
      <c r="AG599" s="1"/>
      <c r="AH599" s="1"/>
      <c r="AI599" s="1"/>
      <c r="AJ599" s="1"/>
      <c r="AK599" s="1"/>
      <c r="AL599" s="1"/>
    </row>
    <row r="600" spans="6:38" s="36" customFormat="1" x14ac:dyDescent="0.25">
      <c r="F600" s="38"/>
      <c r="G600" s="1"/>
      <c r="K600" s="1"/>
      <c r="Y600" s="1"/>
      <c r="Z600" s="1"/>
      <c r="AA600" s="1"/>
      <c r="AB600" s="1"/>
      <c r="AC600" s="1"/>
      <c r="AD600" s="1"/>
      <c r="AE600" s="1"/>
      <c r="AF600" s="1"/>
      <c r="AG600" s="1"/>
      <c r="AH600" s="1"/>
      <c r="AI600" s="1"/>
      <c r="AJ600" s="1"/>
      <c r="AK600" s="1"/>
      <c r="AL600" s="1"/>
    </row>
    <row r="601" spans="6:38" s="36" customFormat="1" x14ac:dyDescent="0.25">
      <c r="F601" s="38"/>
      <c r="G601" s="1"/>
      <c r="K601" s="1"/>
      <c r="Y601" s="1"/>
      <c r="Z601" s="1"/>
      <c r="AA601" s="1"/>
      <c r="AB601" s="1"/>
      <c r="AC601" s="1"/>
      <c r="AD601" s="1"/>
      <c r="AE601" s="1"/>
      <c r="AF601" s="1"/>
      <c r="AG601" s="1"/>
      <c r="AH601" s="1"/>
      <c r="AI601" s="1"/>
      <c r="AJ601" s="1"/>
      <c r="AK601" s="1"/>
      <c r="AL601" s="1"/>
    </row>
    <row r="602" spans="6:38" s="36" customFormat="1" x14ac:dyDescent="0.25">
      <c r="F602" s="38"/>
      <c r="G602" s="1"/>
      <c r="K602" s="1"/>
      <c r="Y602" s="1"/>
      <c r="Z602" s="1"/>
      <c r="AA602" s="1"/>
      <c r="AB602" s="1"/>
      <c r="AC602" s="1"/>
      <c r="AD602" s="1"/>
      <c r="AE602" s="1"/>
      <c r="AF602" s="1"/>
      <c r="AG602" s="1"/>
      <c r="AH602" s="1"/>
      <c r="AI602" s="1"/>
      <c r="AJ602" s="1"/>
      <c r="AK602" s="1"/>
      <c r="AL602" s="1"/>
    </row>
    <row r="603" spans="6:38" s="36" customFormat="1" x14ac:dyDescent="0.25">
      <c r="F603" s="38"/>
      <c r="G603" s="1"/>
      <c r="K603" s="1"/>
      <c r="Y603" s="1"/>
      <c r="Z603" s="1"/>
      <c r="AA603" s="1"/>
      <c r="AB603" s="1"/>
      <c r="AC603" s="1"/>
      <c r="AD603" s="1"/>
      <c r="AE603" s="1"/>
      <c r="AF603" s="1"/>
      <c r="AG603" s="1"/>
      <c r="AH603" s="1"/>
      <c r="AI603" s="1"/>
      <c r="AJ603" s="1"/>
      <c r="AK603" s="1"/>
      <c r="AL603" s="1"/>
    </row>
    <row r="604" spans="6:38" s="36" customFormat="1" x14ac:dyDescent="0.25">
      <c r="F604" s="38"/>
      <c r="G604" s="1"/>
      <c r="K604" s="1"/>
      <c r="Y604" s="1"/>
      <c r="Z604" s="1"/>
      <c r="AA604" s="1"/>
      <c r="AB604" s="1"/>
      <c r="AC604" s="1"/>
      <c r="AD604" s="1"/>
      <c r="AE604" s="1"/>
      <c r="AF604" s="1"/>
      <c r="AG604" s="1"/>
      <c r="AH604" s="1"/>
      <c r="AI604" s="1"/>
      <c r="AJ604" s="1"/>
      <c r="AK604" s="1"/>
      <c r="AL604" s="1"/>
    </row>
    <row r="605" spans="6:38" s="36" customFormat="1" x14ac:dyDescent="0.25">
      <c r="F605" s="38"/>
      <c r="G605" s="1"/>
      <c r="K605" s="1"/>
      <c r="Y605" s="1"/>
      <c r="Z605" s="1"/>
      <c r="AA605" s="1"/>
      <c r="AB605" s="1"/>
      <c r="AC605" s="1"/>
      <c r="AD605" s="1"/>
      <c r="AE605" s="1"/>
      <c r="AF605" s="1"/>
      <c r="AG605" s="1"/>
      <c r="AH605" s="1"/>
      <c r="AI605" s="1"/>
      <c r="AJ605" s="1"/>
      <c r="AK605" s="1"/>
      <c r="AL605" s="1"/>
    </row>
    <row r="606" spans="6:38" s="36" customFormat="1" x14ac:dyDescent="0.25">
      <c r="F606" s="38"/>
      <c r="G606" s="1"/>
      <c r="K606" s="1"/>
      <c r="Y606" s="1"/>
      <c r="Z606" s="1"/>
      <c r="AA606" s="1"/>
      <c r="AB606" s="1"/>
      <c r="AC606" s="1"/>
      <c r="AD606" s="1"/>
      <c r="AE606" s="1"/>
      <c r="AF606" s="1"/>
      <c r="AG606" s="1"/>
      <c r="AH606" s="1"/>
      <c r="AI606" s="1"/>
      <c r="AJ606" s="1"/>
      <c r="AK606" s="1"/>
      <c r="AL606" s="1"/>
    </row>
    <row r="607" spans="6:38" s="36" customFormat="1" x14ac:dyDescent="0.25">
      <c r="F607" s="38"/>
      <c r="G607" s="1"/>
      <c r="K607" s="1"/>
      <c r="Y607" s="1"/>
      <c r="Z607" s="1"/>
      <c r="AA607" s="1"/>
      <c r="AB607" s="1"/>
      <c r="AC607" s="1"/>
      <c r="AD607" s="1"/>
      <c r="AE607" s="1"/>
      <c r="AF607" s="1"/>
      <c r="AG607" s="1"/>
      <c r="AH607" s="1"/>
      <c r="AI607" s="1"/>
      <c r="AJ607" s="1"/>
      <c r="AK607" s="1"/>
      <c r="AL607" s="1"/>
    </row>
    <row r="608" spans="6:38" s="36" customFormat="1" x14ac:dyDescent="0.25">
      <c r="F608" s="38"/>
      <c r="G608" s="1"/>
      <c r="K608" s="1"/>
      <c r="Y608" s="1"/>
      <c r="Z608" s="1"/>
      <c r="AA608" s="1"/>
      <c r="AB608" s="1"/>
      <c r="AC608" s="1"/>
      <c r="AD608" s="1"/>
      <c r="AE608" s="1"/>
      <c r="AF608" s="1"/>
      <c r="AG608" s="1"/>
      <c r="AH608" s="1"/>
      <c r="AI608" s="1"/>
      <c r="AJ608" s="1"/>
      <c r="AK608" s="1"/>
      <c r="AL608" s="1"/>
    </row>
    <row r="609" spans="6:38" s="36" customFormat="1" x14ac:dyDescent="0.25">
      <c r="F609" s="38"/>
      <c r="G609" s="1"/>
      <c r="K609" s="1"/>
      <c r="Y609" s="1"/>
      <c r="Z609" s="1"/>
      <c r="AA609" s="1"/>
      <c r="AB609" s="1"/>
      <c r="AC609" s="1"/>
      <c r="AD609" s="1"/>
      <c r="AE609" s="1"/>
      <c r="AF609" s="1"/>
      <c r="AG609" s="1"/>
      <c r="AH609" s="1"/>
      <c r="AI609" s="1"/>
      <c r="AJ609" s="1"/>
      <c r="AK609" s="1"/>
      <c r="AL609" s="1"/>
    </row>
    <row r="610" spans="6:38" s="36" customFormat="1" x14ac:dyDescent="0.25">
      <c r="F610" s="38"/>
      <c r="G610" s="1"/>
      <c r="K610" s="1"/>
      <c r="Y610" s="1"/>
      <c r="Z610" s="1"/>
      <c r="AA610" s="1"/>
      <c r="AB610" s="1"/>
      <c r="AC610" s="1"/>
      <c r="AD610" s="1"/>
      <c r="AE610" s="1"/>
      <c r="AF610" s="1"/>
      <c r="AG610" s="1"/>
      <c r="AH610" s="1"/>
      <c r="AI610" s="1"/>
      <c r="AJ610" s="1"/>
      <c r="AK610" s="1"/>
      <c r="AL610" s="1"/>
    </row>
    <row r="611" spans="6:38" s="36" customFormat="1" x14ac:dyDescent="0.25">
      <c r="F611" s="38"/>
      <c r="G611" s="1"/>
      <c r="K611" s="1"/>
      <c r="Y611" s="1"/>
      <c r="Z611" s="1"/>
      <c r="AA611" s="1"/>
      <c r="AB611" s="1"/>
      <c r="AC611" s="1"/>
      <c r="AD611" s="1"/>
      <c r="AE611" s="1"/>
      <c r="AF611" s="1"/>
      <c r="AG611" s="1"/>
      <c r="AH611" s="1"/>
      <c r="AI611" s="1"/>
      <c r="AJ611" s="1"/>
      <c r="AK611" s="1"/>
      <c r="AL611" s="1"/>
    </row>
    <row r="612" spans="6:38" s="36" customFormat="1" x14ac:dyDescent="0.25">
      <c r="F612" s="38"/>
      <c r="G612" s="1"/>
      <c r="K612" s="1"/>
      <c r="Y612" s="1"/>
      <c r="Z612" s="1"/>
      <c r="AA612" s="1"/>
      <c r="AB612" s="1"/>
      <c r="AC612" s="1"/>
      <c r="AD612" s="1"/>
      <c r="AE612" s="1"/>
      <c r="AF612" s="1"/>
      <c r="AG612" s="1"/>
      <c r="AH612" s="1"/>
      <c r="AI612" s="1"/>
      <c r="AJ612" s="1"/>
      <c r="AK612" s="1"/>
      <c r="AL612" s="1"/>
    </row>
    <row r="613" spans="6:38" s="36" customFormat="1" x14ac:dyDescent="0.25">
      <c r="F613" s="38"/>
      <c r="G613" s="1"/>
      <c r="K613" s="1"/>
      <c r="Y613" s="1"/>
      <c r="Z613" s="1"/>
      <c r="AA613" s="1"/>
      <c r="AB613" s="1"/>
      <c r="AC613" s="1"/>
      <c r="AD613" s="1"/>
      <c r="AE613" s="1"/>
      <c r="AF613" s="1"/>
      <c r="AG613" s="1"/>
      <c r="AH613" s="1"/>
      <c r="AI613" s="1"/>
      <c r="AJ613" s="1"/>
      <c r="AK613" s="1"/>
      <c r="AL613" s="1"/>
    </row>
    <row r="614" spans="6:38" s="36" customFormat="1" x14ac:dyDescent="0.25">
      <c r="F614" s="38"/>
      <c r="G614" s="1"/>
      <c r="K614" s="1"/>
      <c r="Y614" s="1"/>
      <c r="Z614" s="1"/>
      <c r="AA614" s="1"/>
      <c r="AB614" s="1"/>
      <c r="AC614" s="1"/>
      <c r="AD614" s="1"/>
      <c r="AE614" s="1"/>
      <c r="AF614" s="1"/>
      <c r="AG614" s="1"/>
      <c r="AH614" s="1"/>
      <c r="AI614" s="1"/>
      <c r="AJ614" s="1"/>
      <c r="AK614" s="1"/>
      <c r="AL614" s="1"/>
    </row>
    <row r="615" spans="6:38" s="36" customFormat="1" x14ac:dyDescent="0.25">
      <c r="F615" s="38"/>
      <c r="G615" s="1"/>
      <c r="K615" s="1"/>
      <c r="Y615" s="1"/>
      <c r="Z615" s="1"/>
      <c r="AA615" s="1"/>
      <c r="AB615" s="1"/>
      <c r="AC615" s="1"/>
      <c r="AD615" s="1"/>
      <c r="AE615" s="1"/>
      <c r="AF615" s="1"/>
      <c r="AG615" s="1"/>
      <c r="AH615" s="1"/>
      <c r="AI615" s="1"/>
      <c r="AJ615" s="1"/>
      <c r="AK615" s="1"/>
      <c r="AL615" s="1"/>
    </row>
    <row r="616" spans="6:38" s="36" customFormat="1" x14ac:dyDescent="0.25">
      <c r="F616" s="38"/>
      <c r="G616" s="1"/>
      <c r="K616" s="1"/>
      <c r="Y616" s="1"/>
      <c r="Z616" s="1"/>
      <c r="AA616" s="1"/>
      <c r="AB616" s="1"/>
      <c r="AC616" s="1"/>
      <c r="AD616" s="1"/>
      <c r="AE616" s="1"/>
      <c r="AF616" s="1"/>
      <c r="AG616" s="1"/>
      <c r="AH616" s="1"/>
      <c r="AI616" s="1"/>
      <c r="AJ616" s="1"/>
      <c r="AK616" s="1"/>
      <c r="AL616" s="1"/>
    </row>
    <row r="617" spans="6:38" s="36" customFormat="1" x14ac:dyDescent="0.25">
      <c r="F617" s="38"/>
      <c r="G617" s="1"/>
      <c r="K617" s="1"/>
      <c r="Y617" s="1"/>
      <c r="Z617" s="1"/>
      <c r="AA617" s="1"/>
      <c r="AB617" s="1"/>
      <c r="AC617" s="1"/>
      <c r="AD617" s="1"/>
      <c r="AE617" s="1"/>
      <c r="AF617" s="1"/>
      <c r="AG617" s="1"/>
      <c r="AH617" s="1"/>
      <c r="AI617" s="1"/>
      <c r="AJ617" s="1"/>
      <c r="AK617" s="1"/>
      <c r="AL617" s="1"/>
    </row>
    <row r="618" spans="6:38" s="36" customFormat="1" x14ac:dyDescent="0.25">
      <c r="F618" s="38"/>
      <c r="G618" s="1"/>
      <c r="K618" s="1"/>
      <c r="Y618" s="1"/>
      <c r="Z618" s="1"/>
      <c r="AA618" s="1"/>
      <c r="AB618" s="1"/>
      <c r="AC618" s="1"/>
      <c r="AD618" s="1"/>
      <c r="AE618" s="1"/>
      <c r="AF618" s="1"/>
      <c r="AG618" s="1"/>
      <c r="AH618" s="1"/>
      <c r="AI618" s="1"/>
      <c r="AJ618" s="1"/>
      <c r="AK618" s="1"/>
      <c r="AL618" s="1"/>
    </row>
    <row r="619" spans="6:38" s="36" customFormat="1" x14ac:dyDescent="0.25">
      <c r="F619" s="38"/>
      <c r="G619" s="1"/>
      <c r="K619" s="1"/>
      <c r="Y619" s="1"/>
      <c r="Z619" s="1"/>
      <c r="AA619" s="1"/>
      <c r="AB619" s="1"/>
      <c r="AC619" s="1"/>
      <c r="AD619" s="1"/>
      <c r="AE619" s="1"/>
      <c r="AF619" s="1"/>
      <c r="AG619" s="1"/>
      <c r="AH619" s="1"/>
      <c r="AI619" s="1"/>
      <c r="AJ619" s="1"/>
      <c r="AK619" s="1"/>
      <c r="AL619" s="1"/>
    </row>
    <row r="620" spans="6:38" s="36" customFormat="1" x14ac:dyDescent="0.25">
      <c r="F620" s="38"/>
      <c r="G620" s="1"/>
      <c r="K620" s="1"/>
      <c r="Y620" s="1"/>
      <c r="Z620" s="1"/>
      <c r="AA620" s="1"/>
      <c r="AB620" s="1"/>
      <c r="AC620" s="1"/>
      <c r="AD620" s="1"/>
      <c r="AE620" s="1"/>
      <c r="AF620" s="1"/>
      <c r="AG620" s="1"/>
      <c r="AH620" s="1"/>
      <c r="AI620" s="1"/>
      <c r="AJ620" s="1"/>
      <c r="AK620" s="1"/>
      <c r="AL620" s="1"/>
    </row>
    <row r="621" spans="6:38" s="36" customFormat="1" x14ac:dyDescent="0.25">
      <c r="F621" s="38"/>
      <c r="G621" s="1"/>
      <c r="K621" s="1"/>
      <c r="Y621" s="1"/>
      <c r="Z621" s="1"/>
      <c r="AA621" s="1"/>
      <c r="AB621" s="1"/>
      <c r="AC621" s="1"/>
      <c r="AD621" s="1"/>
      <c r="AE621" s="1"/>
      <c r="AF621" s="1"/>
      <c r="AG621" s="1"/>
      <c r="AH621" s="1"/>
      <c r="AI621" s="1"/>
      <c r="AJ621" s="1"/>
      <c r="AK621" s="1"/>
      <c r="AL621" s="1"/>
    </row>
    <row r="622" spans="6:38" s="36" customFormat="1" x14ac:dyDescent="0.25">
      <c r="F622" s="38"/>
      <c r="G622" s="1"/>
      <c r="K622" s="1"/>
      <c r="Y622" s="1"/>
      <c r="Z622" s="1"/>
      <c r="AA622" s="1"/>
      <c r="AB622" s="1"/>
      <c r="AC622" s="1"/>
      <c r="AD622" s="1"/>
      <c r="AE622" s="1"/>
      <c r="AF622" s="1"/>
      <c r="AG622" s="1"/>
      <c r="AH622" s="1"/>
      <c r="AI622" s="1"/>
      <c r="AJ622" s="1"/>
      <c r="AK622" s="1"/>
      <c r="AL622" s="1"/>
    </row>
    <row r="623" spans="6:38" s="36" customFormat="1" x14ac:dyDescent="0.25">
      <c r="F623" s="38"/>
      <c r="G623" s="1"/>
      <c r="K623" s="1"/>
      <c r="Y623" s="1"/>
      <c r="Z623" s="1"/>
      <c r="AA623" s="1"/>
      <c r="AB623" s="1"/>
      <c r="AC623" s="1"/>
      <c r="AD623" s="1"/>
      <c r="AE623" s="1"/>
      <c r="AF623" s="1"/>
      <c r="AG623" s="1"/>
      <c r="AH623" s="1"/>
      <c r="AI623" s="1"/>
      <c r="AJ623" s="1"/>
      <c r="AK623" s="1"/>
      <c r="AL623" s="1"/>
    </row>
    <row r="624" spans="6:38" s="36" customFormat="1" x14ac:dyDescent="0.25">
      <c r="F624" s="38"/>
      <c r="G624" s="1"/>
      <c r="K624" s="1"/>
      <c r="Y624" s="1"/>
      <c r="Z624" s="1"/>
      <c r="AA624" s="1"/>
      <c r="AB624" s="1"/>
      <c r="AC624" s="1"/>
      <c r="AD624" s="1"/>
      <c r="AE624" s="1"/>
      <c r="AF624" s="1"/>
      <c r="AG624" s="1"/>
      <c r="AH624" s="1"/>
      <c r="AI624" s="1"/>
      <c r="AJ624" s="1"/>
      <c r="AK624" s="1"/>
      <c r="AL624" s="1"/>
    </row>
    <row r="625" spans="6:38" s="36" customFormat="1" x14ac:dyDescent="0.25">
      <c r="F625" s="38"/>
      <c r="G625" s="1"/>
      <c r="K625" s="1"/>
      <c r="Y625" s="1"/>
      <c r="Z625" s="1"/>
      <c r="AA625" s="1"/>
      <c r="AB625" s="1"/>
      <c r="AC625" s="1"/>
      <c r="AD625" s="1"/>
      <c r="AE625" s="1"/>
      <c r="AF625" s="1"/>
      <c r="AG625" s="1"/>
      <c r="AH625" s="1"/>
      <c r="AI625" s="1"/>
      <c r="AJ625" s="1"/>
      <c r="AK625" s="1"/>
      <c r="AL625" s="1"/>
    </row>
    <row r="626" spans="6:38" s="36" customFormat="1" x14ac:dyDescent="0.25">
      <c r="F626" s="38"/>
      <c r="G626" s="1"/>
      <c r="K626" s="1"/>
      <c r="Y626" s="1"/>
      <c r="Z626" s="1"/>
      <c r="AA626" s="1"/>
      <c r="AB626" s="1"/>
      <c r="AC626" s="1"/>
      <c r="AD626" s="1"/>
      <c r="AE626" s="1"/>
      <c r="AF626" s="1"/>
      <c r="AG626" s="1"/>
      <c r="AH626" s="1"/>
      <c r="AI626" s="1"/>
      <c r="AJ626" s="1"/>
      <c r="AK626" s="1"/>
      <c r="AL626" s="1"/>
    </row>
    <row r="627" spans="6:38" s="36" customFormat="1" x14ac:dyDescent="0.25">
      <c r="F627" s="38"/>
      <c r="G627" s="1"/>
      <c r="K627" s="1"/>
      <c r="Y627" s="1"/>
      <c r="Z627" s="1"/>
      <c r="AA627" s="1"/>
      <c r="AB627" s="1"/>
      <c r="AC627" s="1"/>
      <c r="AD627" s="1"/>
      <c r="AE627" s="1"/>
      <c r="AF627" s="1"/>
      <c r="AG627" s="1"/>
      <c r="AH627" s="1"/>
      <c r="AI627" s="1"/>
      <c r="AJ627" s="1"/>
      <c r="AK627" s="1"/>
      <c r="AL627" s="1"/>
    </row>
    <row r="628" spans="6:38" s="36" customFormat="1" x14ac:dyDescent="0.25">
      <c r="F628" s="38"/>
      <c r="G628" s="1"/>
      <c r="K628" s="1"/>
      <c r="Y628" s="1"/>
      <c r="Z628" s="1"/>
      <c r="AA628" s="1"/>
      <c r="AB628" s="1"/>
      <c r="AC628" s="1"/>
      <c r="AD628" s="1"/>
      <c r="AE628" s="1"/>
      <c r="AF628" s="1"/>
      <c r="AG628" s="1"/>
      <c r="AH628" s="1"/>
      <c r="AI628" s="1"/>
      <c r="AJ628" s="1"/>
      <c r="AK628" s="1"/>
      <c r="AL628" s="1"/>
    </row>
    <row r="629" spans="6:38" s="36" customFormat="1" x14ac:dyDescent="0.25">
      <c r="F629" s="38"/>
      <c r="G629" s="1"/>
      <c r="K629" s="1"/>
      <c r="Y629" s="1"/>
      <c r="Z629" s="1"/>
      <c r="AA629" s="1"/>
      <c r="AB629" s="1"/>
      <c r="AC629" s="1"/>
      <c r="AD629" s="1"/>
      <c r="AE629" s="1"/>
      <c r="AF629" s="1"/>
      <c r="AG629" s="1"/>
      <c r="AH629" s="1"/>
      <c r="AI629" s="1"/>
      <c r="AJ629" s="1"/>
      <c r="AK629" s="1"/>
      <c r="AL629" s="1"/>
    </row>
    <row r="630" spans="6:38" s="36" customFormat="1" x14ac:dyDescent="0.25">
      <c r="F630" s="38"/>
      <c r="G630" s="1"/>
      <c r="K630" s="1"/>
      <c r="Y630" s="1"/>
      <c r="Z630" s="1"/>
      <c r="AA630" s="1"/>
      <c r="AB630" s="1"/>
      <c r="AC630" s="1"/>
      <c r="AD630" s="1"/>
      <c r="AE630" s="1"/>
      <c r="AF630" s="1"/>
      <c r="AG630" s="1"/>
      <c r="AH630" s="1"/>
      <c r="AI630" s="1"/>
      <c r="AJ630" s="1"/>
      <c r="AK630" s="1"/>
      <c r="AL630" s="1"/>
    </row>
    <row r="631" spans="6:38" s="36" customFormat="1" x14ac:dyDescent="0.25">
      <c r="F631" s="38"/>
      <c r="G631" s="1"/>
      <c r="K631" s="1"/>
      <c r="Y631" s="1"/>
      <c r="Z631" s="1"/>
      <c r="AA631" s="1"/>
      <c r="AB631" s="1"/>
      <c r="AC631" s="1"/>
      <c r="AD631" s="1"/>
      <c r="AE631" s="1"/>
      <c r="AF631" s="1"/>
      <c r="AG631" s="1"/>
      <c r="AH631" s="1"/>
      <c r="AI631" s="1"/>
      <c r="AJ631" s="1"/>
      <c r="AK631" s="1"/>
      <c r="AL631" s="1"/>
    </row>
    <row r="632" spans="6:38" s="36" customFormat="1" x14ac:dyDescent="0.25">
      <c r="F632" s="38"/>
      <c r="G632" s="1"/>
      <c r="K632" s="1"/>
      <c r="Y632" s="1"/>
      <c r="Z632" s="1"/>
      <c r="AA632" s="1"/>
      <c r="AB632" s="1"/>
      <c r="AC632" s="1"/>
      <c r="AD632" s="1"/>
      <c r="AE632" s="1"/>
      <c r="AF632" s="1"/>
      <c r="AG632" s="1"/>
      <c r="AH632" s="1"/>
      <c r="AI632" s="1"/>
      <c r="AJ632" s="1"/>
      <c r="AK632" s="1"/>
      <c r="AL632" s="1"/>
    </row>
    <row r="633" spans="6:38" s="36" customFormat="1" x14ac:dyDescent="0.25">
      <c r="F633" s="38"/>
      <c r="G633" s="1"/>
      <c r="K633" s="1"/>
      <c r="Y633" s="1"/>
      <c r="Z633" s="1"/>
      <c r="AA633" s="1"/>
      <c r="AB633" s="1"/>
      <c r="AC633" s="1"/>
      <c r="AD633" s="1"/>
      <c r="AE633" s="1"/>
      <c r="AF633" s="1"/>
      <c r="AG633" s="1"/>
      <c r="AH633" s="1"/>
      <c r="AI633" s="1"/>
      <c r="AJ633" s="1"/>
      <c r="AK633" s="1"/>
      <c r="AL633" s="1"/>
    </row>
    <row r="634" spans="6:38" s="36" customFormat="1" x14ac:dyDescent="0.25">
      <c r="F634" s="38"/>
      <c r="G634" s="1"/>
      <c r="K634" s="1"/>
      <c r="Y634" s="1"/>
      <c r="Z634" s="1"/>
      <c r="AA634" s="1"/>
      <c r="AB634" s="1"/>
      <c r="AC634" s="1"/>
      <c r="AD634" s="1"/>
      <c r="AE634" s="1"/>
      <c r="AF634" s="1"/>
      <c r="AG634" s="1"/>
      <c r="AH634" s="1"/>
      <c r="AI634" s="1"/>
      <c r="AJ634" s="1"/>
      <c r="AK634" s="1"/>
      <c r="AL634" s="1"/>
    </row>
    <row r="635" spans="6:38" s="36" customFormat="1" x14ac:dyDescent="0.25">
      <c r="F635" s="38"/>
      <c r="G635" s="1"/>
      <c r="K635" s="1"/>
      <c r="Y635" s="1"/>
      <c r="Z635" s="1"/>
      <c r="AA635" s="1"/>
      <c r="AB635" s="1"/>
      <c r="AC635" s="1"/>
      <c r="AD635" s="1"/>
      <c r="AE635" s="1"/>
      <c r="AF635" s="1"/>
      <c r="AG635" s="1"/>
      <c r="AH635" s="1"/>
      <c r="AI635" s="1"/>
      <c r="AJ635" s="1"/>
      <c r="AK635" s="1"/>
      <c r="AL635" s="1"/>
    </row>
    <row r="636" spans="6:38" s="36" customFormat="1" x14ac:dyDescent="0.25">
      <c r="F636" s="38"/>
      <c r="G636" s="1"/>
      <c r="K636" s="1"/>
      <c r="Y636" s="1"/>
      <c r="Z636" s="1"/>
      <c r="AA636" s="1"/>
      <c r="AB636" s="1"/>
      <c r="AC636" s="1"/>
      <c r="AD636" s="1"/>
      <c r="AE636" s="1"/>
      <c r="AF636" s="1"/>
      <c r="AG636" s="1"/>
      <c r="AH636" s="1"/>
      <c r="AI636" s="1"/>
      <c r="AJ636" s="1"/>
      <c r="AK636" s="1"/>
      <c r="AL636" s="1"/>
    </row>
    <row r="637" spans="6:38" s="36" customFormat="1" x14ac:dyDescent="0.25">
      <c r="F637" s="38"/>
      <c r="G637" s="1"/>
      <c r="K637" s="1"/>
      <c r="Y637" s="1"/>
      <c r="Z637" s="1"/>
      <c r="AA637" s="1"/>
      <c r="AB637" s="1"/>
      <c r="AC637" s="1"/>
      <c r="AD637" s="1"/>
      <c r="AE637" s="1"/>
      <c r="AF637" s="1"/>
      <c r="AG637" s="1"/>
      <c r="AH637" s="1"/>
      <c r="AI637" s="1"/>
      <c r="AJ637" s="1"/>
      <c r="AK637" s="1"/>
      <c r="AL637" s="1"/>
    </row>
    <row r="638" spans="6:38" s="36" customFormat="1" x14ac:dyDescent="0.25">
      <c r="F638" s="38"/>
      <c r="G638" s="1"/>
      <c r="K638" s="1"/>
      <c r="Y638" s="1"/>
      <c r="Z638" s="1"/>
      <c r="AA638" s="1"/>
      <c r="AB638" s="1"/>
      <c r="AC638" s="1"/>
      <c r="AD638" s="1"/>
      <c r="AE638" s="1"/>
      <c r="AF638" s="1"/>
      <c r="AG638" s="1"/>
      <c r="AH638" s="1"/>
      <c r="AI638" s="1"/>
      <c r="AJ638" s="1"/>
      <c r="AK638" s="1"/>
      <c r="AL638" s="1"/>
    </row>
    <row r="639" spans="6:38" s="36" customFormat="1" x14ac:dyDescent="0.25">
      <c r="F639" s="38"/>
      <c r="G639" s="1"/>
      <c r="K639" s="1"/>
      <c r="Y639" s="1"/>
      <c r="Z639" s="1"/>
      <c r="AA639" s="1"/>
      <c r="AB639" s="1"/>
      <c r="AC639" s="1"/>
      <c r="AD639" s="1"/>
      <c r="AE639" s="1"/>
      <c r="AF639" s="1"/>
      <c r="AG639" s="1"/>
      <c r="AH639" s="1"/>
      <c r="AI639" s="1"/>
      <c r="AJ639" s="1"/>
      <c r="AK639" s="1"/>
      <c r="AL639" s="1"/>
    </row>
    <row r="640" spans="6:38" s="36" customFormat="1" x14ac:dyDescent="0.25">
      <c r="F640" s="38"/>
      <c r="G640" s="1"/>
      <c r="K640" s="1"/>
      <c r="Y640" s="1"/>
      <c r="Z640" s="1"/>
      <c r="AA640" s="1"/>
      <c r="AB640" s="1"/>
      <c r="AC640" s="1"/>
      <c r="AD640" s="1"/>
      <c r="AE640" s="1"/>
      <c r="AF640" s="1"/>
      <c r="AG640" s="1"/>
      <c r="AH640" s="1"/>
      <c r="AI640" s="1"/>
      <c r="AJ640" s="1"/>
      <c r="AK640" s="1"/>
      <c r="AL640" s="1"/>
    </row>
    <row r="641" spans="6:38" s="36" customFormat="1" x14ac:dyDescent="0.25">
      <c r="F641" s="38"/>
      <c r="G641" s="1"/>
      <c r="K641" s="1"/>
      <c r="Y641" s="1"/>
      <c r="Z641" s="1"/>
      <c r="AA641" s="1"/>
      <c r="AB641" s="1"/>
      <c r="AC641" s="1"/>
      <c r="AD641" s="1"/>
      <c r="AE641" s="1"/>
      <c r="AF641" s="1"/>
      <c r="AG641" s="1"/>
      <c r="AH641" s="1"/>
      <c r="AI641" s="1"/>
      <c r="AJ641" s="1"/>
      <c r="AK641" s="1"/>
      <c r="AL641" s="1"/>
    </row>
    <row r="642" spans="6:38" s="36" customFormat="1" x14ac:dyDescent="0.25">
      <c r="F642" s="38"/>
      <c r="G642" s="1"/>
      <c r="K642" s="1"/>
      <c r="Y642" s="1"/>
      <c r="Z642" s="1"/>
      <c r="AA642" s="1"/>
      <c r="AB642" s="1"/>
      <c r="AC642" s="1"/>
      <c r="AD642" s="1"/>
      <c r="AE642" s="1"/>
      <c r="AF642" s="1"/>
      <c r="AG642" s="1"/>
      <c r="AH642" s="1"/>
      <c r="AI642" s="1"/>
      <c r="AJ642" s="1"/>
      <c r="AK642" s="1"/>
      <c r="AL642" s="1"/>
    </row>
    <row r="643" spans="6:38" s="36" customFormat="1" x14ac:dyDescent="0.25">
      <c r="F643" s="38"/>
      <c r="G643" s="1"/>
      <c r="K643" s="1"/>
      <c r="Y643" s="1"/>
      <c r="Z643" s="1"/>
      <c r="AA643" s="1"/>
      <c r="AB643" s="1"/>
      <c r="AC643" s="1"/>
      <c r="AD643" s="1"/>
      <c r="AE643" s="1"/>
      <c r="AF643" s="1"/>
      <c r="AG643" s="1"/>
      <c r="AH643" s="1"/>
      <c r="AI643" s="1"/>
      <c r="AJ643" s="1"/>
      <c r="AK643" s="1"/>
      <c r="AL643" s="1"/>
    </row>
    <row r="644" spans="6:38" s="36" customFormat="1" x14ac:dyDescent="0.25">
      <c r="F644" s="38"/>
      <c r="G644" s="1"/>
      <c r="K644" s="1"/>
      <c r="Y644" s="1"/>
      <c r="Z644" s="1"/>
      <c r="AA644" s="1"/>
      <c r="AB644" s="1"/>
      <c r="AC644" s="1"/>
      <c r="AD644" s="1"/>
      <c r="AE644" s="1"/>
      <c r="AF644" s="1"/>
      <c r="AG644" s="1"/>
      <c r="AH644" s="1"/>
      <c r="AI644" s="1"/>
      <c r="AJ644" s="1"/>
      <c r="AK644" s="1"/>
      <c r="AL644" s="1"/>
    </row>
    <row r="645" spans="6:38" s="36" customFormat="1" x14ac:dyDescent="0.25">
      <c r="F645" s="38"/>
      <c r="G645" s="1"/>
      <c r="K645" s="1"/>
      <c r="Y645" s="1"/>
      <c r="Z645" s="1"/>
      <c r="AA645" s="1"/>
      <c r="AB645" s="1"/>
      <c r="AC645" s="1"/>
      <c r="AD645" s="1"/>
      <c r="AE645" s="1"/>
      <c r="AF645" s="1"/>
      <c r="AG645" s="1"/>
      <c r="AH645" s="1"/>
      <c r="AI645" s="1"/>
      <c r="AJ645" s="1"/>
      <c r="AK645" s="1"/>
      <c r="AL645" s="1"/>
    </row>
    <row r="646" spans="6:38" s="36" customFormat="1" x14ac:dyDescent="0.25">
      <c r="F646" s="38"/>
      <c r="G646" s="1"/>
      <c r="K646" s="1"/>
      <c r="Y646" s="1"/>
      <c r="Z646" s="1"/>
      <c r="AA646" s="1"/>
      <c r="AB646" s="1"/>
      <c r="AC646" s="1"/>
      <c r="AD646" s="1"/>
      <c r="AE646" s="1"/>
      <c r="AF646" s="1"/>
      <c r="AG646" s="1"/>
      <c r="AH646" s="1"/>
      <c r="AI646" s="1"/>
      <c r="AJ646" s="1"/>
      <c r="AK646" s="1"/>
      <c r="AL646" s="1"/>
    </row>
    <row r="647" spans="6:38" s="36" customFormat="1" x14ac:dyDescent="0.25">
      <c r="F647" s="38"/>
      <c r="G647" s="1"/>
      <c r="K647" s="1"/>
      <c r="Y647" s="1"/>
      <c r="Z647" s="1"/>
      <c r="AA647" s="1"/>
      <c r="AB647" s="1"/>
      <c r="AC647" s="1"/>
      <c r="AD647" s="1"/>
      <c r="AE647" s="1"/>
      <c r="AF647" s="1"/>
      <c r="AG647" s="1"/>
      <c r="AH647" s="1"/>
      <c r="AI647" s="1"/>
      <c r="AJ647" s="1"/>
      <c r="AK647" s="1"/>
      <c r="AL647" s="1"/>
    </row>
    <row r="648" spans="6:38" s="36" customFormat="1" x14ac:dyDescent="0.25">
      <c r="F648" s="38"/>
      <c r="G648" s="1"/>
      <c r="K648" s="1"/>
      <c r="Y648" s="1"/>
      <c r="Z648" s="1"/>
      <c r="AA648" s="1"/>
      <c r="AB648" s="1"/>
      <c r="AC648" s="1"/>
      <c r="AD648" s="1"/>
      <c r="AE648" s="1"/>
      <c r="AF648" s="1"/>
      <c r="AG648" s="1"/>
      <c r="AH648" s="1"/>
      <c r="AI648" s="1"/>
      <c r="AJ648" s="1"/>
      <c r="AK648" s="1"/>
      <c r="AL648" s="1"/>
    </row>
    <row r="649" spans="6:38" s="36" customFormat="1" x14ac:dyDescent="0.25">
      <c r="F649" s="38"/>
      <c r="G649" s="1"/>
      <c r="K649" s="1"/>
      <c r="Y649" s="1"/>
      <c r="Z649" s="1"/>
      <c r="AA649" s="1"/>
      <c r="AB649" s="1"/>
      <c r="AC649" s="1"/>
      <c r="AD649" s="1"/>
      <c r="AE649" s="1"/>
      <c r="AF649" s="1"/>
      <c r="AG649" s="1"/>
      <c r="AH649" s="1"/>
      <c r="AI649" s="1"/>
      <c r="AJ649" s="1"/>
      <c r="AK649" s="1"/>
      <c r="AL649" s="1"/>
    </row>
    <row r="650" spans="6:38" s="36" customFormat="1" x14ac:dyDescent="0.25">
      <c r="F650" s="38"/>
      <c r="G650" s="1"/>
      <c r="K650" s="1"/>
      <c r="Y650" s="1"/>
      <c r="Z650" s="1"/>
      <c r="AA650" s="1"/>
      <c r="AB650" s="1"/>
      <c r="AC650" s="1"/>
      <c r="AD650" s="1"/>
      <c r="AE650" s="1"/>
      <c r="AF650" s="1"/>
      <c r="AG650" s="1"/>
      <c r="AH650" s="1"/>
      <c r="AI650" s="1"/>
      <c r="AJ650" s="1"/>
      <c r="AK650" s="1"/>
      <c r="AL650" s="1"/>
    </row>
    <row r="651" spans="6:38" s="36" customFormat="1" x14ac:dyDescent="0.25">
      <c r="F651" s="38"/>
      <c r="G651" s="1"/>
      <c r="K651" s="1"/>
      <c r="Y651" s="1"/>
      <c r="Z651" s="1"/>
      <c r="AA651" s="1"/>
      <c r="AB651" s="1"/>
      <c r="AC651" s="1"/>
      <c r="AD651" s="1"/>
      <c r="AE651" s="1"/>
      <c r="AF651" s="1"/>
      <c r="AG651" s="1"/>
      <c r="AH651" s="1"/>
      <c r="AI651" s="1"/>
      <c r="AJ651" s="1"/>
      <c r="AK651" s="1"/>
      <c r="AL651" s="1"/>
    </row>
    <row r="652" spans="6:38" s="36" customFormat="1" x14ac:dyDescent="0.25">
      <c r="F652" s="38"/>
      <c r="G652" s="1"/>
      <c r="K652" s="1"/>
      <c r="Y652" s="1"/>
      <c r="Z652" s="1"/>
      <c r="AA652" s="1"/>
      <c r="AB652" s="1"/>
      <c r="AC652" s="1"/>
      <c r="AD652" s="1"/>
      <c r="AE652" s="1"/>
      <c r="AF652" s="1"/>
      <c r="AG652" s="1"/>
      <c r="AH652" s="1"/>
      <c r="AI652" s="1"/>
      <c r="AJ652" s="1"/>
      <c r="AK652" s="1"/>
      <c r="AL652" s="1"/>
    </row>
    <row r="653" spans="6:38" s="36" customFormat="1" x14ac:dyDescent="0.25">
      <c r="F653" s="38"/>
      <c r="G653" s="1"/>
      <c r="K653" s="1"/>
      <c r="Y653" s="1"/>
      <c r="Z653" s="1"/>
      <c r="AA653" s="1"/>
      <c r="AB653" s="1"/>
      <c r="AC653" s="1"/>
      <c r="AD653" s="1"/>
      <c r="AE653" s="1"/>
      <c r="AF653" s="1"/>
      <c r="AG653" s="1"/>
      <c r="AH653" s="1"/>
      <c r="AI653" s="1"/>
      <c r="AJ653" s="1"/>
      <c r="AK653" s="1"/>
      <c r="AL653" s="1"/>
    </row>
    <row r="654" spans="6:38" s="36" customFormat="1" x14ac:dyDescent="0.25">
      <c r="F654" s="38"/>
      <c r="G654" s="1"/>
      <c r="K654" s="1"/>
      <c r="Y654" s="1"/>
      <c r="Z654" s="1"/>
      <c r="AA654" s="1"/>
      <c r="AB654" s="1"/>
      <c r="AC654" s="1"/>
      <c r="AD654" s="1"/>
      <c r="AE654" s="1"/>
      <c r="AF654" s="1"/>
      <c r="AG654" s="1"/>
      <c r="AH654" s="1"/>
      <c r="AI654" s="1"/>
      <c r="AJ654" s="1"/>
      <c r="AK654" s="1"/>
      <c r="AL654" s="1"/>
    </row>
    <row r="655" spans="6:38" s="36" customFormat="1" x14ac:dyDescent="0.25">
      <c r="F655" s="38"/>
      <c r="G655" s="1"/>
      <c r="K655" s="1"/>
      <c r="Y655" s="1"/>
      <c r="Z655" s="1"/>
      <c r="AA655" s="1"/>
      <c r="AB655" s="1"/>
      <c r="AC655" s="1"/>
      <c r="AD655" s="1"/>
      <c r="AE655" s="1"/>
      <c r="AF655" s="1"/>
      <c r="AG655" s="1"/>
      <c r="AH655" s="1"/>
      <c r="AI655" s="1"/>
      <c r="AJ655" s="1"/>
      <c r="AK655" s="1"/>
      <c r="AL655" s="1"/>
    </row>
    <row r="656" spans="6:38" s="36" customFormat="1" x14ac:dyDescent="0.25">
      <c r="F656" s="38"/>
      <c r="G656" s="1"/>
      <c r="K656" s="1"/>
      <c r="Y656" s="1"/>
      <c r="Z656" s="1"/>
      <c r="AA656" s="1"/>
      <c r="AB656" s="1"/>
      <c r="AC656" s="1"/>
      <c r="AD656" s="1"/>
      <c r="AE656" s="1"/>
      <c r="AF656" s="1"/>
      <c r="AG656" s="1"/>
      <c r="AH656" s="1"/>
      <c r="AI656" s="1"/>
      <c r="AJ656" s="1"/>
      <c r="AK656" s="1"/>
      <c r="AL656" s="1"/>
    </row>
    <row r="657" spans="6:38" s="36" customFormat="1" x14ac:dyDescent="0.25">
      <c r="F657" s="38"/>
      <c r="G657" s="1"/>
      <c r="K657" s="1"/>
      <c r="Y657" s="1"/>
      <c r="Z657" s="1"/>
      <c r="AA657" s="1"/>
      <c r="AB657" s="1"/>
      <c r="AC657" s="1"/>
      <c r="AD657" s="1"/>
      <c r="AE657" s="1"/>
      <c r="AF657" s="1"/>
      <c r="AG657" s="1"/>
      <c r="AH657" s="1"/>
      <c r="AI657" s="1"/>
      <c r="AJ657" s="1"/>
      <c r="AK657" s="1"/>
      <c r="AL657" s="1"/>
    </row>
    <row r="658" spans="6:38" s="36" customFormat="1" x14ac:dyDescent="0.25">
      <c r="F658" s="38"/>
      <c r="G658" s="1"/>
      <c r="K658" s="1"/>
      <c r="Y658" s="1"/>
      <c r="Z658" s="1"/>
      <c r="AA658" s="1"/>
      <c r="AB658" s="1"/>
      <c r="AC658" s="1"/>
      <c r="AD658" s="1"/>
      <c r="AE658" s="1"/>
      <c r="AF658" s="1"/>
      <c r="AG658" s="1"/>
      <c r="AH658" s="1"/>
      <c r="AI658" s="1"/>
      <c r="AJ658" s="1"/>
      <c r="AK658" s="1"/>
      <c r="AL658" s="1"/>
    </row>
    <row r="659" spans="6:38" s="36" customFormat="1" x14ac:dyDescent="0.25">
      <c r="F659" s="38"/>
      <c r="G659" s="1"/>
      <c r="K659" s="1"/>
      <c r="Y659" s="1"/>
      <c r="Z659" s="1"/>
      <c r="AA659" s="1"/>
      <c r="AB659" s="1"/>
      <c r="AC659" s="1"/>
      <c r="AD659" s="1"/>
      <c r="AE659" s="1"/>
      <c r="AF659" s="1"/>
      <c r="AG659" s="1"/>
      <c r="AH659" s="1"/>
      <c r="AI659" s="1"/>
      <c r="AJ659" s="1"/>
      <c r="AK659" s="1"/>
      <c r="AL659" s="1"/>
    </row>
    <row r="660" spans="6:38" s="36" customFormat="1" x14ac:dyDescent="0.25">
      <c r="F660" s="38"/>
      <c r="G660" s="1"/>
      <c r="K660" s="1"/>
      <c r="Y660" s="1"/>
      <c r="Z660" s="1"/>
      <c r="AA660" s="1"/>
      <c r="AB660" s="1"/>
      <c r="AC660" s="1"/>
      <c r="AD660" s="1"/>
      <c r="AE660" s="1"/>
      <c r="AF660" s="1"/>
      <c r="AG660" s="1"/>
      <c r="AH660" s="1"/>
      <c r="AI660" s="1"/>
      <c r="AJ660" s="1"/>
      <c r="AK660" s="1"/>
      <c r="AL660" s="1"/>
    </row>
    <row r="661" spans="6:38" s="36" customFormat="1" x14ac:dyDescent="0.25">
      <c r="F661" s="38"/>
      <c r="G661" s="1"/>
      <c r="K661" s="1"/>
      <c r="Y661" s="1"/>
      <c r="Z661" s="1"/>
      <c r="AA661" s="1"/>
      <c r="AB661" s="1"/>
      <c r="AC661" s="1"/>
      <c r="AD661" s="1"/>
      <c r="AE661" s="1"/>
      <c r="AF661" s="1"/>
      <c r="AG661" s="1"/>
      <c r="AH661" s="1"/>
      <c r="AI661" s="1"/>
      <c r="AJ661" s="1"/>
      <c r="AK661" s="1"/>
      <c r="AL661" s="1"/>
    </row>
    <row r="662" spans="6:38" s="36" customFormat="1" x14ac:dyDescent="0.25">
      <c r="F662" s="38"/>
      <c r="G662" s="1"/>
      <c r="K662" s="1"/>
      <c r="Y662" s="1"/>
      <c r="Z662" s="1"/>
      <c r="AA662" s="1"/>
      <c r="AB662" s="1"/>
      <c r="AC662" s="1"/>
      <c r="AD662" s="1"/>
      <c r="AE662" s="1"/>
      <c r="AF662" s="1"/>
      <c r="AG662" s="1"/>
      <c r="AH662" s="1"/>
      <c r="AI662" s="1"/>
      <c r="AJ662" s="1"/>
      <c r="AK662" s="1"/>
      <c r="AL662" s="1"/>
    </row>
    <row r="663" spans="6:38" s="36" customFormat="1" x14ac:dyDescent="0.25">
      <c r="F663" s="38"/>
      <c r="G663" s="1"/>
      <c r="K663" s="1"/>
      <c r="Y663" s="1"/>
      <c r="Z663" s="1"/>
      <c r="AA663" s="1"/>
      <c r="AB663" s="1"/>
      <c r="AC663" s="1"/>
      <c r="AD663" s="1"/>
      <c r="AE663" s="1"/>
      <c r="AF663" s="1"/>
      <c r="AG663" s="1"/>
      <c r="AH663" s="1"/>
      <c r="AI663" s="1"/>
      <c r="AJ663" s="1"/>
      <c r="AK663" s="1"/>
      <c r="AL663" s="1"/>
    </row>
    <row r="664" spans="6:38" s="36" customFormat="1" x14ac:dyDescent="0.25">
      <c r="F664" s="38"/>
      <c r="G664" s="1"/>
      <c r="K664" s="1"/>
      <c r="Y664" s="1"/>
      <c r="Z664" s="1"/>
      <c r="AA664" s="1"/>
      <c r="AB664" s="1"/>
      <c r="AC664" s="1"/>
      <c r="AD664" s="1"/>
      <c r="AE664" s="1"/>
      <c r="AF664" s="1"/>
      <c r="AG664" s="1"/>
      <c r="AH664" s="1"/>
      <c r="AI664" s="1"/>
      <c r="AJ664" s="1"/>
      <c r="AK664" s="1"/>
      <c r="AL664" s="1"/>
    </row>
    <row r="665" spans="6:38" s="36" customFormat="1" x14ac:dyDescent="0.25">
      <c r="F665" s="38"/>
      <c r="G665" s="1"/>
      <c r="K665" s="1"/>
      <c r="Y665" s="1"/>
      <c r="Z665" s="1"/>
      <c r="AA665" s="1"/>
      <c r="AB665" s="1"/>
      <c r="AC665" s="1"/>
      <c r="AD665" s="1"/>
      <c r="AE665" s="1"/>
      <c r="AF665" s="1"/>
      <c r="AG665" s="1"/>
      <c r="AH665" s="1"/>
      <c r="AI665" s="1"/>
      <c r="AJ665" s="1"/>
      <c r="AK665" s="1"/>
      <c r="AL665" s="1"/>
    </row>
    <row r="666" spans="6:38" s="36" customFormat="1" x14ac:dyDescent="0.25">
      <c r="F666" s="38"/>
      <c r="G666" s="1"/>
      <c r="K666" s="1"/>
      <c r="Y666" s="1"/>
      <c r="Z666" s="1"/>
      <c r="AA666" s="1"/>
      <c r="AB666" s="1"/>
      <c r="AC666" s="1"/>
      <c r="AD666" s="1"/>
      <c r="AE666" s="1"/>
      <c r="AF666" s="1"/>
      <c r="AG666" s="1"/>
      <c r="AH666" s="1"/>
      <c r="AI666" s="1"/>
      <c r="AJ666" s="1"/>
      <c r="AK666" s="1"/>
      <c r="AL666" s="1"/>
    </row>
    <row r="667" spans="6:38" s="36" customFormat="1" x14ac:dyDescent="0.25">
      <c r="F667" s="38"/>
      <c r="G667" s="1"/>
      <c r="K667" s="1"/>
      <c r="Y667" s="1"/>
      <c r="Z667" s="1"/>
      <c r="AA667" s="1"/>
      <c r="AB667" s="1"/>
      <c r="AC667" s="1"/>
      <c r="AD667" s="1"/>
      <c r="AE667" s="1"/>
      <c r="AF667" s="1"/>
      <c r="AG667" s="1"/>
      <c r="AH667" s="1"/>
      <c r="AI667" s="1"/>
      <c r="AJ667" s="1"/>
      <c r="AK667" s="1"/>
      <c r="AL667" s="1"/>
    </row>
    <row r="668" spans="6:38" s="36" customFormat="1" x14ac:dyDescent="0.25">
      <c r="F668" s="38"/>
      <c r="G668" s="1"/>
      <c r="K668" s="1"/>
      <c r="Y668" s="1"/>
      <c r="Z668" s="1"/>
      <c r="AA668" s="1"/>
      <c r="AB668" s="1"/>
      <c r="AC668" s="1"/>
      <c r="AD668" s="1"/>
      <c r="AE668" s="1"/>
      <c r="AF668" s="1"/>
      <c r="AG668" s="1"/>
      <c r="AH668" s="1"/>
      <c r="AI668" s="1"/>
      <c r="AJ668" s="1"/>
      <c r="AK668" s="1"/>
      <c r="AL668" s="1"/>
    </row>
    <row r="669" spans="6:38" s="36" customFormat="1" x14ac:dyDescent="0.25">
      <c r="F669" s="38"/>
      <c r="G669" s="1"/>
      <c r="K669" s="1"/>
      <c r="Y669" s="1"/>
      <c r="Z669" s="1"/>
      <c r="AA669" s="1"/>
      <c r="AB669" s="1"/>
      <c r="AC669" s="1"/>
      <c r="AD669" s="1"/>
      <c r="AE669" s="1"/>
      <c r="AF669" s="1"/>
      <c r="AG669" s="1"/>
      <c r="AH669" s="1"/>
      <c r="AI669" s="1"/>
      <c r="AJ669" s="1"/>
      <c r="AK669" s="1"/>
      <c r="AL669" s="1"/>
    </row>
    <row r="670" spans="6:38" s="36" customFormat="1" x14ac:dyDescent="0.25">
      <c r="F670" s="38"/>
      <c r="G670" s="1"/>
      <c r="K670" s="1"/>
      <c r="Y670" s="1"/>
      <c r="Z670" s="1"/>
      <c r="AA670" s="1"/>
      <c r="AB670" s="1"/>
      <c r="AC670" s="1"/>
      <c r="AD670" s="1"/>
      <c r="AE670" s="1"/>
      <c r="AF670" s="1"/>
      <c r="AG670" s="1"/>
      <c r="AH670" s="1"/>
      <c r="AI670" s="1"/>
      <c r="AJ670" s="1"/>
      <c r="AK670" s="1"/>
      <c r="AL670" s="1"/>
    </row>
    <row r="671" spans="6:38" s="36" customFormat="1" x14ac:dyDescent="0.25">
      <c r="F671" s="38"/>
      <c r="G671" s="1"/>
      <c r="K671" s="1"/>
      <c r="Y671" s="1"/>
      <c r="Z671" s="1"/>
      <c r="AA671" s="1"/>
      <c r="AB671" s="1"/>
      <c r="AC671" s="1"/>
      <c r="AD671" s="1"/>
      <c r="AE671" s="1"/>
      <c r="AF671" s="1"/>
      <c r="AG671" s="1"/>
      <c r="AH671" s="1"/>
      <c r="AI671" s="1"/>
      <c r="AJ671" s="1"/>
      <c r="AK671" s="1"/>
      <c r="AL671" s="1"/>
    </row>
    <row r="672" spans="6:38" s="36" customFormat="1" x14ac:dyDescent="0.25">
      <c r="F672" s="38"/>
      <c r="G672" s="1"/>
      <c r="K672" s="1"/>
      <c r="Y672" s="1"/>
      <c r="Z672" s="1"/>
      <c r="AA672" s="1"/>
      <c r="AB672" s="1"/>
      <c r="AC672" s="1"/>
      <c r="AD672" s="1"/>
      <c r="AE672" s="1"/>
      <c r="AF672" s="1"/>
      <c r="AG672" s="1"/>
      <c r="AH672" s="1"/>
      <c r="AI672" s="1"/>
      <c r="AJ672" s="1"/>
      <c r="AK672" s="1"/>
      <c r="AL672" s="1"/>
    </row>
    <row r="673" spans="6:38" s="36" customFormat="1" x14ac:dyDescent="0.25">
      <c r="F673" s="38"/>
      <c r="G673" s="1"/>
      <c r="K673" s="1"/>
      <c r="Y673" s="1"/>
      <c r="Z673" s="1"/>
      <c r="AA673" s="1"/>
      <c r="AB673" s="1"/>
      <c r="AC673" s="1"/>
      <c r="AD673" s="1"/>
      <c r="AE673" s="1"/>
      <c r="AF673" s="1"/>
      <c r="AG673" s="1"/>
      <c r="AH673" s="1"/>
      <c r="AI673" s="1"/>
      <c r="AJ673" s="1"/>
      <c r="AK673" s="1"/>
      <c r="AL673" s="1"/>
    </row>
    <row r="674" spans="6:38" s="36" customFormat="1" x14ac:dyDescent="0.25">
      <c r="F674" s="38"/>
      <c r="G674" s="1"/>
      <c r="K674" s="1"/>
      <c r="Y674" s="1"/>
      <c r="Z674" s="1"/>
      <c r="AA674" s="1"/>
      <c r="AB674" s="1"/>
      <c r="AC674" s="1"/>
      <c r="AD674" s="1"/>
      <c r="AE674" s="1"/>
      <c r="AF674" s="1"/>
      <c r="AG674" s="1"/>
      <c r="AH674" s="1"/>
      <c r="AI674" s="1"/>
      <c r="AJ674" s="1"/>
      <c r="AK674" s="1"/>
      <c r="AL674" s="1"/>
    </row>
    <row r="675" spans="6:38" s="36" customFormat="1" x14ac:dyDescent="0.25">
      <c r="F675" s="38"/>
      <c r="G675" s="1"/>
      <c r="K675" s="1"/>
      <c r="Y675" s="1"/>
      <c r="Z675" s="1"/>
      <c r="AA675" s="1"/>
      <c r="AB675" s="1"/>
      <c r="AC675" s="1"/>
      <c r="AD675" s="1"/>
      <c r="AE675" s="1"/>
      <c r="AF675" s="1"/>
      <c r="AG675" s="1"/>
      <c r="AH675" s="1"/>
      <c r="AI675" s="1"/>
      <c r="AJ675" s="1"/>
      <c r="AK675" s="1"/>
      <c r="AL675" s="1"/>
    </row>
    <row r="676" spans="6:38" s="36" customFormat="1" x14ac:dyDescent="0.25">
      <c r="F676" s="38"/>
      <c r="G676" s="1"/>
      <c r="K676" s="1"/>
      <c r="Y676" s="1"/>
      <c r="Z676" s="1"/>
      <c r="AA676" s="1"/>
      <c r="AB676" s="1"/>
      <c r="AC676" s="1"/>
      <c r="AD676" s="1"/>
      <c r="AE676" s="1"/>
      <c r="AF676" s="1"/>
      <c r="AG676" s="1"/>
      <c r="AH676" s="1"/>
      <c r="AI676" s="1"/>
      <c r="AJ676" s="1"/>
      <c r="AK676" s="1"/>
      <c r="AL676" s="1"/>
    </row>
    <row r="677" spans="6:38" s="36" customFormat="1" x14ac:dyDescent="0.25">
      <c r="F677" s="38"/>
      <c r="G677" s="1"/>
      <c r="K677" s="1"/>
      <c r="Y677" s="1"/>
      <c r="Z677" s="1"/>
      <c r="AA677" s="1"/>
      <c r="AB677" s="1"/>
      <c r="AC677" s="1"/>
      <c r="AD677" s="1"/>
      <c r="AE677" s="1"/>
      <c r="AF677" s="1"/>
      <c r="AG677" s="1"/>
      <c r="AH677" s="1"/>
      <c r="AI677" s="1"/>
      <c r="AJ677" s="1"/>
      <c r="AK677" s="1"/>
      <c r="AL677" s="1"/>
    </row>
    <row r="678" spans="6:38" s="36" customFormat="1" x14ac:dyDescent="0.25">
      <c r="F678" s="38"/>
      <c r="G678" s="1"/>
      <c r="K678" s="1"/>
      <c r="Y678" s="1"/>
      <c r="Z678" s="1"/>
      <c r="AA678" s="1"/>
      <c r="AB678" s="1"/>
      <c r="AC678" s="1"/>
      <c r="AD678" s="1"/>
      <c r="AE678" s="1"/>
      <c r="AF678" s="1"/>
      <c r="AG678" s="1"/>
      <c r="AH678" s="1"/>
      <c r="AI678" s="1"/>
      <c r="AJ678" s="1"/>
      <c r="AK678" s="1"/>
      <c r="AL678" s="1"/>
    </row>
    <row r="679" spans="6:38" s="36" customFormat="1" x14ac:dyDescent="0.25">
      <c r="F679" s="38"/>
      <c r="G679" s="1"/>
      <c r="K679" s="1"/>
      <c r="Y679" s="1"/>
      <c r="Z679" s="1"/>
      <c r="AA679" s="1"/>
      <c r="AB679" s="1"/>
      <c r="AC679" s="1"/>
      <c r="AD679" s="1"/>
      <c r="AE679" s="1"/>
      <c r="AF679" s="1"/>
      <c r="AG679" s="1"/>
      <c r="AH679" s="1"/>
      <c r="AI679" s="1"/>
      <c r="AJ679" s="1"/>
      <c r="AK679" s="1"/>
      <c r="AL679" s="1"/>
    </row>
    <row r="680" spans="6:38" s="36" customFormat="1" x14ac:dyDescent="0.25">
      <c r="F680" s="38"/>
      <c r="G680" s="1"/>
      <c r="K680" s="1"/>
      <c r="Y680" s="1"/>
      <c r="Z680" s="1"/>
      <c r="AA680" s="1"/>
      <c r="AB680" s="1"/>
      <c r="AC680" s="1"/>
      <c r="AD680" s="1"/>
      <c r="AE680" s="1"/>
      <c r="AF680" s="1"/>
      <c r="AG680" s="1"/>
      <c r="AH680" s="1"/>
      <c r="AI680" s="1"/>
      <c r="AJ680" s="1"/>
      <c r="AK680" s="1"/>
      <c r="AL680" s="1"/>
    </row>
    <row r="681" spans="6:38" s="36" customFormat="1" x14ac:dyDescent="0.25">
      <c r="F681" s="38"/>
      <c r="G681" s="1"/>
      <c r="K681" s="1"/>
      <c r="Y681" s="1"/>
      <c r="Z681" s="1"/>
      <c r="AA681" s="1"/>
      <c r="AB681" s="1"/>
      <c r="AC681" s="1"/>
      <c r="AD681" s="1"/>
      <c r="AE681" s="1"/>
      <c r="AF681" s="1"/>
      <c r="AG681" s="1"/>
      <c r="AH681" s="1"/>
      <c r="AI681" s="1"/>
      <c r="AJ681" s="1"/>
      <c r="AK681" s="1"/>
      <c r="AL681" s="1"/>
    </row>
    <row r="682" spans="6:38" s="36" customFormat="1" x14ac:dyDescent="0.25">
      <c r="F682" s="38"/>
      <c r="G682" s="1"/>
      <c r="K682" s="1"/>
      <c r="Y682" s="1"/>
      <c r="Z682" s="1"/>
      <c r="AA682" s="1"/>
      <c r="AB682" s="1"/>
      <c r="AC682" s="1"/>
      <c r="AD682" s="1"/>
      <c r="AE682" s="1"/>
      <c r="AF682" s="1"/>
      <c r="AG682" s="1"/>
      <c r="AH682" s="1"/>
      <c r="AI682" s="1"/>
      <c r="AJ682" s="1"/>
      <c r="AK682" s="1"/>
      <c r="AL682" s="1"/>
    </row>
    <row r="683" spans="6:38" s="36" customFormat="1" x14ac:dyDescent="0.25">
      <c r="F683" s="38"/>
      <c r="G683" s="1"/>
      <c r="K683" s="1"/>
      <c r="Y683" s="1"/>
      <c r="Z683" s="1"/>
      <c r="AA683" s="1"/>
      <c r="AB683" s="1"/>
      <c r="AC683" s="1"/>
      <c r="AD683" s="1"/>
      <c r="AE683" s="1"/>
      <c r="AF683" s="1"/>
      <c r="AG683" s="1"/>
      <c r="AH683" s="1"/>
      <c r="AI683" s="1"/>
      <c r="AJ683" s="1"/>
      <c r="AK683" s="1"/>
      <c r="AL683" s="1"/>
    </row>
  </sheetData>
  <mergeCells count="102">
    <mergeCell ref="A1:E2"/>
    <mergeCell ref="F1:X1"/>
    <mergeCell ref="F2:X2"/>
    <mergeCell ref="A3:E3"/>
    <mergeCell ref="F3:T3"/>
    <mergeCell ref="A4:E5"/>
    <mergeCell ref="F4:X4"/>
    <mergeCell ref="F5:X5"/>
    <mergeCell ref="A6:A8"/>
    <mergeCell ref="B6:B8"/>
    <mergeCell ref="C6:C8"/>
    <mergeCell ref="D6:E7"/>
    <mergeCell ref="F6:F8"/>
    <mergeCell ref="N6:N8"/>
    <mergeCell ref="O6:R7"/>
    <mergeCell ref="S6:S8"/>
    <mergeCell ref="T6:W6"/>
    <mergeCell ref="X6:X8"/>
    <mergeCell ref="T7:W7"/>
    <mergeCell ref="G6:G8"/>
    <mergeCell ref="H6:H8"/>
    <mergeCell ref="I6:I8"/>
    <mergeCell ref="J6:J8"/>
    <mergeCell ref="K6:K8"/>
    <mergeCell ref="L6:M7"/>
    <mergeCell ref="X9:X10"/>
    <mergeCell ref="C11:C13"/>
    <mergeCell ref="D11:D13"/>
    <mergeCell ref="E11:E13"/>
    <mergeCell ref="F13:F16"/>
    <mergeCell ref="G13:G16"/>
    <mergeCell ref="H13:H16"/>
    <mergeCell ref="V9:V10"/>
    <mergeCell ref="W9:W10"/>
    <mergeCell ref="G9:G12"/>
    <mergeCell ref="H9:H12"/>
    <mergeCell ref="I9:I10"/>
    <mergeCell ref="J9:J10"/>
    <mergeCell ref="T9:T10"/>
    <mergeCell ref="U9:U10"/>
    <mergeCell ref="C9:C10"/>
    <mergeCell ref="D9:D10"/>
    <mergeCell ref="E9:E10"/>
    <mergeCell ref="F9:F12"/>
    <mergeCell ref="X13:X14"/>
    <mergeCell ref="C14:C16"/>
    <mergeCell ref="D14:D16"/>
    <mergeCell ref="E14:E16"/>
    <mergeCell ref="D17:D35"/>
    <mergeCell ref="E17:E35"/>
    <mergeCell ref="I13:I14"/>
    <mergeCell ref="J13:J14"/>
    <mergeCell ref="T13:T14"/>
    <mergeCell ref="U13:U14"/>
    <mergeCell ref="F28:F35"/>
    <mergeCell ref="G28:G35"/>
    <mergeCell ref="H28:H35"/>
    <mergeCell ref="I28:I29"/>
    <mergeCell ref="J28:J29"/>
    <mergeCell ref="T28:T29"/>
    <mergeCell ref="U28:U29"/>
    <mergeCell ref="V13:V14"/>
    <mergeCell ref="W13:W14"/>
    <mergeCell ref="A9:A16"/>
    <mergeCell ref="B9:B16"/>
    <mergeCell ref="X17:X18"/>
    <mergeCell ref="I21:I22"/>
    <mergeCell ref="J21:J22"/>
    <mergeCell ref="T21:T22"/>
    <mergeCell ref="U21:U22"/>
    <mergeCell ref="V21:V22"/>
    <mergeCell ref="U17:U18"/>
    <mergeCell ref="V17:V18"/>
    <mergeCell ref="W17:W18"/>
    <mergeCell ref="I17:I18"/>
    <mergeCell ref="J17:J18"/>
    <mergeCell ref="T17:T18"/>
    <mergeCell ref="X21:X22"/>
    <mergeCell ref="W21:W22"/>
    <mergeCell ref="F17:F27"/>
    <mergeCell ref="G17:G27"/>
    <mergeCell ref="H17:H27"/>
    <mergeCell ref="A17:A35"/>
    <mergeCell ref="B17:B35"/>
    <mergeCell ref="C17:C35"/>
    <mergeCell ref="X34:X35"/>
    <mergeCell ref="X30:X31"/>
    <mergeCell ref="I34:I35"/>
    <mergeCell ref="J34:J35"/>
    <mergeCell ref="T34:T35"/>
    <mergeCell ref="U34:U35"/>
    <mergeCell ref="V34:V35"/>
    <mergeCell ref="W34:W35"/>
    <mergeCell ref="X28:X29"/>
    <mergeCell ref="I30:I31"/>
    <mergeCell ref="J30:J31"/>
    <mergeCell ref="T30:T31"/>
    <mergeCell ref="U30:U31"/>
    <mergeCell ref="V30:V31"/>
    <mergeCell ref="W30:W31"/>
    <mergeCell ref="V28:V29"/>
    <mergeCell ref="W28:W29"/>
  </mergeCells>
  <printOptions horizontalCentered="1" verticalCentered="1"/>
  <pageMargins left="0.39370078740157483" right="0.39370078740157483" top="1.0236220472440944" bottom="0.78740157480314965" header="0.59055118110236227" footer="0.59055118110236227"/>
  <pageSetup scale="6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7"/>
    <pageSetUpPr fitToPage="1"/>
  </sheetPr>
  <dimension ref="A1:AA682"/>
  <sheetViews>
    <sheetView showGridLines="0" zoomScale="115" zoomScaleNormal="115" workbookViewId="0">
      <selection activeCell="M9" sqref="M9"/>
    </sheetView>
  </sheetViews>
  <sheetFormatPr baseColWidth="10" defaultColWidth="11.5546875" defaultRowHeight="11.4" zeroHeight="1" x14ac:dyDescent="0.25"/>
  <cols>
    <col min="1" max="1" width="10.33203125" style="36" customWidth="1"/>
    <col min="2" max="2" width="26.109375" style="36" customWidth="1"/>
    <col min="3" max="4" width="16" style="36" customWidth="1"/>
    <col min="5" max="5" width="13.44140625" style="36" customWidth="1"/>
    <col min="6" max="6" width="18" style="38" customWidth="1"/>
    <col min="7" max="7" width="20.109375" style="1" customWidth="1"/>
    <col min="8" max="8" width="20.44140625" style="36" customWidth="1"/>
    <col min="9" max="9" width="30.109375" style="36" customWidth="1"/>
    <col min="10" max="10" width="27.44140625" style="1" customWidth="1"/>
    <col min="11" max="11" width="15.6640625" style="36" bestFit="1" customWidth="1"/>
    <col min="12" max="12" width="8.5546875" style="36" bestFit="1" customWidth="1"/>
    <col min="13" max="13" width="9.5546875" style="36" customWidth="1"/>
    <col min="14" max="14" width="7.6640625" style="36" bestFit="1" customWidth="1"/>
    <col min="15" max="15" width="7.6640625" style="36" customWidth="1"/>
    <col min="16" max="16" width="7.6640625" style="36" bestFit="1" customWidth="1"/>
    <col min="17" max="17" width="10.5546875" style="36" customWidth="1"/>
    <col min="18" max="18" width="13.44140625" style="36" bestFit="1" customWidth="1"/>
    <col min="19" max="19" width="4.5546875" style="36" customWidth="1"/>
    <col min="20" max="22" width="6" style="36" customWidth="1"/>
    <col min="23" max="23" width="18" style="36" customWidth="1"/>
    <col min="24" max="24" width="11.5546875" style="1" customWidth="1"/>
    <col min="25" max="16384" width="11.5546875" style="1"/>
  </cols>
  <sheetData>
    <row r="1" spans="1:23" ht="12" customHeight="1" x14ac:dyDescent="0.25">
      <c r="A1" s="91" t="s">
        <v>0</v>
      </c>
      <c r="B1" s="92"/>
      <c r="C1" s="92"/>
      <c r="D1" s="92"/>
      <c r="E1" s="93"/>
      <c r="F1" s="97" t="s">
        <v>440</v>
      </c>
      <c r="G1" s="98"/>
      <c r="H1" s="98"/>
      <c r="I1" s="98"/>
      <c r="J1" s="98"/>
      <c r="K1" s="98"/>
      <c r="L1" s="98"/>
      <c r="M1" s="98"/>
      <c r="N1" s="98"/>
      <c r="O1" s="98"/>
      <c r="P1" s="98"/>
      <c r="Q1" s="98"/>
      <c r="R1" s="98"/>
      <c r="S1" s="98"/>
      <c r="T1" s="98"/>
      <c r="U1" s="98"/>
      <c r="V1" s="98"/>
      <c r="W1" s="99"/>
    </row>
    <row r="2" spans="1:23" x14ac:dyDescent="0.25">
      <c r="A2" s="94"/>
      <c r="B2" s="95"/>
      <c r="C2" s="95"/>
      <c r="D2" s="95"/>
      <c r="E2" s="96"/>
      <c r="F2" s="100" t="s">
        <v>1</v>
      </c>
      <c r="G2" s="101"/>
      <c r="H2" s="101"/>
      <c r="I2" s="101"/>
      <c r="J2" s="101"/>
      <c r="K2" s="101"/>
      <c r="L2" s="101"/>
      <c r="M2" s="101"/>
      <c r="N2" s="101"/>
      <c r="O2" s="101"/>
      <c r="P2" s="101"/>
      <c r="Q2" s="101"/>
      <c r="R2" s="101"/>
      <c r="S2" s="101"/>
      <c r="T2" s="101"/>
      <c r="U2" s="101"/>
      <c r="V2" s="101"/>
      <c r="W2" s="102"/>
    </row>
    <row r="3" spans="1:23" ht="24" customHeight="1" x14ac:dyDescent="0.25">
      <c r="A3" s="103" t="s">
        <v>2</v>
      </c>
      <c r="B3" s="104"/>
      <c r="C3" s="104"/>
      <c r="D3" s="104"/>
      <c r="E3" s="105"/>
      <c r="F3" s="106" t="s">
        <v>679</v>
      </c>
      <c r="G3" s="107"/>
      <c r="H3" s="107"/>
      <c r="I3" s="107"/>
      <c r="J3" s="107"/>
      <c r="K3" s="107"/>
      <c r="L3" s="107"/>
      <c r="M3" s="107"/>
      <c r="N3" s="107"/>
      <c r="O3" s="107"/>
      <c r="P3" s="107"/>
      <c r="Q3" s="107"/>
      <c r="R3" s="107"/>
      <c r="S3" s="107"/>
      <c r="T3" s="2"/>
      <c r="U3" s="2"/>
      <c r="V3" s="2"/>
      <c r="W3" s="4"/>
    </row>
    <row r="4" spans="1:23" ht="12" customHeight="1" x14ac:dyDescent="0.25">
      <c r="A4" s="91" t="s">
        <v>3</v>
      </c>
      <c r="B4" s="92"/>
      <c r="C4" s="92"/>
      <c r="D4" s="92"/>
      <c r="E4" s="93"/>
      <c r="F4" s="97" t="s">
        <v>578</v>
      </c>
      <c r="G4" s="98"/>
      <c r="H4" s="98"/>
      <c r="I4" s="98"/>
      <c r="J4" s="98"/>
      <c r="K4" s="98"/>
      <c r="L4" s="98"/>
      <c r="M4" s="98"/>
      <c r="N4" s="98"/>
      <c r="O4" s="98"/>
      <c r="P4" s="98"/>
      <c r="Q4" s="98"/>
      <c r="R4" s="98"/>
      <c r="S4" s="98"/>
      <c r="T4" s="98"/>
      <c r="U4" s="98"/>
      <c r="V4" s="98"/>
      <c r="W4" s="99"/>
    </row>
    <row r="5" spans="1:23" x14ac:dyDescent="0.25">
      <c r="A5" s="94"/>
      <c r="B5" s="95"/>
      <c r="C5" s="95"/>
      <c r="D5" s="95"/>
      <c r="E5" s="96"/>
      <c r="F5" s="100" t="s">
        <v>579</v>
      </c>
      <c r="G5" s="101"/>
      <c r="H5" s="101"/>
      <c r="I5" s="101"/>
      <c r="J5" s="101"/>
      <c r="K5" s="101"/>
      <c r="L5" s="101"/>
      <c r="M5" s="101"/>
      <c r="N5" s="101"/>
      <c r="O5" s="101"/>
      <c r="P5" s="101"/>
      <c r="Q5" s="101"/>
      <c r="R5" s="101"/>
      <c r="S5" s="101"/>
      <c r="T5" s="101"/>
      <c r="U5" s="101"/>
      <c r="V5" s="101"/>
      <c r="W5" s="102"/>
    </row>
    <row r="6" spans="1:23" ht="25.5" customHeight="1" x14ac:dyDescent="0.25">
      <c r="A6" s="88" t="s">
        <v>6</v>
      </c>
      <c r="B6" s="110" t="s">
        <v>7</v>
      </c>
      <c r="C6" s="108" t="s">
        <v>470</v>
      </c>
      <c r="D6" s="88" t="s">
        <v>8</v>
      </c>
      <c r="E6" s="88"/>
      <c r="F6" s="108" t="s">
        <v>9</v>
      </c>
      <c r="G6" s="108" t="s">
        <v>10</v>
      </c>
      <c r="H6" s="108" t="s">
        <v>11</v>
      </c>
      <c r="I6" s="108" t="s">
        <v>13</v>
      </c>
      <c r="J6" s="108" t="s">
        <v>14</v>
      </c>
      <c r="K6" s="111" t="s">
        <v>15</v>
      </c>
      <c r="L6" s="112"/>
      <c r="M6" s="110" t="s">
        <v>16</v>
      </c>
      <c r="N6" s="111" t="s">
        <v>472</v>
      </c>
      <c r="O6" s="113"/>
      <c r="P6" s="113"/>
      <c r="Q6" s="112"/>
      <c r="R6" s="108" t="s">
        <v>471</v>
      </c>
      <c r="S6" s="94" t="s">
        <v>17</v>
      </c>
      <c r="T6" s="95"/>
      <c r="U6" s="95"/>
      <c r="V6" s="95"/>
      <c r="W6" s="108" t="s">
        <v>18</v>
      </c>
    </row>
    <row r="7" spans="1:23" ht="12" x14ac:dyDescent="0.25">
      <c r="A7" s="88"/>
      <c r="B7" s="108"/>
      <c r="C7" s="108"/>
      <c r="D7" s="88"/>
      <c r="E7" s="88"/>
      <c r="F7" s="108"/>
      <c r="G7" s="108"/>
      <c r="H7" s="108"/>
      <c r="I7" s="108"/>
      <c r="J7" s="108"/>
      <c r="K7" s="94"/>
      <c r="L7" s="96"/>
      <c r="M7" s="108"/>
      <c r="N7" s="94"/>
      <c r="O7" s="95"/>
      <c r="P7" s="95"/>
      <c r="Q7" s="96"/>
      <c r="R7" s="108"/>
      <c r="S7" s="88">
        <v>2020</v>
      </c>
      <c r="T7" s="88"/>
      <c r="U7" s="88"/>
      <c r="V7" s="88"/>
      <c r="W7" s="108"/>
    </row>
    <row r="8" spans="1:23" ht="34.200000000000003" x14ac:dyDescent="0.25">
      <c r="A8" s="88"/>
      <c r="B8" s="109"/>
      <c r="C8" s="109"/>
      <c r="D8" s="41" t="s">
        <v>19</v>
      </c>
      <c r="E8" s="41" t="s">
        <v>893</v>
      </c>
      <c r="F8" s="109"/>
      <c r="G8" s="109"/>
      <c r="H8" s="109"/>
      <c r="I8" s="109"/>
      <c r="J8" s="109"/>
      <c r="K8" s="41" t="s">
        <v>20</v>
      </c>
      <c r="L8" s="41" t="s">
        <v>894</v>
      </c>
      <c r="M8" s="109"/>
      <c r="N8" s="41" t="s">
        <v>21</v>
      </c>
      <c r="O8" s="41">
        <v>2022</v>
      </c>
      <c r="P8" s="41" t="s">
        <v>896</v>
      </c>
      <c r="Q8" s="41" t="s">
        <v>898</v>
      </c>
      <c r="R8" s="109"/>
      <c r="S8" s="41" t="s">
        <v>23</v>
      </c>
      <c r="T8" s="41" t="s">
        <v>22</v>
      </c>
      <c r="U8" s="41" t="s">
        <v>24</v>
      </c>
      <c r="V8" s="41" t="s">
        <v>25</v>
      </c>
      <c r="W8" s="109"/>
    </row>
    <row r="9" spans="1:23" s="14" customFormat="1" x14ac:dyDescent="0.25">
      <c r="A9" s="76" t="s">
        <v>581</v>
      </c>
      <c r="B9" s="118" t="s">
        <v>582</v>
      </c>
      <c r="C9" s="71" t="s">
        <v>680</v>
      </c>
      <c r="D9" s="71" t="s">
        <v>583</v>
      </c>
      <c r="E9" s="71" t="s">
        <v>584</v>
      </c>
      <c r="F9" s="71" t="s">
        <v>585</v>
      </c>
      <c r="G9" s="118" t="s">
        <v>681</v>
      </c>
      <c r="H9" s="89" t="s">
        <v>586</v>
      </c>
      <c r="I9" s="51"/>
      <c r="J9" s="50"/>
      <c r="K9" s="41"/>
      <c r="L9" s="41"/>
      <c r="M9" s="41"/>
      <c r="N9" s="41"/>
      <c r="O9" s="52"/>
      <c r="P9" s="57"/>
      <c r="Q9" s="57"/>
      <c r="R9" s="12"/>
      <c r="S9" s="7"/>
      <c r="T9" s="7"/>
      <c r="U9" s="7"/>
      <c r="V9" s="53"/>
      <c r="W9" s="41"/>
    </row>
    <row r="10" spans="1:23" s="14" customFormat="1" ht="27" customHeight="1" x14ac:dyDescent="0.25">
      <c r="A10" s="77"/>
      <c r="B10" s="119"/>
      <c r="C10" s="72"/>
      <c r="D10" s="72"/>
      <c r="E10" s="72"/>
      <c r="F10" s="72"/>
      <c r="G10" s="119"/>
      <c r="H10" s="90"/>
      <c r="I10" s="51" t="s">
        <v>587</v>
      </c>
      <c r="J10" s="40" t="s">
        <v>588</v>
      </c>
      <c r="K10" s="41"/>
      <c r="L10" s="41">
        <v>0</v>
      </c>
      <c r="M10" s="41"/>
      <c r="N10" s="41">
        <v>0</v>
      </c>
      <c r="O10" s="52">
        <v>0</v>
      </c>
      <c r="P10" s="57">
        <v>0</v>
      </c>
      <c r="Q10" s="57">
        <v>0</v>
      </c>
      <c r="R10" s="12">
        <v>1</v>
      </c>
      <c r="S10" s="7">
        <v>0</v>
      </c>
      <c r="T10" s="7">
        <v>0</v>
      </c>
      <c r="U10" s="7">
        <v>0</v>
      </c>
      <c r="V10" s="7">
        <v>0</v>
      </c>
      <c r="W10" s="41"/>
    </row>
    <row r="11" spans="1:23" s="14" customFormat="1" ht="69" customHeight="1" x14ac:dyDescent="0.25">
      <c r="A11" s="77"/>
      <c r="B11" s="119"/>
      <c r="C11" s="72"/>
      <c r="D11" s="72"/>
      <c r="E11" s="72"/>
      <c r="F11" s="72"/>
      <c r="G11" s="119"/>
      <c r="H11" s="90"/>
      <c r="I11" s="51" t="s">
        <v>880</v>
      </c>
      <c r="J11" s="50" t="s">
        <v>589</v>
      </c>
      <c r="K11" s="41"/>
      <c r="L11" s="20">
        <v>0</v>
      </c>
      <c r="M11" s="20"/>
      <c r="N11" s="20">
        <v>0</v>
      </c>
      <c r="O11" s="52">
        <v>0</v>
      </c>
      <c r="P11" s="58">
        <v>0</v>
      </c>
      <c r="Q11" s="58">
        <v>0</v>
      </c>
      <c r="R11" s="20">
        <v>0.61990000000000001</v>
      </c>
      <c r="S11" s="7">
        <v>0</v>
      </c>
      <c r="T11" s="7">
        <v>0</v>
      </c>
      <c r="U11" s="7">
        <v>0</v>
      </c>
      <c r="V11" s="7">
        <v>0</v>
      </c>
      <c r="W11" s="41"/>
    </row>
    <row r="12" spans="1:23" s="14" customFormat="1" ht="34.200000000000003" x14ac:dyDescent="0.25">
      <c r="A12" s="77"/>
      <c r="B12" s="119"/>
      <c r="C12" s="72"/>
      <c r="D12" s="72"/>
      <c r="E12" s="72"/>
      <c r="F12" s="72"/>
      <c r="G12" s="119"/>
      <c r="H12" s="90"/>
      <c r="I12" s="51" t="s">
        <v>590</v>
      </c>
      <c r="J12" s="40" t="s">
        <v>591</v>
      </c>
      <c r="K12" s="41"/>
      <c r="L12" s="41">
        <v>0</v>
      </c>
      <c r="M12" s="41"/>
      <c r="N12" s="41">
        <v>0</v>
      </c>
      <c r="O12" s="52">
        <v>0</v>
      </c>
      <c r="P12" s="57">
        <v>0</v>
      </c>
      <c r="Q12" s="57">
        <v>0</v>
      </c>
      <c r="R12" s="12">
        <v>1</v>
      </c>
      <c r="S12" s="7">
        <v>0</v>
      </c>
      <c r="T12" s="7">
        <v>0</v>
      </c>
      <c r="U12" s="7">
        <v>0</v>
      </c>
      <c r="V12" s="7">
        <v>0</v>
      </c>
      <c r="W12" s="41"/>
    </row>
    <row r="13" spans="1:23" s="14" customFormat="1" ht="34.200000000000003" x14ac:dyDescent="0.25">
      <c r="A13" s="77"/>
      <c r="B13" s="119"/>
      <c r="C13" s="72"/>
      <c r="D13" s="72"/>
      <c r="E13" s="72"/>
      <c r="F13" s="72"/>
      <c r="G13" s="119"/>
      <c r="H13" s="122"/>
      <c r="I13" s="51" t="s">
        <v>592</v>
      </c>
      <c r="J13" s="40" t="s">
        <v>591</v>
      </c>
      <c r="K13" s="41"/>
      <c r="L13" s="41">
        <v>0</v>
      </c>
      <c r="M13" s="41"/>
      <c r="N13" s="41">
        <v>0</v>
      </c>
      <c r="O13" s="52">
        <v>1</v>
      </c>
      <c r="P13" s="57">
        <v>0</v>
      </c>
      <c r="Q13" s="57">
        <v>0</v>
      </c>
      <c r="R13" s="12">
        <v>1</v>
      </c>
      <c r="S13" s="7">
        <v>0</v>
      </c>
      <c r="T13" s="7">
        <v>0</v>
      </c>
      <c r="U13" s="7">
        <v>0</v>
      </c>
      <c r="V13" s="7">
        <v>0</v>
      </c>
      <c r="W13" s="41"/>
    </row>
    <row r="14" spans="1:23" s="14" customFormat="1" ht="68.400000000000006" x14ac:dyDescent="0.25">
      <c r="A14" s="77"/>
      <c r="B14" s="119"/>
      <c r="C14" s="72"/>
      <c r="D14" s="72"/>
      <c r="E14" s="72"/>
      <c r="F14" s="72"/>
      <c r="G14" s="119"/>
      <c r="H14" s="41" t="s">
        <v>593</v>
      </c>
      <c r="I14" s="51" t="s">
        <v>870</v>
      </c>
      <c r="J14" s="40" t="s">
        <v>594</v>
      </c>
      <c r="K14" s="41"/>
      <c r="L14" s="19">
        <v>1</v>
      </c>
      <c r="M14" s="19"/>
      <c r="N14" s="19">
        <v>0</v>
      </c>
      <c r="O14" s="52">
        <v>2</v>
      </c>
      <c r="P14" s="59">
        <v>0</v>
      </c>
      <c r="Q14" s="57">
        <v>0</v>
      </c>
      <c r="R14" s="19">
        <v>1</v>
      </c>
      <c r="S14" s="7">
        <v>0</v>
      </c>
      <c r="T14" s="7">
        <v>0</v>
      </c>
      <c r="U14" s="7">
        <v>0</v>
      </c>
      <c r="V14" s="7">
        <v>0</v>
      </c>
      <c r="W14" s="41"/>
    </row>
    <row r="15" spans="1:23" s="14" customFormat="1" ht="22.8" x14ac:dyDescent="0.25">
      <c r="A15" s="77"/>
      <c r="B15" s="119"/>
      <c r="C15" s="72"/>
      <c r="D15" s="72"/>
      <c r="E15" s="72"/>
      <c r="F15" s="72"/>
      <c r="G15" s="119"/>
      <c r="H15" s="71" t="s">
        <v>595</v>
      </c>
      <c r="I15" s="51" t="s">
        <v>596</v>
      </c>
      <c r="J15" s="51" t="s">
        <v>597</v>
      </c>
      <c r="K15" s="41"/>
      <c r="L15" s="41">
        <v>0</v>
      </c>
      <c r="M15" s="41"/>
      <c r="N15" s="41">
        <v>0</v>
      </c>
      <c r="O15" s="52">
        <v>1</v>
      </c>
      <c r="P15" s="57">
        <v>0</v>
      </c>
      <c r="Q15" s="57">
        <v>0</v>
      </c>
      <c r="R15" s="12">
        <v>3</v>
      </c>
      <c r="S15" s="7">
        <v>0</v>
      </c>
      <c r="T15" s="7">
        <v>0</v>
      </c>
      <c r="U15" s="7">
        <v>0</v>
      </c>
      <c r="V15" s="7">
        <v>0</v>
      </c>
      <c r="W15" s="41"/>
    </row>
    <row r="16" spans="1:23" s="14" customFormat="1" ht="20.100000000000001" customHeight="1" x14ac:dyDescent="0.25">
      <c r="A16" s="77"/>
      <c r="B16" s="119"/>
      <c r="C16" s="72"/>
      <c r="D16" s="72"/>
      <c r="E16" s="72"/>
      <c r="F16" s="72"/>
      <c r="G16" s="119"/>
      <c r="H16" s="72"/>
      <c r="I16" s="67" t="s">
        <v>871</v>
      </c>
      <c r="J16" s="51" t="s">
        <v>598</v>
      </c>
      <c r="K16" s="41"/>
      <c r="L16" s="41" t="s">
        <v>34</v>
      </c>
      <c r="M16" s="41"/>
      <c r="N16" s="41">
        <v>0</v>
      </c>
      <c r="O16" s="52">
        <v>0</v>
      </c>
      <c r="P16" s="57">
        <v>0</v>
      </c>
      <c r="Q16" s="57">
        <v>0</v>
      </c>
      <c r="R16" s="12">
        <v>2</v>
      </c>
      <c r="S16" s="7">
        <v>0</v>
      </c>
      <c r="T16" s="7">
        <v>0</v>
      </c>
      <c r="U16" s="7">
        <v>0</v>
      </c>
      <c r="V16" s="7">
        <v>0</v>
      </c>
      <c r="W16" s="41"/>
    </row>
    <row r="17" spans="1:27" s="14" customFormat="1" ht="20.100000000000001" customHeight="1" x14ac:dyDescent="0.25">
      <c r="A17" s="77"/>
      <c r="B17" s="119"/>
      <c r="C17" s="72"/>
      <c r="D17" s="72"/>
      <c r="E17" s="72"/>
      <c r="F17" s="72"/>
      <c r="G17" s="119"/>
      <c r="H17" s="72"/>
      <c r="I17" s="68"/>
      <c r="J17" s="51" t="s">
        <v>599</v>
      </c>
      <c r="K17" s="41"/>
      <c r="L17" s="41" t="s">
        <v>34</v>
      </c>
      <c r="M17" s="41"/>
      <c r="N17" s="41">
        <v>0</v>
      </c>
      <c r="O17" s="52">
        <v>0</v>
      </c>
      <c r="P17" s="57">
        <v>0</v>
      </c>
      <c r="Q17" s="57">
        <v>0</v>
      </c>
      <c r="R17" s="12">
        <v>2</v>
      </c>
      <c r="S17" s="7">
        <v>0</v>
      </c>
      <c r="T17" s="7">
        <v>0</v>
      </c>
      <c r="U17" s="7">
        <v>0</v>
      </c>
      <c r="V17" s="7">
        <v>0</v>
      </c>
      <c r="W17" s="41"/>
    </row>
    <row r="18" spans="1:27" s="14" customFormat="1" x14ac:dyDescent="0.25">
      <c r="A18" s="77"/>
      <c r="B18" s="119"/>
      <c r="C18" s="72"/>
      <c r="D18" s="72"/>
      <c r="E18" s="72"/>
      <c r="F18" s="72"/>
      <c r="G18" s="119"/>
      <c r="H18" s="73"/>
      <c r="I18" s="51"/>
      <c r="J18" s="51"/>
      <c r="K18" s="41"/>
      <c r="L18" s="41"/>
      <c r="M18" s="41"/>
      <c r="N18" s="41"/>
      <c r="O18" s="52"/>
      <c r="P18" s="57"/>
      <c r="Q18" s="57"/>
      <c r="R18" s="19"/>
      <c r="S18" s="7"/>
      <c r="T18" s="7"/>
      <c r="U18" s="7"/>
      <c r="V18" s="7"/>
      <c r="W18" s="41"/>
    </row>
    <row r="19" spans="1:27" s="14" customFormat="1" ht="44.25" customHeight="1" x14ac:dyDescent="0.25">
      <c r="A19" s="77"/>
      <c r="B19" s="119"/>
      <c r="C19" s="72"/>
      <c r="D19" s="72"/>
      <c r="E19" s="72"/>
      <c r="F19" s="72"/>
      <c r="G19" s="119"/>
      <c r="H19" s="71" t="s">
        <v>601</v>
      </c>
      <c r="I19" s="67" t="s">
        <v>872</v>
      </c>
      <c r="J19" s="51" t="s">
        <v>600</v>
      </c>
      <c r="K19" s="41"/>
      <c r="L19" s="41">
        <v>0</v>
      </c>
      <c r="M19" s="41"/>
      <c r="N19" s="41">
        <v>0</v>
      </c>
      <c r="O19" s="52">
        <v>3</v>
      </c>
      <c r="P19" s="57">
        <v>0</v>
      </c>
      <c r="Q19" s="57">
        <v>0</v>
      </c>
      <c r="R19" s="19">
        <v>6</v>
      </c>
      <c r="S19" s="7">
        <v>0</v>
      </c>
      <c r="T19" s="7">
        <v>0</v>
      </c>
      <c r="U19" s="7">
        <v>0</v>
      </c>
      <c r="V19" s="7">
        <v>0</v>
      </c>
      <c r="W19" s="41"/>
    </row>
    <row r="20" spans="1:27" s="14" customFormat="1" x14ac:dyDescent="0.25">
      <c r="A20" s="77"/>
      <c r="B20" s="119"/>
      <c r="C20" s="72"/>
      <c r="D20" s="72"/>
      <c r="E20" s="72"/>
      <c r="F20" s="72"/>
      <c r="G20" s="119"/>
      <c r="H20" s="72"/>
      <c r="I20" s="82"/>
      <c r="J20" s="51" t="s">
        <v>602</v>
      </c>
      <c r="K20" s="41"/>
      <c r="L20" s="41">
        <v>0</v>
      </c>
      <c r="M20" s="41"/>
      <c r="N20" s="41">
        <v>0</v>
      </c>
      <c r="O20" s="52">
        <v>3</v>
      </c>
      <c r="P20" s="57">
        <v>0</v>
      </c>
      <c r="Q20" s="57">
        <v>0</v>
      </c>
      <c r="R20" s="19">
        <v>6</v>
      </c>
      <c r="S20" s="7">
        <v>0</v>
      </c>
      <c r="T20" s="7">
        <v>0</v>
      </c>
      <c r="U20" s="7">
        <v>0</v>
      </c>
      <c r="V20" s="7">
        <v>0</v>
      </c>
      <c r="W20" s="41"/>
    </row>
    <row r="21" spans="1:27" s="14" customFormat="1" ht="22.8" x14ac:dyDescent="0.25">
      <c r="A21" s="78"/>
      <c r="B21" s="120"/>
      <c r="C21" s="73"/>
      <c r="D21" s="73"/>
      <c r="E21" s="73"/>
      <c r="F21" s="73"/>
      <c r="G21" s="120"/>
      <c r="H21" s="73"/>
      <c r="I21" s="68"/>
      <c r="J21" s="51" t="s">
        <v>603</v>
      </c>
      <c r="K21" s="41"/>
      <c r="L21" s="41">
        <v>0</v>
      </c>
      <c r="M21" s="16"/>
      <c r="N21" s="16">
        <v>0</v>
      </c>
      <c r="O21" s="16">
        <v>0</v>
      </c>
      <c r="P21" s="58">
        <v>0</v>
      </c>
      <c r="Q21" s="57">
        <v>0</v>
      </c>
      <c r="R21" s="16">
        <v>1</v>
      </c>
      <c r="S21" s="7">
        <v>0</v>
      </c>
      <c r="T21" s="7">
        <v>0</v>
      </c>
      <c r="U21" s="7">
        <v>0</v>
      </c>
      <c r="V21" s="7">
        <v>0</v>
      </c>
      <c r="W21" s="41"/>
      <c r="AA21" s="54"/>
    </row>
    <row r="22" spans="1:27" s="14" customFormat="1" ht="48" customHeight="1" x14ac:dyDescent="0.25">
      <c r="A22" s="76" t="s">
        <v>604</v>
      </c>
      <c r="B22" s="118" t="s">
        <v>605</v>
      </c>
      <c r="C22" s="71" t="s">
        <v>881</v>
      </c>
      <c r="D22" s="71" t="s">
        <v>34</v>
      </c>
      <c r="E22" s="71">
        <v>100</v>
      </c>
      <c r="F22" s="71" t="s">
        <v>606</v>
      </c>
      <c r="G22" s="118" t="s">
        <v>607</v>
      </c>
      <c r="H22" s="71" t="s">
        <v>608</v>
      </c>
      <c r="I22" s="51" t="s">
        <v>873</v>
      </c>
      <c r="J22" s="51" t="s">
        <v>609</v>
      </c>
      <c r="K22" s="41"/>
      <c r="L22" s="41" t="s">
        <v>34</v>
      </c>
      <c r="M22" s="41"/>
      <c r="N22" s="21">
        <v>0</v>
      </c>
      <c r="O22" s="52">
        <v>0</v>
      </c>
      <c r="P22" s="60">
        <v>0</v>
      </c>
      <c r="Q22" s="57">
        <v>0</v>
      </c>
      <c r="R22" s="19">
        <v>100</v>
      </c>
      <c r="S22" s="7">
        <v>0</v>
      </c>
      <c r="T22" s="7">
        <v>0</v>
      </c>
      <c r="U22" s="7">
        <v>0</v>
      </c>
      <c r="V22" s="7">
        <v>0</v>
      </c>
      <c r="W22" s="41"/>
      <c r="AA22" s="54"/>
    </row>
    <row r="23" spans="1:27" s="14" customFormat="1" ht="45.6" x14ac:dyDescent="0.25">
      <c r="A23" s="77"/>
      <c r="B23" s="119"/>
      <c r="C23" s="72"/>
      <c r="D23" s="72"/>
      <c r="E23" s="72"/>
      <c r="F23" s="72"/>
      <c r="G23" s="119"/>
      <c r="H23" s="72"/>
      <c r="I23" s="51" t="s">
        <v>874</v>
      </c>
      <c r="J23" s="51" t="s">
        <v>610</v>
      </c>
      <c r="K23" s="41"/>
      <c r="L23" s="41" t="s">
        <v>34</v>
      </c>
      <c r="M23" s="41"/>
      <c r="N23" s="21">
        <v>0</v>
      </c>
      <c r="O23" s="52">
        <v>0</v>
      </c>
      <c r="P23" s="60">
        <v>0</v>
      </c>
      <c r="Q23" s="57">
        <v>0</v>
      </c>
      <c r="R23" s="19">
        <v>100</v>
      </c>
      <c r="S23" s="7">
        <v>0</v>
      </c>
      <c r="T23" s="7">
        <v>0</v>
      </c>
      <c r="U23" s="7">
        <v>0</v>
      </c>
      <c r="V23" s="7">
        <v>0</v>
      </c>
      <c r="W23" s="41"/>
    </row>
    <row r="24" spans="1:27" s="14" customFormat="1" ht="34.200000000000003" x14ac:dyDescent="0.25">
      <c r="A24" s="77"/>
      <c r="B24" s="119"/>
      <c r="C24" s="73"/>
      <c r="D24" s="73"/>
      <c r="E24" s="73"/>
      <c r="F24" s="73"/>
      <c r="G24" s="119"/>
      <c r="H24" s="73"/>
      <c r="I24" s="51" t="s">
        <v>875</v>
      </c>
      <c r="J24" s="51" t="s">
        <v>611</v>
      </c>
      <c r="K24" s="41"/>
      <c r="L24" s="41" t="s">
        <v>34</v>
      </c>
      <c r="M24" s="21"/>
      <c r="N24" s="21">
        <v>0</v>
      </c>
      <c r="O24" s="52">
        <v>0</v>
      </c>
      <c r="P24" s="60">
        <v>0</v>
      </c>
      <c r="Q24" s="57">
        <v>0</v>
      </c>
      <c r="R24" s="19">
        <v>70</v>
      </c>
      <c r="S24" s="7">
        <v>0</v>
      </c>
      <c r="T24" s="7">
        <v>0</v>
      </c>
      <c r="U24" s="7">
        <v>0</v>
      </c>
      <c r="V24" s="7">
        <v>0</v>
      </c>
      <c r="W24" s="41"/>
    </row>
    <row r="25" spans="1:27" s="14" customFormat="1" ht="66" customHeight="1" x14ac:dyDescent="0.25">
      <c r="A25" s="76" t="s">
        <v>612</v>
      </c>
      <c r="B25" s="118" t="s">
        <v>682</v>
      </c>
      <c r="C25" s="71" t="s">
        <v>613</v>
      </c>
      <c r="D25" s="71" t="s">
        <v>614</v>
      </c>
      <c r="E25" s="71" t="s">
        <v>615</v>
      </c>
      <c r="F25" s="71" t="s">
        <v>616</v>
      </c>
      <c r="G25" s="118" t="s">
        <v>617</v>
      </c>
      <c r="H25" s="71" t="s">
        <v>618</v>
      </c>
      <c r="I25" s="67" t="s">
        <v>876</v>
      </c>
      <c r="J25" s="51" t="s">
        <v>619</v>
      </c>
      <c r="K25" s="41"/>
      <c r="L25" s="41">
        <v>0.3</v>
      </c>
      <c r="M25" s="41"/>
      <c r="N25" s="41">
        <v>0</v>
      </c>
      <c r="O25" s="52">
        <v>0</v>
      </c>
      <c r="P25" s="57">
        <v>0</v>
      </c>
      <c r="Q25" s="57">
        <v>0</v>
      </c>
      <c r="R25" s="52">
        <v>2.2999999999999998</v>
      </c>
      <c r="S25" s="7">
        <v>0</v>
      </c>
      <c r="T25" s="7">
        <v>0</v>
      </c>
      <c r="U25" s="7">
        <v>0</v>
      </c>
      <c r="V25" s="7">
        <v>0</v>
      </c>
      <c r="W25" s="41"/>
    </row>
    <row r="26" spans="1:27" s="14" customFormat="1" ht="22.8" x14ac:dyDescent="0.25">
      <c r="A26" s="77"/>
      <c r="B26" s="119"/>
      <c r="C26" s="72"/>
      <c r="D26" s="72"/>
      <c r="E26" s="72"/>
      <c r="F26" s="72"/>
      <c r="G26" s="119"/>
      <c r="H26" s="72"/>
      <c r="I26" s="68"/>
      <c r="J26" s="51" t="s">
        <v>620</v>
      </c>
      <c r="K26" s="41"/>
      <c r="L26" s="41">
        <v>8</v>
      </c>
      <c r="M26" s="19"/>
      <c r="N26" s="19">
        <v>0</v>
      </c>
      <c r="O26" s="52">
        <v>0</v>
      </c>
      <c r="P26" s="59">
        <v>0</v>
      </c>
      <c r="Q26" s="57">
        <v>0</v>
      </c>
      <c r="R26" s="19">
        <v>23</v>
      </c>
      <c r="S26" s="7">
        <v>0</v>
      </c>
      <c r="T26" s="7">
        <v>0</v>
      </c>
      <c r="U26" s="7">
        <v>0</v>
      </c>
      <c r="V26" s="7">
        <v>0</v>
      </c>
      <c r="W26" s="41"/>
    </row>
    <row r="27" spans="1:27" s="14" customFormat="1" ht="22.8" x14ac:dyDescent="0.25">
      <c r="A27" s="77"/>
      <c r="B27" s="119"/>
      <c r="C27" s="72"/>
      <c r="D27" s="72"/>
      <c r="E27" s="72"/>
      <c r="F27" s="72"/>
      <c r="G27" s="119"/>
      <c r="H27" s="72"/>
      <c r="I27" s="51" t="s">
        <v>621</v>
      </c>
      <c r="J27" s="51" t="s">
        <v>622</v>
      </c>
      <c r="K27" s="41"/>
      <c r="L27" s="41">
        <v>200</v>
      </c>
      <c r="M27" s="19"/>
      <c r="N27" s="19">
        <v>0</v>
      </c>
      <c r="O27" s="52"/>
      <c r="P27" s="59">
        <v>0</v>
      </c>
      <c r="Q27" s="57">
        <v>0</v>
      </c>
      <c r="R27" s="19">
        <v>400</v>
      </c>
      <c r="S27" s="7">
        <v>0</v>
      </c>
      <c r="T27" s="7">
        <v>0</v>
      </c>
      <c r="U27" s="7">
        <v>0</v>
      </c>
      <c r="V27" s="7">
        <v>0</v>
      </c>
      <c r="W27" s="41"/>
    </row>
    <row r="28" spans="1:27" s="14" customFormat="1" x14ac:dyDescent="0.25">
      <c r="A28" s="77"/>
      <c r="B28" s="119"/>
      <c r="C28" s="72"/>
      <c r="D28" s="72"/>
      <c r="E28" s="72"/>
      <c r="F28" s="72"/>
      <c r="G28" s="119"/>
      <c r="H28" s="72"/>
      <c r="I28" s="51"/>
      <c r="J28" s="51"/>
      <c r="K28" s="41"/>
      <c r="L28" s="41"/>
      <c r="M28" s="41"/>
      <c r="N28" s="19"/>
      <c r="O28" s="52"/>
      <c r="P28" s="59"/>
      <c r="Q28" s="57"/>
      <c r="R28" s="12"/>
      <c r="S28" s="7"/>
      <c r="T28" s="7"/>
      <c r="U28" s="7"/>
      <c r="V28" s="7"/>
      <c r="W28" s="41"/>
    </row>
    <row r="29" spans="1:27" s="14" customFormat="1" ht="34.200000000000003" x14ac:dyDescent="0.25">
      <c r="A29" s="77"/>
      <c r="B29" s="119"/>
      <c r="C29" s="72"/>
      <c r="D29" s="72"/>
      <c r="E29" s="72"/>
      <c r="F29" s="72"/>
      <c r="G29" s="119"/>
      <c r="H29" s="72"/>
      <c r="I29" s="51" t="s">
        <v>877</v>
      </c>
      <c r="J29" s="51" t="s">
        <v>623</v>
      </c>
      <c r="K29" s="41"/>
      <c r="L29" s="41">
        <v>1</v>
      </c>
      <c r="M29" s="41"/>
      <c r="N29" s="19">
        <v>0</v>
      </c>
      <c r="O29" s="52">
        <v>0</v>
      </c>
      <c r="P29" s="59">
        <v>0</v>
      </c>
      <c r="Q29" s="57">
        <v>0</v>
      </c>
      <c r="R29" s="19">
        <v>3</v>
      </c>
      <c r="S29" s="7">
        <v>0</v>
      </c>
      <c r="T29" s="7">
        <v>0</v>
      </c>
      <c r="U29" s="7">
        <v>0</v>
      </c>
      <c r="V29" s="7">
        <v>0</v>
      </c>
      <c r="W29" s="41"/>
    </row>
    <row r="30" spans="1:27" s="14" customFormat="1" ht="22.8" x14ac:dyDescent="0.25">
      <c r="A30" s="77"/>
      <c r="B30" s="119"/>
      <c r="C30" s="72"/>
      <c r="D30" s="72"/>
      <c r="E30" s="72"/>
      <c r="F30" s="72"/>
      <c r="G30" s="119"/>
      <c r="H30" s="72"/>
      <c r="I30" s="51" t="s">
        <v>624</v>
      </c>
      <c r="J30" s="51" t="s">
        <v>625</v>
      </c>
      <c r="K30" s="41"/>
      <c r="L30" s="19">
        <v>0</v>
      </c>
      <c r="M30" s="19"/>
      <c r="N30" s="19">
        <v>0</v>
      </c>
      <c r="O30" s="52">
        <v>0</v>
      </c>
      <c r="P30" s="59">
        <v>0</v>
      </c>
      <c r="Q30" s="57">
        <v>0</v>
      </c>
      <c r="R30" s="19">
        <v>1</v>
      </c>
      <c r="S30" s="7">
        <v>0</v>
      </c>
      <c r="T30" s="7">
        <v>0</v>
      </c>
      <c r="U30" s="7">
        <v>0</v>
      </c>
      <c r="V30" s="7">
        <v>0</v>
      </c>
      <c r="W30" s="41"/>
    </row>
    <row r="31" spans="1:27" s="14" customFormat="1" ht="22.8" x14ac:dyDescent="0.25">
      <c r="A31" s="77"/>
      <c r="B31" s="119"/>
      <c r="C31" s="72"/>
      <c r="D31" s="72"/>
      <c r="E31" s="72"/>
      <c r="F31" s="72"/>
      <c r="G31" s="119"/>
      <c r="H31" s="73"/>
      <c r="I31" s="51" t="s">
        <v>626</v>
      </c>
      <c r="J31" s="40" t="s">
        <v>627</v>
      </c>
      <c r="K31" s="41"/>
      <c r="L31" s="41">
        <v>0</v>
      </c>
      <c r="M31" s="41"/>
      <c r="N31" s="41">
        <v>0</v>
      </c>
      <c r="O31" s="52">
        <v>0</v>
      </c>
      <c r="P31" s="57">
        <v>0</v>
      </c>
      <c r="Q31" s="57">
        <v>0</v>
      </c>
      <c r="R31" s="12">
        <v>100</v>
      </c>
      <c r="S31" s="7">
        <v>0</v>
      </c>
      <c r="T31" s="7">
        <v>0</v>
      </c>
      <c r="U31" s="7">
        <v>0</v>
      </c>
      <c r="V31" s="7">
        <v>0</v>
      </c>
      <c r="W31" s="41"/>
    </row>
    <row r="32" spans="1:27" s="14" customFormat="1" ht="22.8" x14ac:dyDescent="0.25">
      <c r="A32" s="77"/>
      <c r="B32" s="119"/>
      <c r="C32" s="72"/>
      <c r="D32" s="72"/>
      <c r="E32" s="72"/>
      <c r="F32" s="72"/>
      <c r="G32" s="119"/>
      <c r="H32" s="71" t="s">
        <v>628</v>
      </c>
      <c r="I32" s="51" t="s">
        <v>629</v>
      </c>
      <c r="J32" s="40" t="s">
        <v>630</v>
      </c>
      <c r="K32" s="41"/>
      <c r="L32" s="16">
        <v>0.05</v>
      </c>
      <c r="M32" s="16"/>
      <c r="N32" s="16">
        <v>0</v>
      </c>
      <c r="O32" s="52">
        <v>0.1</v>
      </c>
      <c r="P32" s="61">
        <v>0</v>
      </c>
      <c r="Q32" s="61">
        <v>0</v>
      </c>
      <c r="R32" s="16">
        <v>0.55000000000000004</v>
      </c>
      <c r="S32" s="7">
        <v>0</v>
      </c>
      <c r="T32" s="7">
        <v>0</v>
      </c>
      <c r="U32" s="7">
        <v>0</v>
      </c>
      <c r="V32" s="7">
        <v>0</v>
      </c>
      <c r="W32" s="41"/>
    </row>
    <row r="33" spans="1:23" s="14" customFormat="1" ht="22.8" x14ac:dyDescent="0.25">
      <c r="A33" s="77"/>
      <c r="B33" s="119"/>
      <c r="C33" s="72"/>
      <c r="D33" s="72"/>
      <c r="E33" s="72"/>
      <c r="F33" s="72"/>
      <c r="G33" s="119"/>
      <c r="H33" s="72"/>
      <c r="I33" s="51" t="s">
        <v>631</v>
      </c>
      <c r="J33" s="40" t="s">
        <v>632</v>
      </c>
      <c r="K33" s="41"/>
      <c r="L33" s="19">
        <v>0</v>
      </c>
      <c r="M33" s="19"/>
      <c r="N33" s="19">
        <v>0</v>
      </c>
      <c r="O33" s="52">
        <v>1</v>
      </c>
      <c r="P33" s="59">
        <v>0</v>
      </c>
      <c r="Q33" s="57">
        <v>0</v>
      </c>
      <c r="R33" s="19">
        <v>2</v>
      </c>
      <c r="S33" s="7">
        <v>0</v>
      </c>
      <c r="T33" s="7">
        <v>0</v>
      </c>
      <c r="U33" s="7">
        <v>0</v>
      </c>
      <c r="V33" s="7">
        <v>0</v>
      </c>
      <c r="W33" s="41"/>
    </row>
    <row r="34" spans="1:23" ht="34.200000000000003" x14ac:dyDescent="0.25">
      <c r="A34" s="78"/>
      <c r="B34" s="120"/>
      <c r="C34" s="73"/>
      <c r="D34" s="73"/>
      <c r="E34" s="73"/>
      <c r="F34" s="73"/>
      <c r="G34" s="120"/>
      <c r="H34" s="73"/>
      <c r="I34" s="51" t="s">
        <v>633</v>
      </c>
      <c r="J34" s="40" t="s">
        <v>634</v>
      </c>
      <c r="K34" s="15"/>
      <c r="L34" s="19">
        <v>0</v>
      </c>
      <c r="M34" s="16"/>
      <c r="N34" s="41">
        <v>0</v>
      </c>
      <c r="O34" s="52">
        <v>1</v>
      </c>
      <c r="P34" s="57">
        <v>0</v>
      </c>
      <c r="Q34" s="57">
        <v>0</v>
      </c>
      <c r="R34" s="12">
        <v>4</v>
      </c>
      <c r="S34" s="7">
        <v>0</v>
      </c>
      <c r="T34" s="7">
        <v>0</v>
      </c>
      <c r="U34" s="7">
        <v>0</v>
      </c>
      <c r="V34" s="7">
        <v>0</v>
      </c>
      <c r="W34" s="41"/>
    </row>
    <row r="35" spans="1:23" ht="37.5" customHeight="1" x14ac:dyDescent="0.25">
      <c r="A35" s="76" t="s">
        <v>635</v>
      </c>
      <c r="B35" s="118" t="s">
        <v>683</v>
      </c>
      <c r="C35" s="71" t="s">
        <v>636</v>
      </c>
      <c r="D35" s="71" t="s">
        <v>637</v>
      </c>
      <c r="E35" s="87">
        <v>0.99</v>
      </c>
      <c r="F35" s="71" t="s">
        <v>638</v>
      </c>
      <c r="G35" s="71" t="s">
        <v>639</v>
      </c>
      <c r="H35" s="71" t="s">
        <v>640</v>
      </c>
      <c r="I35" s="51" t="s">
        <v>641</v>
      </c>
      <c r="J35" s="40" t="s">
        <v>642</v>
      </c>
      <c r="K35" s="15"/>
      <c r="L35" s="16" t="s">
        <v>34</v>
      </c>
      <c r="M35" s="16"/>
      <c r="N35" s="16">
        <v>0</v>
      </c>
      <c r="O35" s="16">
        <v>0.25</v>
      </c>
      <c r="P35" s="61">
        <v>0</v>
      </c>
      <c r="Q35" s="61">
        <v>0</v>
      </c>
      <c r="R35" s="16">
        <v>1</v>
      </c>
      <c r="S35" s="7">
        <v>0</v>
      </c>
      <c r="T35" s="7">
        <v>0</v>
      </c>
      <c r="U35" s="7">
        <v>0</v>
      </c>
      <c r="V35" s="7">
        <v>0</v>
      </c>
      <c r="W35" s="41"/>
    </row>
    <row r="36" spans="1:23" ht="45.6" x14ac:dyDescent="0.25">
      <c r="A36" s="77"/>
      <c r="B36" s="119"/>
      <c r="C36" s="72"/>
      <c r="D36" s="72"/>
      <c r="E36" s="72"/>
      <c r="F36" s="72"/>
      <c r="G36" s="72"/>
      <c r="H36" s="72"/>
      <c r="I36" s="51" t="s">
        <v>643</v>
      </c>
      <c r="J36" s="40" t="s">
        <v>644</v>
      </c>
      <c r="K36" s="15"/>
      <c r="L36" s="16" t="s">
        <v>34</v>
      </c>
      <c r="M36" s="16"/>
      <c r="N36" s="16">
        <v>0</v>
      </c>
      <c r="O36" s="16">
        <v>0.25</v>
      </c>
      <c r="P36" s="61">
        <v>0</v>
      </c>
      <c r="Q36" s="61">
        <v>0</v>
      </c>
      <c r="R36" s="16">
        <v>1</v>
      </c>
      <c r="S36" s="7">
        <v>0</v>
      </c>
      <c r="T36" s="7">
        <v>0</v>
      </c>
      <c r="U36" s="7">
        <v>0</v>
      </c>
      <c r="V36" s="7">
        <v>0</v>
      </c>
      <c r="W36" s="41"/>
    </row>
    <row r="37" spans="1:23" ht="45" customHeight="1" x14ac:dyDescent="0.25">
      <c r="A37" s="77"/>
      <c r="B37" s="119"/>
      <c r="C37" s="73"/>
      <c r="D37" s="73"/>
      <c r="E37" s="73"/>
      <c r="F37" s="72"/>
      <c r="G37" s="72"/>
      <c r="H37" s="72"/>
      <c r="I37" s="51" t="s">
        <v>645</v>
      </c>
      <c r="J37" s="51" t="s">
        <v>646</v>
      </c>
      <c r="K37" s="41"/>
      <c r="L37" s="41">
        <v>0</v>
      </c>
      <c r="M37" s="41"/>
      <c r="N37" s="42">
        <v>0</v>
      </c>
      <c r="O37" s="52">
        <v>0</v>
      </c>
      <c r="P37" s="62">
        <v>0</v>
      </c>
      <c r="Q37" s="57">
        <v>0</v>
      </c>
      <c r="R37" s="19">
        <v>3</v>
      </c>
      <c r="S37" s="7">
        <v>0</v>
      </c>
      <c r="T37" s="7">
        <v>0</v>
      </c>
      <c r="U37" s="7">
        <v>0</v>
      </c>
      <c r="V37" s="7">
        <v>0</v>
      </c>
      <c r="W37" s="41"/>
    </row>
    <row r="38" spans="1:23" ht="34.200000000000003" x14ac:dyDescent="0.25">
      <c r="A38" s="77"/>
      <c r="B38" s="119"/>
      <c r="C38" s="71" t="s">
        <v>647</v>
      </c>
      <c r="D38" s="71" t="s">
        <v>648</v>
      </c>
      <c r="E38" s="71" t="s">
        <v>34</v>
      </c>
      <c r="F38" s="73"/>
      <c r="G38" s="73"/>
      <c r="H38" s="73"/>
      <c r="I38" s="51" t="s">
        <v>649</v>
      </c>
      <c r="J38" s="40" t="s">
        <v>650</v>
      </c>
      <c r="K38" s="15"/>
      <c r="L38" s="41">
        <v>20</v>
      </c>
      <c r="M38" s="41"/>
      <c r="N38" s="19">
        <v>0</v>
      </c>
      <c r="O38" s="52">
        <v>0</v>
      </c>
      <c r="P38" s="59">
        <v>0</v>
      </c>
      <c r="Q38" s="57">
        <v>0</v>
      </c>
      <c r="R38" s="19">
        <v>120</v>
      </c>
      <c r="S38" s="7">
        <v>0</v>
      </c>
      <c r="T38" s="7">
        <v>0</v>
      </c>
      <c r="U38" s="7">
        <v>0</v>
      </c>
      <c r="V38" s="7">
        <v>0</v>
      </c>
      <c r="W38" s="41"/>
    </row>
    <row r="39" spans="1:23" ht="72" customHeight="1" x14ac:dyDescent="0.25">
      <c r="A39" s="77"/>
      <c r="B39" s="119"/>
      <c r="C39" s="73"/>
      <c r="D39" s="73"/>
      <c r="E39" s="73"/>
      <c r="F39" s="71" t="s">
        <v>651</v>
      </c>
      <c r="G39" s="71" t="s">
        <v>652</v>
      </c>
      <c r="H39" s="71" t="s">
        <v>653</v>
      </c>
      <c r="I39" s="67" t="s">
        <v>654</v>
      </c>
      <c r="J39" s="40" t="s">
        <v>655</v>
      </c>
      <c r="K39" s="15"/>
      <c r="L39" s="41">
        <v>1</v>
      </c>
      <c r="M39" s="41"/>
      <c r="N39" s="19">
        <v>0</v>
      </c>
      <c r="O39" s="52">
        <v>0</v>
      </c>
      <c r="P39" s="59">
        <v>0</v>
      </c>
      <c r="Q39" s="57">
        <v>0</v>
      </c>
      <c r="R39" s="19">
        <v>2</v>
      </c>
      <c r="S39" s="7">
        <v>0</v>
      </c>
      <c r="T39" s="7">
        <v>0</v>
      </c>
      <c r="U39" s="7">
        <v>0</v>
      </c>
      <c r="V39" s="7">
        <v>0</v>
      </c>
      <c r="W39" s="41"/>
    </row>
    <row r="40" spans="1:23" ht="22.8" x14ac:dyDescent="0.25">
      <c r="A40" s="77"/>
      <c r="B40" s="119"/>
      <c r="C40" s="71" t="s">
        <v>656</v>
      </c>
      <c r="D40" s="71" t="s">
        <v>657</v>
      </c>
      <c r="E40" s="71" t="s">
        <v>34</v>
      </c>
      <c r="F40" s="72"/>
      <c r="G40" s="72"/>
      <c r="H40" s="72"/>
      <c r="I40" s="68"/>
      <c r="J40" s="40" t="s">
        <v>658</v>
      </c>
      <c r="K40" s="15"/>
      <c r="L40" s="19">
        <v>1</v>
      </c>
      <c r="M40" s="19"/>
      <c r="N40" s="19">
        <v>0</v>
      </c>
      <c r="O40" s="52">
        <v>0</v>
      </c>
      <c r="P40" s="59">
        <v>0</v>
      </c>
      <c r="Q40" s="57">
        <v>0</v>
      </c>
      <c r="R40" s="19">
        <v>1</v>
      </c>
      <c r="S40" s="7">
        <v>0</v>
      </c>
      <c r="T40" s="7">
        <v>0</v>
      </c>
      <c r="U40" s="7">
        <v>0</v>
      </c>
      <c r="V40" s="7">
        <v>0</v>
      </c>
      <c r="W40" s="41"/>
    </row>
    <row r="41" spans="1:23" ht="36" customHeight="1" x14ac:dyDescent="0.25">
      <c r="A41" s="77"/>
      <c r="B41" s="119"/>
      <c r="C41" s="72"/>
      <c r="D41" s="72"/>
      <c r="E41" s="72"/>
      <c r="F41" s="72"/>
      <c r="G41" s="72"/>
      <c r="H41" s="72"/>
      <c r="I41" s="67" t="s">
        <v>659</v>
      </c>
      <c r="J41" s="40" t="s">
        <v>660</v>
      </c>
      <c r="K41" s="15"/>
      <c r="L41" s="19">
        <v>1</v>
      </c>
      <c r="M41" s="19"/>
      <c r="N41" s="19">
        <v>0</v>
      </c>
      <c r="O41" s="52"/>
      <c r="P41" s="59">
        <v>0</v>
      </c>
      <c r="Q41" s="57">
        <v>0</v>
      </c>
      <c r="R41" s="19">
        <v>1</v>
      </c>
      <c r="S41" s="7">
        <v>0</v>
      </c>
      <c r="T41" s="7">
        <v>0</v>
      </c>
      <c r="U41" s="7">
        <v>0</v>
      </c>
      <c r="V41" s="7">
        <v>0</v>
      </c>
      <c r="W41" s="41"/>
    </row>
    <row r="42" spans="1:23" ht="27" customHeight="1" x14ac:dyDescent="0.25">
      <c r="A42" s="77"/>
      <c r="B42" s="119"/>
      <c r="C42" s="73"/>
      <c r="D42" s="73"/>
      <c r="E42" s="73"/>
      <c r="F42" s="72"/>
      <c r="G42" s="72"/>
      <c r="H42" s="72"/>
      <c r="I42" s="68"/>
      <c r="J42" s="51" t="s">
        <v>661</v>
      </c>
      <c r="K42" s="41"/>
      <c r="L42" s="16">
        <v>0.5</v>
      </c>
      <c r="M42" s="16"/>
      <c r="N42" s="16">
        <v>0</v>
      </c>
      <c r="O42" s="52"/>
      <c r="P42" s="58">
        <v>0</v>
      </c>
      <c r="Q42" s="57">
        <v>0</v>
      </c>
      <c r="R42" s="16">
        <v>1</v>
      </c>
      <c r="S42" s="7">
        <v>0</v>
      </c>
      <c r="T42" s="7">
        <v>0</v>
      </c>
      <c r="U42" s="7">
        <v>0</v>
      </c>
      <c r="V42" s="7">
        <v>0</v>
      </c>
      <c r="W42" s="41"/>
    </row>
    <row r="43" spans="1:23" ht="42" customHeight="1" x14ac:dyDescent="0.25">
      <c r="A43" s="77"/>
      <c r="B43" s="119"/>
      <c r="C43" s="71" t="s">
        <v>662</v>
      </c>
      <c r="D43" s="71" t="s">
        <v>663</v>
      </c>
      <c r="E43" s="71" t="s">
        <v>34</v>
      </c>
      <c r="F43" s="72"/>
      <c r="G43" s="72"/>
      <c r="H43" s="72"/>
      <c r="I43" s="51" t="s">
        <v>664</v>
      </c>
      <c r="J43" s="40" t="s">
        <v>665</v>
      </c>
      <c r="K43" s="55"/>
      <c r="L43" s="16">
        <v>0.35</v>
      </c>
      <c r="M43" s="16"/>
      <c r="N43" s="16">
        <v>0</v>
      </c>
      <c r="O43" s="52"/>
      <c r="P43" s="61">
        <v>0</v>
      </c>
      <c r="Q43" s="57">
        <v>0</v>
      </c>
      <c r="R43" s="16">
        <v>0.5</v>
      </c>
      <c r="S43" s="7">
        <v>0</v>
      </c>
      <c r="T43" s="7">
        <v>0</v>
      </c>
      <c r="U43" s="7">
        <v>0</v>
      </c>
      <c r="V43" s="7">
        <v>0</v>
      </c>
      <c r="W43" s="41"/>
    </row>
    <row r="44" spans="1:23" ht="45" customHeight="1" x14ac:dyDescent="0.25">
      <c r="A44" s="77"/>
      <c r="B44" s="119"/>
      <c r="C44" s="72"/>
      <c r="D44" s="72"/>
      <c r="E44" s="72"/>
      <c r="F44" s="72"/>
      <c r="G44" s="72"/>
      <c r="H44" s="72"/>
      <c r="I44" s="67" t="s">
        <v>878</v>
      </c>
      <c r="J44" s="40" t="s">
        <v>666</v>
      </c>
      <c r="K44" s="15"/>
      <c r="L44" s="19">
        <v>0</v>
      </c>
      <c r="M44" s="19"/>
      <c r="N44" s="19">
        <v>0</v>
      </c>
      <c r="O44" s="52"/>
      <c r="P44" s="59">
        <v>0</v>
      </c>
      <c r="Q44" s="57">
        <v>0</v>
      </c>
      <c r="R44" s="19">
        <v>1</v>
      </c>
      <c r="S44" s="7">
        <v>0</v>
      </c>
      <c r="T44" s="7">
        <v>0</v>
      </c>
      <c r="U44" s="7">
        <v>0</v>
      </c>
      <c r="V44" s="7">
        <v>0</v>
      </c>
      <c r="W44" s="41"/>
    </row>
    <row r="45" spans="1:23" ht="40.5" customHeight="1" x14ac:dyDescent="0.25">
      <c r="A45" s="78"/>
      <c r="B45" s="120"/>
      <c r="C45" s="73"/>
      <c r="D45" s="73"/>
      <c r="E45" s="73"/>
      <c r="F45" s="73"/>
      <c r="G45" s="73"/>
      <c r="H45" s="73"/>
      <c r="I45" s="68"/>
      <c r="J45" s="40" t="s">
        <v>879</v>
      </c>
      <c r="K45" s="15"/>
      <c r="L45" s="16">
        <v>0</v>
      </c>
      <c r="M45" s="16"/>
      <c r="N45" s="16">
        <v>0</v>
      </c>
      <c r="O45" s="52"/>
      <c r="P45" s="61">
        <v>0</v>
      </c>
      <c r="Q45" s="57">
        <v>0</v>
      </c>
      <c r="R45" s="16">
        <v>0.3</v>
      </c>
      <c r="S45" s="7">
        <v>0</v>
      </c>
      <c r="T45" s="7">
        <v>0</v>
      </c>
      <c r="U45" s="7">
        <v>0</v>
      </c>
      <c r="V45" s="7">
        <v>0</v>
      </c>
      <c r="W45" s="41"/>
    </row>
    <row r="46" spans="1:23" ht="80.25" customHeight="1" x14ac:dyDescent="0.25">
      <c r="A46" s="76" t="s">
        <v>667</v>
      </c>
      <c r="B46" s="118" t="s">
        <v>668</v>
      </c>
      <c r="C46" s="71" t="s">
        <v>669</v>
      </c>
      <c r="D46" s="71" t="s">
        <v>670</v>
      </c>
      <c r="E46" s="71" t="s">
        <v>34</v>
      </c>
      <c r="F46" s="71" t="s">
        <v>671</v>
      </c>
      <c r="G46" s="71" t="s">
        <v>672</v>
      </c>
      <c r="H46" s="41" t="s">
        <v>673</v>
      </c>
      <c r="I46" s="51" t="s">
        <v>674</v>
      </c>
      <c r="J46" s="40" t="s">
        <v>675</v>
      </c>
      <c r="K46" s="15"/>
      <c r="L46" s="16" t="s">
        <v>34</v>
      </c>
      <c r="M46" s="19"/>
      <c r="N46" s="19">
        <v>0</v>
      </c>
      <c r="O46" s="52">
        <v>0</v>
      </c>
      <c r="P46" s="59">
        <v>0</v>
      </c>
      <c r="Q46" s="57">
        <v>0</v>
      </c>
      <c r="R46" s="19">
        <v>50</v>
      </c>
      <c r="S46" s="7">
        <v>0</v>
      </c>
      <c r="T46" s="7">
        <v>0</v>
      </c>
      <c r="U46" s="7">
        <v>0</v>
      </c>
      <c r="V46" s="7">
        <v>0</v>
      </c>
      <c r="W46" s="41"/>
    </row>
    <row r="47" spans="1:23" ht="58.5" customHeight="1" x14ac:dyDescent="0.25">
      <c r="A47" s="78"/>
      <c r="B47" s="120"/>
      <c r="C47" s="73"/>
      <c r="D47" s="73"/>
      <c r="E47" s="73"/>
      <c r="F47" s="73"/>
      <c r="G47" s="73"/>
      <c r="H47" s="56" t="s">
        <v>676</v>
      </c>
      <c r="I47" s="51" t="s">
        <v>677</v>
      </c>
      <c r="J47" s="40" t="s">
        <v>678</v>
      </c>
      <c r="K47" s="15"/>
      <c r="L47" s="16">
        <v>0.02</v>
      </c>
      <c r="M47" s="15"/>
      <c r="N47" s="16">
        <v>0</v>
      </c>
      <c r="O47" s="16">
        <v>0.22</v>
      </c>
      <c r="P47" s="61">
        <v>0</v>
      </c>
      <c r="Q47" s="61">
        <v>0</v>
      </c>
      <c r="R47" s="16">
        <v>0.22</v>
      </c>
      <c r="S47" s="7">
        <v>0</v>
      </c>
      <c r="T47" s="7">
        <v>0</v>
      </c>
      <c r="U47" s="7">
        <v>0</v>
      </c>
      <c r="V47" s="7">
        <v>0</v>
      </c>
      <c r="W47" s="41"/>
    </row>
    <row r="48" spans="1:23" x14ac:dyDescent="0.25">
      <c r="F48" s="1"/>
    </row>
    <row r="49" spans="6:6" x14ac:dyDescent="0.25">
      <c r="F49" s="1"/>
    </row>
    <row r="50" spans="6:6" x14ac:dyDescent="0.25">
      <c r="F50" s="1"/>
    </row>
    <row r="51" spans="6:6" x14ac:dyDescent="0.25">
      <c r="F51" s="1"/>
    </row>
    <row r="52" spans="6:6" x14ac:dyDescent="0.25">
      <c r="F52" s="1"/>
    </row>
    <row r="53" spans="6:6" x14ac:dyDescent="0.25">
      <c r="F53" s="1"/>
    </row>
    <row r="54" spans="6:6" x14ac:dyDescent="0.25">
      <c r="F54" s="1"/>
    </row>
    <row r="55" spans="6:6" x14ac:dyDescent="0.25">
      <c r="F55" s="1"/>
    </row>
    <row r="56" spans="6:6" x14ac:dyDescent="0.25">
      <c r="F56" s="1"/>
    </row>
    <row r="57" spans="6:6" x14ac:dyDescent="0.25">
      <c r="F57" s="1"/>
    </row>
    <row r="58" spans="6:6" x14ac:dyDescent="0.25">
      <c r="F58" s="1"/>
    </row>
    <row r="59" spans="6:6" x14ac:dyDescent="0.25">
      <c r="F59" s="1"/>
    </row>
    <row r="60" spans="6:6" x14ac:dyDescent="0.25">
      <c r="F60" s="1"/>
    </row>
    <row r="61" spans="6:6" x14ac:dyDescent="0.25">
      <c r="F61" s="1"/>
    </row>
    <row r="62" spans="6:6" x14ac:dyDescent="0.25">
      <c r="F62" s="1"/>
    </row>
    <row r="63" spans="6:6" x14ac:dyDescent="0.25">
      <c r="F63" s="1"/>
    </row>
    <row r="64" spans="6:6" x14ac:dyDescent="0.25">
      <c r="F64" s="1"/>
    </row>
    <row r="65" spans="6:6" x14ac:dyDescent="0.25">
      <c r="F65" s="1"/>
    </row>
    <row r="66" spans="6:6" x14ac:dyDescent="0.25">
      <c r="F66" s="1"/>
    </row>
    <row r="67" spans="6:6" x14ac:dyDescent="0.25">
      <c r="F67" s="1"/>
    </row>
    <row r="68" spans="6:6" x14ac:dyDescent="0.25">
      <c r="F68" s="1"/>
    </row>
    <row r="69" spans="6:6" x14ac:dyDescent="0.25">
      <c r="F69" s="1"/>
    </row>
    <row r="70" spans="6:6" x14ac:dyDescent="0.25">
      <c r="F70" s="1"/>
    </row>
    <row r="71" spans="6:6" x14ac:dyDescent="0.25">
      <c r="F71" s="1"/>
    </row>
    <row r="72" spans="6:6" x14ac:dyDescent="0.25">
      <c r="F72" s="1"/>
    </row>
    <row r="73" spans="6:6" x14ac:dyDescent="0.25">
      <c r="F73" s="1"/>
    </row>
    <row r="74" spans="6:6" x14ac:dyDescent="0.25">
      <c r="F74" s="1"/>
    </row>
    <row r="75" spans="6:6" x14ac:dyDescent="0.25">
      <c r="F75" s="1"/>
    </row>
    <row r="76" spans="6:6" x14ac:dyDescent="0.25">
      <c r="F76" s="1"/>
    </row>
    <row r="77" spans="6:6" x14ac:dyDescent="0.25">
      <c r="F77" s="1"/>
    </row>
    <row r="78" spans="6:6" x14ac:dyDescent="0.25">
      <c r="F78" s="1"/>
    </row>
    <row r="79" spans="6:6" x14ac:dyDescent="0.25">
      <c r="F79" s="1"/>
    </row>
    <row r="80" spans="6:6" x14ac:dyDescent="0.25">
      <c r="F80" s="1"/>
    </row>
    <row r="81" spans="6:6" x14ac:dyDescent="0.25">
      <c r="F81" s="1"/>
    </row>
    <row r="82" spans="6:6" x14ac:dyDescent="0.25">
      <c r="F82" s="1"/>
    </row>
    <row r="83" spans="6:6" x14ac:dyDescent="0.25">
      <c r="F83" s="1"/>
    </row>
    <row r="84" spans="6:6" x14ac:dyDescent="0.25">
      <c r="F84" s="1"/>
    </row>
    <row r="85" spans="6:6" x14ac:dyDescent="0.25">
      <c r="F85" s="1"/>
    </row>
    <row r="86" spans="6:6" x14ac:dyDescent="0.25">
      <c r="F86" s="1"/>
    </row>
    <row r="87" spans="6:6" x14ac:dyDescent="0.25">
      <c r="F87" s="1"/>
    </row>
    <row r="88" spans="6:6" x14ac:dyDescent="0.25">
      <c r="F88" s="1"/>
    </row>
    <row r="89" spans="6:6" x14ac:dyDescent="0.25">
      <c r="F89" s="1"/>
    </row>
    <row r="90" spans="6:6" x14ac:dyDescent="0.25">
      <c r="F90" s="1"/>
    </row>
    <row r="91" spans="6:6" x14ac:dyDescent="0.25">
      <c r="F91" s="1"/>
    </row>
    <row r="92" spans="6:6" x14ac:dyDescent="0.25">
      <c r="F92" s="1"/>
    </row>
    <row r="93" spans="6:6" x14ac:dyDescent="0.25">
      <c r="F93" s="1"/>
    </row>
    <row r="94" spans="6:6" x14ac:dyDescent="0.25">
      <c r="F94" s="1"/>
    </row>
    <row r="95" spans="6:6" x14ac:dyDescent="0.25">
      <c r="F95" s="1"/>
    </row>
    <row r="96" spans="6:6" x14ac:dyDescent="0.25">
      <c r="F96" s="1"/>
    </row>
    <row r="97" spans="6:6" x14ac:dyDescent="0.25">
      <c r="F97" s="1"/>
    </row>
    <row r="98" spans="6:6" x14ac:dyDescent="0.25">
      <c r="F98" s="1"/>
    </row>
    <row r="99" spans="6:6" x14ac:dyDescent="0.25">
      <c r="F99" s="1"/>
    </row>
    <row r="100" spans="6:6" x14ac:dyDescent="0.25">
      <c r="F100" s="1"/>
    </row>
    <row r="101" spans="6:6" x14ac:dyDescent="0.25">
      <c r="F101" s="1"/>
    </row>
    <row r="102" spans="6:6" x14ac:dyDescent="0.25">
      <c r="F102" s="1"/>
    </row>
    <row r="103" spans="6:6" x14ac:dyDescent="0.25">
      <c r="F103" s="1"/>
    </row>
    <row r="104" spans="6:6" x14ac:dyDescent="0.25">
      <c r="F104" s="1"/>
    </row>
    <row r="105" spans="6:6" x14ac:dyDescent="0.25">
      <c r="F105" s="1"/>
    </row>
    <row r="106" spans="6:6" x14ac:dyDescent="0.25">
      <c r="F106" s="1"/>
    </row>
    <row r="107" spans="6:6" x14ac:dyDescent="0.25">
      <c r="F107" s="1"/>
    </row>
    <row r="108" spans="6:6" x14ac:dyDescent="0.25">
      <c r="F108" s="1"/>
    </row>
    <row r="109" spans="6:6" x14ac:dyDescent="0.25">
      <c r="F109" s="1"/>
    </row>
    <row r="110" spans="6:6" x14ac:dyDescent="0.25">
      <c r="F110" s="1"/>
    </row>
    <row r="111" spans="6:6" x14ac:dyDescent="0.25">
      <c r="F111" s="1"/>
    </row>
    <row r="112" spans="6:6" x14ac:dyDescent="0.25">
      <c r="F112" s="1"/>
    </row>
    <row r="113" spans="6:6" x14ac:dyDescent="0.25">
      <c r="F113" s="1"/>
    </row>
    <row r="114" spans="6:6" x14ac:dyDescent="0.25">
      <c r="F114" s="1"/>
    </row>
    <row r="115" spans="6:6" x14ac:dyDescent="0.25">
      <c r="F115" s="1"/>
    </row>
    <row r="116" spans="6:6" x14ac:dyDescent="0.25">
      <c r="F116" s="1"/>
    </row>
    <row r="117" spans="6:6" x14ac:dyDescent="0.25">
      <c r="F117" s="1"/>
    </row>
    <row r="118" spans="6:6" x14ac:dyDescent="0.25">
      <c r="F118" s="1"/>
    </row>
    <row r="119" spans="6:6" x14ac:dyDescent="0.25">
      <c r="F119" s="1"/>
    </row>
    <row r="120" spans="6:6" x14ac:dyDescent="0.25">
      <c r="F120" s="1"/>
    </row>
    <row r="121" spans="6:6" x14ac:dyDescent="0.25"/>
    <row r="122" spans="6:6" x14ac:dyDescent="0.25"/>
    <row r="123" spans="6:6" x14ac:dyDescent="0.25"/>
    <row r="124" spans="6:6" x14ac:dyDescent="0.25"/>
    <row r="125" spans="6:6" x14ac:dyDescent="0.25"/>
    <row r="126" spans="6:6" x14ac:dyDescent="0.25"/>
    <row r="127" spans="6:6" x14ac:dyDescent="0.25"/>
    <row r="128" spans="6:6"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sheetData>
  <mergeCells count="84">
    <mergeCell ref="G46:G47"/>
    <mergeCell ref="A46:A47"/>
    <mergeCell ref="B46:B47"/>
    <mergeCell ref="C46:C47"/>
    <mergeCell ref="D46:D47"/>
    <mergeCell ref="E46:E47"/>
    <mergeCell ref="F46:F47"/>
    <mergeCell ref="H39:H45"/>
    <mergeCell ref="I39:I40"/>
    <mergeCell ref="C40:C42"/>
    <mergeCell ref="D40:D42"/>
    <mergeCell ref="E40:E42"/>
    <mergeCell ref="I41:I42"/>
    <mergeCell ref="C38:C39"/>
    <mergeCell ref="D38:D39"/>
    <mergeCell ref="E38:E39"/>
    <mergeCell ref="F39:F45"/>
    <mergeCell ref="G39:G45"/>
    <mergeCell ref="E22:E24"/>
    <mergeCell ref="F22:F24"/>
    <mergeCell ref="I25:I26"/>
    <mergeCell ref="H32:H34"/>
    <mergeCell ref="A35:A45"/>
    <mergeCell ref="B35:B45"/>
    <mergeCell ref="C35:C37"/>
    <mergeCell ref="D35:D37"/>
    <mergeCell ref="E35:E37"/>
    <mergeCell ref="F35:F38"/>
    <mergeCell ref="G35:G38"/>
    <mergeCell ref="H35:H38"/>
    <mergeCell ref="C43:C45"/>
    <mergeCell ref="D43:D45"/>
    <mergeCell ref="E43:E45"/>
    <mergeCell ref="I44:I45"/>
    <mergeCell ref="H19:H21"/>
    <mergeCell ref="I19:I21"/>
    <mergeCell ref="G22:G24"/>
    <mergeCell ref="H22:H24"/>
    <mergeCell ref="A25:A34"/>
    <mergeCell ref="B25:B34"/>
    <mergeCell ref="C25:C34"/>
    <mergeCell ref="D25:D34"/>
    <mergeCell ref="E25:E34"/>
    <mergeCell ref="F25:F34"/>
    <mergeCell ref="G25:G34"/>
    <mergeCell ref="H25:H31"/>
    <mergeCell ref="A22:A24"/>
    <mergeCell ref="B22:B24"/>
    <mergeCell ref="C22:C24"/>
    <mergeCell ref="D22:D24"/>
    <mergeCell ref="A9:A21"/>
    <mergeCell ref="B9:B21"/>
    <mergeCell ref="C9:C21"/>
    <mergeCell ref="D9:D21"/>
    <mergeCell ref="E9:E21"/>
    <mergeCell ref="F9:F21"/>
    <mergeCell ref="R6:R8"/>
    <mergeCell ref="S6:V6"/>
    <mergeCell ref="W6:W8"/>
    <mergeCell ref="S7:V7"/>
    <mergeCell ref="H6:H8"/>
    <mergeCell ref="I6:I8"/>
    <mergeCell ref="J6:J8"/>
    <mergeCell ref="K6:L7"/>
    <mergeCell ref="M6:M8"/>
    <mergeCell ref="N6:Q7"/>
    <mergeCell ref="G6:G8"/>
    <mergeCell ref="G9:G21"/>
    <mergeCell ref="H9:H13"/>
    <mergeCell ref="H15:H18"/>
    <mergeCell ref="I16:I17"/>
    <mergeCell ref="A6:A8"/>
    <mergeCell ref="B6:B8"/>
    <mergeCell ref="C6:C8"/>
    <mergeCell ref="D6:E7"/>
    <mergeCell ref="F6:F8"/>
    <mergeCell ref="A4:E5"/>
    <mergeCell ref="F4:W4"/>
    <mergeCell ref="F5:W5"/>
    <mergeCell ref="A1:E2"/>
    <mergeCell ref="F1:W1"/>
    <mergeCell ref="F2:W2"/>
    <mergeCell ref="A3:E3"/>
    <mergeCell ref="F3:S3"/>
  </mergeCells>
  <dataValidations count="1">
    <dataValidation allowBlank="1" showInputMessage="1" showErrorMessage="1" prompt="sin recursos" sqref="X43:XFD43 S43:V43" xr:uid="{00000000-0002-0000-0200-000000000000}"/>
  </dataValidations>
  <printOptions horizontalCentered="1" verticalCentered="1"/>
  <pageMargins left="0.39370078740157483" right="0.59055118110236227" top="1.0236220472440944" bottom="1.1811023622047245" header="0.59055118110236227" footer="0.59055118110236227"/>
  <pageSetup scale="40" fitToHeight="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7"/>
    <pageSetUpPr fitToPage="1"/>
  </sheetPr>
  <dimension ref="A1:S685"/>
  <sheetViews>
    <sheetView showGridLines="0" zoomScaleNormal="100" workbookViewId="0">
      <selection activeCell="S15" sqref="S15"/>
    </sheetView>
  </sheetViews>
  <sheetFormatPr baseColWidth="10" defaultColWidth="11.5546875" defaultRowHeight="11.4" zeroHeight="1" x14ac:dyDescent="0.25"/>
  <cols>
    <col min="1" max="1" width="10.33203125" style="36" customWidth="1"/>
    <col min="2" max="2" width="30.109375" style="36" customWidth="1"/>
    <col min="3" max="4" width="16" style="36" customWidth="1"/>
    <col min="5" max="5" width="13.44140625" style="36" customWidth="1"/>
    <col min="6" max="6" width="18" style="38" customWidth="1"/>
    <col min="7" max="7" width="20.109375" style="1" customWidth="1"/>
    <col min="8" max="8" width="20.44140625" style="36" customWidth="1"/>
    <col min="9" max="9" width="7.6640625" style="36" bestFit="1" customWidth="1"/>
    <col min="10" max="10" width="30.109375" style="36" customWidth="1"/>
    <col min="11" max="11" width="27.44140625" style="1" customWidth="1"/>
    <col min="12" max="12" width="21.33203125" style="36" bestFit="1" customWidth="1"/>
    <col min="13" max="13" width="8.5546875" style="36" bestFit="1" customWidth="1"/>
    <col min="14" max="14" width="9.5546875" style="36" customWidth="1"/>
    <col min="15" max="15" width="6" style="36" bestFit="1" customWidth="1"/>
    <col min="16" max="16" width="5" style="36" bestFit="1" customWidth="1"/>
    <col min="17" max="17" width="7.44140625" style="36" customWidth="1"/>
    <col min="18" max="18" width="7.6640625" style="36" bestFit="1" customWidth="1"/>
    <col min="19" max="19" width="13.44140625" style="36" customWidth="1"/>
    <col min="20" max="20" width="11.5546875" style="1" customWidth="1"/>
    <col min="21" max="16384" width="11.5546875" style="1"/>
  </cols>
  <sheetData>
    <row r="1" spans="1:19" ht="12" customHeight="1" x14ac:dyDescent="0.25">
      <c r="A1" s="91" t="s">
        <v>0</v>
      </c>
      <c r="B1" s="92"/>
      <c r="C1" s="92"/>
      <c r="D1" s="92"/>
      <c r="E1" s="93"/>
      <c r="F1" s="123" t="s">
        <v>684</v>
      </c>
      <c r="G1" s="124"/>
      <c r="H1" s="124"/>
      <c r="I1" s="124"/>
      <c r="J1" s="124"/>
      <c r="K1" s="124"/>
      <c r="L1" s="124"/>
      <c r="M1" s="124"/>
      <c r="N1" s="124"/>
      <c r="O1" s="124"/>
      <c r="P1" s="124"/>
      <c r="Q1" s="124"/>
      <c r="R1" s="124"/>
      <c r="S1" s="125"/>
    </row>
    <row r="2" spans="1:19" x14ac:dyDescent="0.25">
      <c r="A2" s="94"/>
      <c r="B2" s="95"/>
      <c r="C2" s="95"/>
      <c r="D2" s="95"/>
      <c r="E2" s="96"/>
      <c r="F2" s="126" t="s">
        <v>1</v>
      </c>
      <c r="G2" s="127"/>
      <c r="H2" s="127"/>
      <c r="I2" s="127"/>
      <c r="J2" s="127"/>
      <c r="K2" s="127"/>
      <c r="L2" s="127"/>
      <c r="M2" s="127"/>
      <c r="N2" s="127"/>
      <c r="O2" s="127"/>
      <c r="P2" s="127"/>
      <c r="Q2" s="127"/>
      <c r="R2" s="127"/>
      <c r="S2" s="128"/>
    </row>
    <row r="3" spans="1:19" ht="24" customHeight="1" x14ac:dyDescent="0.25">
      <c r="A3" s="103" t="s">
        <v>2</v>
      </c>
      <c r="B3" s="104"/>
      <c r="C3" s="104"/>
      <c r="D3" s="104"/>
      <c r="E3" s="105"/>
      <c r="F3" s="129" t="s">
        <v>685</v>
      </c>
      <c r="G3" s="130"/>
      <c r="H3" s="130"/>
      <c r="I3" s="130"/>
      <c r="J3" s="130"/>
      <c r="K3" s="130"/>
      <c r="L3" s="130"/>
      <c r="M3" s="130"/>
      <c r="N3" s="130"/>
      <c r="O3" s="130"/>
      <c r="P3" s="130"/>
      <c r="Q3" s="130"/>
      <c r="R3" s="130"/>
      <c r="S3" s="131"/>
    </row>
    <row r="4" spans="1:19" ht="14.25" customHeight="1" x14ac:dyDescent="0.25">
      <c r="A4" s="91" t="s">
        <v>3</v>
      </c>
      <c r="B4" s="92"/>
      <c r="C4" s="92"/>
      <c r="D4" s="92"/>
      <c r="E4" s="93"/>
      <c r="F4" s="123" t="s">
        <v>686</v>
      </c>
      <c r="G4" s="124"/>
      <c r="H4" s="124"/>
      <c r="I4" s="124"/>
      <c r="J4" s="124"/>
      <c r="K4" s="124"/>
      <c r="L4" s="124"/>
      <c r="M4" s="124"/>
      <c r="N4" s="124"/>
      <c r="O4" s="124"/>
      <c r="P4" s="124"/>
      <c r="Q4" s="124"/>
      <c r="R4" s="124"/>
      <c r="S4" s="125"/>
    </row>
    <row r="5" spans="1:19" ht="12" customHeight="1" x14ac:dyDescent="0.25">
      <c r="A5" s="111"/>
      <c r="B5" s="113"/>
      <c r="C5" s="113"/>
      <c r="D5" s="113"/>
      <c r="E5" s="112"/>
      <c r="F5" s="123" t="s">
        <v>687</v>
      </c>
      <c r="G5" s="124"/>
      <c r="H5" s="124"/>
      <c r="I5" s="124"/>
      <c r="J5" s="124"/>
      <c r="K5" s="124"/>
      <c r="L5" s="124"/>
      <c r="M5" s="124"/>
      <c r="N5" s="124"/>
      <c r="O5" s="124"/>
      <c r="P5" s="124"/>
      <c r="Q5" s="124"/>
      <c r="R5" s="124"/>
      <c r="S5" s="125"/>
    </row>
    <row r="6" spans="1:19" ht="14.25" customHeight="1" x14ac:dyDescent="0.25">
      <c r="A6" s="94"/>
      <c r="B6" s="95"/>
      <c r="C6" s="95"/>
      <c r="D6" s="95"/>
      <c r="E6" s="96"/>
      <c r="F6" s="126" t="s">
        <v>688</v>
      </c>
      <c r="G6" s="127"/>
      <c r="H6" s="127"/>
      <c r="I6" s="127"/>
      <c r="J6" s="127"/>
      <c r="K6" s="127"/>
      <c r="L6" s="127"/>
      <c r="M6" s="127"/>
      <c r="N6" s="127"/>
      <c r="O6" s="127"/>
      <c r="P6" s="127"/>
      <c r="Q6" s="127"/>
      <c r="R6" s="127"/>
      <c r="S6" s="128"/>
    </row>
    <row r="7" spans="1:19" ht="12" customHeight="1" x14ac:dyDescent="0.25">
      <c r="A7" s="88" t="s">
        <v>6</v>
      </c>
      <c r="B7" s="110" t="s">
        <v>7</v>
      </c>
      <c r="C7" s="108" t="s">
        <v>470</v>
      </c>
      <c r="D7" s="88" t="s">
        <v>8</v>
      </c>
      <c r="E7" s="88"/>
      <c r="F7" s="108" t="s">
        <v>9</v>
      </c>
      <c r="G7" s="108" t="s">
        <v>10</v>
      </c>
      <c r="H7" s="108" t="s">
        <v>11</v>
      </c>
      <c r="I7" s="110" t="s">
        <v>12</v>
      </c>
      <c r="J7" s="108" t="s">
        <v>13</v>
      </c>
      <c r="K7" s="108" t="s">
        <v>14</v>
      </c>
      <c r="L7" s="111" t="s">
        <v>15</v>
      </c>
      <c r="M7" s="112"/>
      <c r="N7" s="110" t="s">
        <v>16</v>
      </c>
      <c r="O7" s="111" t="s">
        <v>689</v>
      </c>
      <c r="P7" s="113"/>
      <c r="Q7" s="113"/>
      <c r="R7" s="112"/>
      <c r="S7" s="108" t="s">
        <v>471</v>
      </c>
    </row>
    <row r="8" spans="1:19" x14ac:dyDescent="0.25">
      <c r="A8" s="88"/>
      <c r="B8" s="108"/>
      <c r="C8" s="108"/>
      <c r="D8" s="88"/>
      <c r="E8" s="88"/>
      <c r="F8" s="108"/>
      <c r="G8" s="108"/>
      <c r="H8" s="108"/>
      <c r="I8" s="108"/>
      <c r="J8" s="108"/>
      <c r="K8" s="108"/>
      <c r="L8" s="94"/>
      <c r="M8" s="96"/>
      <c r="N8" s="108"/>
      <c r="O8" s="94"/>
      <c r="P8" s="95"/>
      <c r="Q8" s="95"/>
      <c r="R8" s="96"/>
      <c r="S8" s="108"/>
    </row>
    <row r="9" spans="1:19" ht="22.8" x14ac:dyDescent="0.25">
      <c r="A9" s="88"/>
      <c r="B9" s="109"/>
      <c r="C9" s="109"/>
      <c r="D9" s="41" t="s">
        <v>19</v>
      </c>
      <c r="E9" s="41" t="s">
        <v>893</v>
      </c>
      <c r="F9" s="109"/>
      <c r="G9" s="109"/>
      <c r="H9" s="109"/>
      <c r="I9" s="109"/>
      <c r="J9" s="109"/>
      <c r="K9" s="109"/>
      <c r="L9" s="41" t="s">
        <v>20</v>
      </c>
      <c r="M9" s="41" t="s">
        <v>894</v>
      </c>
      <c r="N9" s="109"/>
      <c r="O9" s="43" t="s">
        <v>21</v>
      </c>
      <c r="P9" s="43">
        <v>2022</v>
      </c>
      <c r="Q9" s="43" t="s">
        <v>896</v>
      </c>
      <c r="R9" s="43" t="s">
        <v>690</v>
      </c>
      <c r="S9" s="109"/>
    </row>
    <row r="10" spans="1:19" s="14" customFormat="1" ht="24" customHeight="1" x14ac:dyDescent="0.25">
      <c r="A10" s="76" t="s">
        <v>691</v>
      </c>
      <c r="B10" s="118" t="s">
        <v>692</v>
      </c>
      <c r="C10" s="71" t="s">
        <v>693</v>
      </c>
      <c r="D10" s="71" t="s">
        <v>694</v>
      </c>
      <c r="E10" s="71" t="s">
        <v>34</v>
      </c>
      <c r="F10" s="71" t="s">
        <v>695</v>
      </c>
      <c r="G10" s="71" t="s">
        <v>696</v>
      </c>
      <c r="H10" s="89" t="s">
        <v>697</v>
      </c>
      <c r="I10" s="132" t="s">
        <v>698</v>
      </c>
      <c r="J10" s="67" t="s">
        <v>699</v>
      </c>
      <c r="K10" s="49" t="s">
        <v>700</v>
      </c>
      <c r="L10" s="49" t="s">
        <v>701</v>
      </c>
      <c r="M10" s="41">
        <v>0</v>
      </c>
      <c r="N10" s="41" t="s">
        <v>35</v>
      </c>
      <c r="O10" s="41">
        <f>M10</f>
        <v>0</v>
      </c>
      <c r="P10" s="41">
        <v>1</v>
      </c>
      <c r="Q10" s="41">
        <v>0</v>
      </c>
      <c r="R10" s="41">
        <v>0</v>
      </c>
      <c r="S10" s="12">
        <v>1</v>
      </c>
    </row>
    <row r="11" spans="1:19" s="14" customFormat="1" ht="22.8" x14ac:dyDescent="0.25">
      <c r="A11" s="77"/>
      <c r="B11" s="119"/>
      <c r="C11" s="72"/>
      <c r="D11" s="72"/>
      <c r="E11" s="72"/>
      <c r="F11" s="72"/>
      <c r="G11" s="72"/>
      <c r="H11" s="90"/>
      <c r="I11" s="132"/>
      <c r="J11" s="68"/>
      <c r="K11" s="40" t="s">
        <v>702</v>
      </c>
      <c r="L11" s="40" t="s">
        <v>515</v>
      </c>
      <c r="M11" s="16">
        <v>0</v>
      </c>
      <c r="N11" s="16" t="s">
        <v>35</v>
      </c>
      <c r="O11" s="41">
        <f t="shared" ref="O11:O29" si="0">M11</f>
        <v>0</v>
      </c>
      <c r="P11" s="41">
        <v>5</v>
      </c>
      <c r="Q11" s="16">
        <v>0</v>
      </c>
      <c r="R11" s="41">
        <v>0</v>
      </c>
      <c r="S11" s="16">
        <v>0.2</v>
      </c>
    </row>
    <row r="12" spans="1:19" s="14" customFormat="1" ht="34.200000000000003" x14ac:dyDescent="0.25">
      <c r="A12" s="77"/>
      <c r="B12" s="119"/>
      <c r="C12" s="72"/>
      <c r="D12" s="72"/>
      <c r="E12" s="72"/>
      <c r="F12" s="72"/>
      <c r="G12" s="72"/>
      <c r="H12" s="90"/>
      <c r="I12" s="132" t="s">
        <v>703</v>
      </c>
      <c r="J12" s="67" t="s">
        <v>704</v>
      </c>
      <c r="K12" s="49" t="s">
        <v>705</v>
      </c>
      <c r="L12" s="49" t="s">
        <v>706</v>
      </c>
      <c r="M12" s="41">
        <v>0</v>
      </c>
      <c r="N12" s="41" t="s">
        <v>40</v>
      </c>
      <c r="O12" s="41">
        <f t="shared" si="0"/>
        <v>0</v>
      </c>
      <c r="P12" s="41">
        <v>1</v>
      </c>
      <c r="Q12" s="41">
        <v>0</v>
      </c>
      <c r="R12" s="41">
        <v>0</v>
      </c>
      <c r="S12" s="12">
        <v>1</v>
      </c>
    </row>
    <row r="13" spans="1:19" s="14" customFormat="1" ht="45.6" x14ac:dyDescent="0.25">
      <c r="A13" s="77"/>
      <c r="B13" s="119"/>
      <c r="C13" s="72"/>
      <c r="D13" s="72"/>
      <c r="E13" s="72"/>
      <c r="F13" s="72"/>
      <c r="G13" s="72"/>
      <c r="H13" s="90"/>
      <c r="I13" s="132"/>
      <c r="J13" s="68"/>
      <c r="K13" s="40" t="s">
        <v>707</v>
      </c>
      <c r="L13" s="40" t="s">
        <v>708</v>
      </c>
      <c r="M13" s="41">
        <v>12</v>
      </c>
      <c r="N13" s="19" t="s">
        <v>35</v>
      </c>
      <c r="O13" s="41">
        <f t="shared" si="0"/>
        <v>12</v>
      </c>
      <c r="P13" s="19">
        <v>24</v>
      </c>
      <c r="Q13" s="19">
        <v>0</v>
      </c>
      <c r="R13" s="41">
        <v>0</v>
      </c>
      <c r="S13" s="19">
        <v>60</v>
      </c>
    </row>
    <row r="14" spans="1:19" s="14" customFormat="1" ht="34.200000000000003" x14ac:dyDescent="0.25">
      <c r="A14" s="77"/>
      <c r="B14" s="119"/>
      <c r="C14" s="72"/>
      <c r="D14" s="72"/>
      <c r="E14" s="72"/>
      <c r="F14" s="72"/>
      <c r="G14" s="72"/>
      <c r="H14" s="90"/>
      <c r="I14" s="19" t="s">
        <v>709</v>
      </c>
      <c r="J14" s="48" t="s">
        <v>710</v>
      </c>
      <c r="K14" s="40" t="s">
        <v>711</v>
      </c>
      <c r="L14" s="40" t="s">
        <v>712</v>
      </c>
      <c r="M14" s="41" t="s">
        <v>34</v>
      </c>
      <c r="N14" s="16" t="s">
        <v>35</v>
      </c>
      <c r="O14" s="41">
        <v>0</v>
      </c>
      <c r="P14" s="16">
        <v>0</v>
      </c>
      <c r="Q14" s="16">
        <v>0</v>
      </c>
      <c r="R14" s="41">
        <v>0</v>
      </c>
      <c r="S14" s="16">
        <v>0</v>
      </c>
    </row>
    <row r="15" spans="1:19" s="14" customFormat="1" ht="34.200000000000003" x14ac:dyDescent="0.25">
      <c r="A15" s="77"/>
      <c r="B15" s="119"/>
      <c r="C15" s="72"/>
      <c r="D15" s="72"/>
      <c r="E15" s="72"/>
      <c r="F15" s="72"/>
      <c r="G15" s="72"/>
      <c r="H15" s="90"/>
      <c r="I15" s="19" t="s">
        <v>713</v>
      </c>
      <c r="J15" s="48" t="s">
        <v>714</v>
      </c>
      <c r="K15" s="48" t="s">
        <v>715</v>
      </c>
      <c r="L15" s="40" t="s">
        <v>716</v>
      </c>
      <c r="M15" s="19">
        <v>0</v>
      </c>
      <c r="N15" s="19" t="s">
        <v>35</v>
      </c>
      <c r="O15" s="41">
        <f t="shared" si="0"/>
        <v>0</v>
      </c>
      <c r="P15" s="52">
        <v>0.2</v>
      </c>
      <c r="Q15" s="19">
        <v>0</v>
      </c>
      <c r="R15" s="41">
        <v>0</v>
      </c>
      <c r="S15" s="19">
        <v>1</v>
      </c>
    </row>
    <row r="16" spans="1:19" s="14" customFormat="1" ht="34.200000000000003" x14ac:dyDescent="0.25">
      <c r="A16" s="77"/>
      <c r="B16" s="119"/>
      <c r="C16" s="72"/>
      <c r="D16" s="72"/>
      <c r="E16" s="72"/>
      <c r="F16" s="72"/>
      <c r="G16" s="72"/>
      <c r="H16" s="122"/>
      <c r="I16" s="19" t="s">
        <v>717</v>
      </c>
      <c r="J16" s="48" t="s">
        <v>718</v>
      </c>
      <c r="K16" s="48" t="s">
        <v>718</v>
      </c>
      <c r="L16" s="48" t="s">
        <v>719</v>
      </c>
      <c r="M16" s="41">
        <v>0</v>
      </c>
      <c r="N16" s="41" t="s">
        <v>35</v>
      </c>
      <c r="O16" s="41">
        <f t="shared" si="0"/>
        <v>0</v>
      </c>
      <c r="P16" s="41">
        <v>1</v>
      </c>
      <c r="Q16" s="41">
        <v>0</v>
      </c>
      <c r="R16" s="41">
        <v>0</v>
      </c>
      <c r="S16" s="12">
        <v>5</v>
      </c>
    </row>
    <row r="17" spans="1:19" s="14" customFormat="1" ht="45.6" x14ac:dyDescent="0.25">
      <c r="A17" s="77"/>
      <c r="B17" s="119"/>
      <c r="C17" s="72"/>
      <c r="D17" s="72"/>
      <c r="E17" s="72"/>
      <c r="F17" s="72"/>
      <c r="G17" s="72"/>
      <c r="H17" s="71" t="s">
        <v>720</v>
      </c>
      <c r="I17" s="41" t="s">
        <v>721</v>
      </c>
      <c r="J17" s="48" t="s">
        <v>722</v>
      </c>
      <c r="K17" s="48" t="s">
        <v>723</v>
      </c>
      <c r="L17" s="48" t="s">
        <v>724</v>
      </c>
      <c r="M17" s="41">
        <v>0</v>
      </c>
      <c r="N17" s="16" t="s">
        <v>35</v>
      </c>
      <c r="O17" s="41">
        <f t="shared" si="0"/>
        <v>0</v>
      </c>
      <c r="P17" s="16">
        <v>0.25</v>
      </c>
      <c r="Q17" s="16">
        <v>0</v>
      </c>
      <c r="R17" s="41">
        <v>0</v>
      </c>
      <c r="S17" s="16">
        <v>1</v>
      </c>
    </row>
    <row r="18" spans="1:19" s="14" customFormat="1" ht="22.8" x14ac:dyDescent="0.25">
      <c r="A18" s="77"/>
      <c r="B18" s="119"/>
      <c r="C18" s="72"/>
      <c r="D18" s="72"/>
      <c r="E18" s="72"/>
      <c r="F18" s="72"/>
      <c r="G18" s="72"/>
      <c r="H18" s="72"/>
      <c r="I18" s="41" t="s">
        <v>725</v>
      </c>
      <c r="J18" s="48" t="s">
        <v>726</v>
      </c>
      <c r="K18" s="48" t="s">
        <v>727</v>
      </c>
      <c r="L18" s="48" t="s">
        <v>728</v>
      </c>
      <c r="M18" s="41">
        <v>5</v>
      </c>
      <c r="N18" s="41" t="s">
        <v>35</v>
      </c>
      <c r="O18" s="41">
        <f t="shared" si="0"/>
        <v>5</v>
      </c>
      <c r="P18" s="41">
        <v>7.5</v>
      </c>
      <c r="Q18" s="41">
        <v>0</v>
      </c>
      <c r="R18" s="41">
        <v>0</v>
      </c>
      <c r="S18" s="12">
        <v>15</v>
      </c>
    </row>
    <row r="19" spans="1:19" s="14" customFormat="1" ht="45.6" x14ac:dyDescent="0.25">
      <c r="A19" s="77"/>
      <c r="B19" s="119"/>
      <c r="C19" s="72"/>
      <c r="D19" s="72"/>
      <c r="E19" s="72"/>
      <c r="F19" s="72"/>
      <c r="G19" s="72"/>
      <c r="H19" s="72"/>
      <c r="I19" s="41" t="s">
        <v>729</v>
      </c>
      <c r="J19" s="48" t="s">
        <v>730</v>
      </c>
      <c r="K19" s="48" t="s">
        <v>730</v>
      </c>
      <c r="L19" s="48" t="s">
        <v>731</v>
      </c>
      <c r="M19" s="16">
        <v>0.6</v>
      </c>
      <c r="N19" s="16" t="s">
        <v>35</v>
      </c>
      <c r="O19" s="41">
        <f t="shared" si="0"/>
        <v>0.6</v>
      </c>
      <c r="P19" s="16">
        <v>0.7</v>
      </c>
      <c r="Q19" s="16">
        <v>0</v>
      </c>
      <c r="R19" s="41">
        <v>0</v>
      </c>
      <c r="S19" s="16">
        <v>1</v>
      </c>
    </row>
    <row r="20" spans="1:19" s="14" customFormat="1" ht="34.200000000000003" x14ac:dyDescent="0.25">
      <c r="A20" s="77"/>
      <c r="B20" s="119"/>
      <c r="C20" s="72"/>
      <c r="D20" s="72"/>
      <c r="E20" s="72"/>
      <c r="F20" s="72"/>
      <c r="G20" s="72"/>
      <c r="H20" s="72"/>
      <c r="I20" s="41" t="s">
        <v>732</v>
      </c>
      <c r="J20" s="48" t="s">
        <v>733</v>
      </c>
      <c r="K20" s="48" t="s">
        <v>734</v>
      </c>
      <c r="L20" s="48" t="s">
        <v>735</v>
      </c>
      <c r="M20" s="19">
        <v>0</v>
      </c>
      <c r="N20" s="19" t="s">
        <v>35</v>
      </c>
      <c r="O20" s="41">
        <f t="shared" si="0"/>
        <v>0</v>
      </c>
      <c r="P20" s="52">
        <v>0.2</v>
      </c>
      <c r="Q20" s="19">
        <v>0</v>
      </c>
      <c r="R20" s="41">
        <v>0</v>
      </c>
      <c r="S20" s="19">
        <v>1</v>
      </c>
    </row>
    <row r="21" spans="1:19" s="14" customFormat="1" ht="34.200000000000003" x14ac:dyDescent="0.25">
      <c r="A21" s="77"/>
      <c r="B21" s="119"/>
      <c r="C21" s="72"/>
      <c r="D21" s="72"/>
      <c r="E21" s="72"/>
      <c r="F21" s="72"/>
      <c r="G21" s="72"/>
      <c r="H21" s="72"/>
      <c r="I21" s="41" t="s">
        <v>736</v>
      </c>
      <c r="J21" s="48" t="s">
        <v>737</v>
      </c>
      <c r="K21" s="48" t="s">
        <v>738</v>
      </c>
      <c r="L21" s="48" t="s">
        <v>739</v>
      </c>
      <c r="M21" s="19">
        <v>0</v>
      </c>
      <c r="N21" s="19" t="s">
        <v>35</v>
      </c>
      <c r="O21" s="41">
        <f t="shared" si="0"/>
        <v>0</v>
      </c>
      <c r="P21" s="19">
        <v>1</v>
      </c>
      <c r="Q21" s="19">
        <v>0</v>
      </c>
      <c r="R21" s="41">
        <v>0</v>
      </c>
      <c r="S21" s="19">
        <v>1</v>
      </c>
    </row>
    <row r="22" spans="1:19" s="14" customFormat="1" ht="34.200000000000003" x14ac:dyDescent="0.25">
      <c r="A22" s="78"/>
      <c r="B22" s="120"/>
      <c r="C22" s="73"/>
      <c r="D22" s="73"/>
      <c r="E22" s="73"/>
      <c r="F22" s="73"/>
      <c r="G22" s="73"/>
      <c r="H22" s="73"/>
      <c r="I22" s="41" t="s">
        <v>740</v>
      </c>
      <c r="J22" s="48" t="s">
        <v>741</v>
      </c>
      <c r="K22" s="48" t="s">
        <v>742</v>
      </c>
      <c r="L22" s="48" t="s">
        <v>743</v>
      </c>
      <c r="M22" s="19" t="s">
        <v>34</v>
      </c>
      <c r="N22" s="19" t="s">
        <v>35</v>
      </c>
      <c r="O22" s="41">
        <v>0</v>
      </c>
      <c r="P22" s="19">
        <v>25</v>
      </c>
      <c r="Q22" s="19">
        <v>0</v>
      </c>
      <c r="R22" s="41">
        <v>0</v>
      </c>
      <c r="S22" s="19">
        <v>25</v>
      </c>
    </row>
    <row r="23" spans="1:19" s="14" customFormat="1" ht="30" customHeight="1" x14ac:dyDescent="0.25">
      <c r="A23" s="76" t="s">
        <v>744</v>
      </c>
      <c r="B23" s="118" t="s">
        <v>745</v>
      </c>
      <c r="C23" s="71" t="s">
        <v>746</v>
      </c>
      <c r="D23" s="71" t="s">
        <v>747</v>
      </c>
      <c r="E23" s="71" t="s">
        <v>34</v>
      </c>
      <c r="F23" s="71" t="s">
        <v>748</v>
      </c>
      <c r="G23" s="71" t="s">
        <v>749</v>
      </c>
      <c r="H23" s="71" t="s">
        <v>750</v>
      </c>
      <c r="I23" s="71" t="s">
        <v>751</v>
      </c>
      <c r="J23" s="67" t="s">
        <v>752</v>
      </c>
      <c r="K23" s="48" t="s">
        <v>753</v>
      </c>
      <c r="L23" s="48" t="s">
        <v>754</v>
      </c>
      <c r="M23" s="41">
        <v>0</v>
      </c>
      <c r="N23" s="41" t="s">
        <v>35</v>
      </c>
      <c r="O23" s="41">
        <f t="shared" si="0"/>
        <v>0</v>
      </c>
      <c r="P23" s="19">
        <v>1</v>
      </c>
      <c r="Q23" s="21">
        <v>0</v>
      </c>
      <c r="R23" s="41">
        <v>0</v>
      </c>
      <c r="S23" s="19">
        <v>1</v>
      </c>
    </row>
    <row r="24" spans="1:19" s="14" customFormat="1" ht="30" customHeight="1" x14ac:dyDescent="0.25">
      <c r="A24" s="77"/>
      <c r="B24" s="119"/>
      <c r="C24" s="72"/>
      <c r="D24" s="72"/>
      <c r="E24" s="72"/>
      <c r="F24" s="72"/>
      <c r="G24" s="72"/>
      <c r="H24" s="72"/>
      <c r="I24" s="73"/>
      <c r="J24" s="68"/>
      <c r="K24" s="40" t="s">
        <v>755</v>
      </c>
      <c r="L24" s="48" t="s">
        <v>515</v>
      </c>
      <c r="M24" s="16">
        <v>0</v>
      </c>
      <c r="N24" s="16" t="s">
        <v>35</v>
      </c>
      <c r="O24" s="41">
        <f t="shared" si="0"/>
        <v>0</v>
      </c>
      <c r="P24" s="16">
        <v>0.03</v>
      </c>
      <c r="Q24" s="16">
        <v>0</v>
      </c>
      <c r="R24" s="41">
        <v>0</v>
      </c>
      <c r="S24" s="16">
        <v>0.15</v>
      </c>
    </row>
    <row r="25" spans="1:19" s="14" customFormat="1" ht="45.6" x14ac:dyDescent="0.25">
      <c r="A25" s="77"/>
      <c r="B25" s="119"/>
      <c r="C25" s="72"/>
      <c r="D25" s="72"/>
      <c r="E25" s="72"/>
      <c r="F25" s="72"/>
      <c r="G25" s="72"/>
      <c r="H25" s="72"/>
      <c r="I25" s="41" t="s">
        <v>756</v>
      </c>
      <c r="J25" s="48" t="s">
        <v>757</v>
      </c>
      <c r="K25" s="48" t="s">
        <v>758</v>
      </c>
      <c r="L25" s="48" t="s">
        <v>759</v>
      </c>
      <c r="M25" s="41">
        <v>0</v>
      </c>
      <c r="N25" s="41" t="s">
        <v>35</v>
      </c>
      <c r="O25" s="41">
        <f t="shared" si="0"/>
        <v>0</v>
      </c>
      <c r="P25" s="19">
        <v>1</v>
      </c>
      <c r="Q25" s="19">
        <v>0</v>
      </c>
      <c r="R25" s="41">
        <v>0</v>
      </c>
      <c r="S25" s="19">
        <v>1</v>
      </c>
    </row>
    <row r="26" spans="1:19" s="14" customFormat="1" ht="45.6" x14ac:dyDescent="0.25">
      <c r="A26" s="77"/>
      <c r="B26" s="119"/>
      <c r="C26" s="72"/>
      <c r="D26" s="72"/>
      <c r="E26" s="72"/>
      <c r="F26" s="72"/>
      <c r="G26" s="72"/>
      <c r="H26" s="72"/>
      <c r="I26" s="41" t="s">
        <v>760</v>
      </c>
      <c r="J26" s="48" t="s">
        <v>761</v>
      </c>
      <c r="K26" s="48" t="s">
        <v>762</v>
      </c>
      <c r="L26" s="48" t="s">
        <v>245</v>
      </c>
      <c r="M26" s="16">
        <v>0.6</v>
      </c>
      <c r="N26" s="16" t="s">
        <v>35</v>
      </c>
      <c r="O26" s="41">
        <f t="shared" si="0"/>
        <v>0.6</v>
      </c>
      <c r="P26" s="16">
        <v>0.1</v>
      </c>
      <c r="Q26" s="16">
        <v>0</v>
      </c>
      <c r="R26" s="41">
        <v>0</v>
      </c>
      <c r="S26" s="16">
        <v>1</v>
      </c>
    </row>
    <row r="27" spans="1:19" s="14" customFormat="1" ht="22.8" x14ac:dyDescent="0.25">
      <c r="A27" s="77"/>
      <c r="B27" s="119"/>
      <c r="C27" s="72"/>
      <c r="D27" s="72"/>
      <c r="E27" s="72"/>
      <c r="F27" s="72"/>
      <c r="G27" s="72"/>
      <c r="H27" s="72"/>
      <c r="I27" s="71" t="s">
        <v>763</v>
      </c>
      <c r="J27" s="67" t="s">
        <v>764</v>
      </c>
      <c r="K27" s="48" t="s">
        <v>765</v>
      </c>
      <c r="L27" s="48" t="s">
        <v>766</v>
      </c>
      <c r="M27" s="19">
        <v>0</v>
      </c>
      <c r="N27" s="19" t="s">
        <v>35</v>
      </c>
      <c r="O27" s="41">
        <f t="shared" si="0"/>
        <v>0</v>
      </c>
      <c r="P27" s="19">
        <v>1</v>
      </c>
      <c r="Q27" s="19">
        <v>0</v>
      </c>
      <c r="R27" s="41">
        <v>0</v>
      </c>
      <c r="S27" s="19">
        <v>1</v>
      </c>
    </row>
    <row r="28" spans="1:19" s="14" customFormat="1" ht="22.8" x14ac:dyDescent="0.25">
      <c r="A28" s="77"/>
      <c r="B28" s="119"/>
      <c r="C28" s="72"/>
      <c r="D28" s="72"/>
      <c r="E28" s="72"/>
      <c r="F28" s="72"/>
      <c r="G28" s="72"/>
      <c r="H28" s="72"/>
      <c r="I28" s="73"/>
      <c r="J28" s="68"/>
      <c r="K28" s="48" t="s">
        <v>767</v>
      </c>
      <c r="L28" s="48" t="s">
        <v>768</v>
      </c>
      <c r="M28" s="19">
        <v>0</v>
      </c>
      <c r="N28" s="19" t="s">
        <v>35</v>
      </c>
      <c r="O28" s="41">
        <f t="shared" si="0"/>
        <v>0</v>
      </c>
      <c r="P28" s="19">
        <v>1</v>
      </c>
      <c r="Q28" s="19">
        <v>0</v>
      </c>
      <c r="R28" s="41">
        <v>0</v>
      </c>
      <c r="S28" s="19">
        <v>1</v>
      </c>
    </row>
    <row r="29" spans="1:19" s="14" customFormat="1" ht="34.200000000000003" x14ac:dyDescent="0.25">
      <c r="A29" s="78"/>
      <c r="B29" s="120"/>
      <c r="C29" s="73"/>
      <c r="D29" s="73"/>
      <c r="E29" s="73"/>
      <c r="F29" s="73"/>
      <c r="G29" s="73"/>
      <c r="H29" s="73"/>
      <c r="I29" s="41" t="s">
        <v>769</v>
      </c>
      <c r="J29" s="48" t="s">
        <v>770</v>
      </c>
      <c r="K29" s="48" t="s">
        <v>771</v>
      </c>
      <c r="L29" s="48" t="s">
        <v>772</v>
      </c>
      <c r="M29" s="41">
        <v>0</v>
      </c>
      <c r="N29" s="19" t="s">
        <v>35</v>
      </c>
      <c r="O29" s="41">
        <f t="shared" si="0"/>
        <v>0</v>
      </c>
      <c r="P29" s="52">
        <v>0.4</v>
      </c>
      <c r="Q29" s="19">
        <v>0</v>
      </c>
      <c r="R29" s="41">
        <v>0</v>
      </c>
      <c r="S29" s="19">
        <v>1</v>
      </c>
    </row>
    <row r="30" spans="1:19" x14ac:dyDescent="0.25">
      <c r="F30" s="1"/>
    </row>
    <row r="31" spans="1:19" x14ac:dyDescent="0.25">
      <c r="F31" s="1"/>
    </row>
    <row r="32" spans="1:19" x14ac:dyDescent="0.25">
      <c r="F32" s="1"/>
    </row>
    <row r="33" spans="6:6" x14ac:dyDescent="0.25">
      <c r="F33" s="1"/>
    </row>
    <row r="34" spans="6:6" x14ac:dyDescent="0.25">
      <c r="F34" s="1"/>
    </row>
    <row r="35" spans="6:6" x14ac:dyDescent="0.25">
      <c r="F35" s="1"/>
    </row>
    <row r="36" spans="6:6" x14ac:dyDescent="0.25">
      <c r="F36" s="1"/>
    </row>
    <row r="37" spans="6:6" x14ac:dyDescent="0.25">
      <c r="F37" s="1"/>
    </row>
    <row r="38" spans="6:6" x14ac:dyDescent="0.25">
      <c r="F38" s="1"/>
    </row>
    <row r="39" spans="6:6" x14ac:dyDescent="0.25">
      <c r="F39" s="1"/>
    </row>
    <row r="40" spans="6:6" x14ac:dyDescent="0.25">
      <c r="F40" s="1"/>
    </row>
    <row r="41" spans="6:6" x14ac:dyDescent="0.25">
      <c r="F41" s="1"/>
    </row>
    <row r="42" spans="6:6" x14ac:dyDescent="0.25">
      <c r="F42" s="1"/>
    </row>
    <row r="43" spans="6:6" x14ac:dyDescent="0.25">
      <c r="F43" s="1"/>
    </row>
    <row r="44" spans="6:6" x14ac:dyDescent="0.25">
      <c r="F44" s="1"/>
    </row>
    <row r="45" spans="6:6" x14ac:dyDescent="0.25">
      <c r="F45" s="1"/>
    </row>
    <row r="46" spans="6:6" x14ac:dyDescent="0.25">
      <c r="F46" s="1"/>
    </row>
    <row r="47" spans="6:6" x14ac:dyDescent="0.25">
      <c r="F47" s="1"/>
    </row>
    <row r="48" spans="6:6" x14ac:dyDescent="0.25">
      <c r="F48" s="1"/>
    </row>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sheetData>
  <mergeCells count="48">
    <mergeCell ref="J10:J11"/>
    <mergeCell ref="I12:I13"/>
    <mergeCell ref="J12:J13"/>
    <mergeCell ref="H17:H22"/>
    <mergeCell ref="F23:F29"/>
    <mergeCell ref="G23:G29"/>
    <mergeCell ref="H23:H29"/>
    <mergeCell ref="I23:I24"/>
    <mergeCell ref="J23:J24"/>
    <mergeCell ref="I27:I28"/>
    <mergeCell ref="J27:J28"/>
    <mergeCell ref="A23:A29"/>
    <mergeCell ref="B23:B29"/>
    <mergeCell ref="C23:C29"/>
    <mergeCell ref="D23:D29"/>
    <mergeCell ref="E23:E29"/>
    <mergeCell ref="S7:S9"/>
    <mergeCell ref="A10:A22"/>
    <mergeCell ref="B10:B22"/>
    <mergeCell ref="C10:C22"/>
    <mergeCell ref="D10:D22"/>
    <mergeCell ref="E10:E22"/>
    <mergeCell ref="F10:F22"/>
    <mergeCell ref="G10:G22"/>
    <mergeCell ref="H10:H16"/>
    <mergeCell ref="H7:H9"/>
    <mergeCell ref="I7:I9"/>
    <mergeCell ref="J7:J9"/>
    <mergeCell ref="K7:K9"/>
    <mergeCell ref="L7:M8"/>
    <mergeCell ref="N7:N9"/>
    <mergeCell ref="I10:I11"/>
    <mergeCell ref="G7:G9"/>
    <mergeCell ref="A1:E2"/>
    <mergeCell ref="F1:S1"/>
    <mergeCell ref="F2:S2"/>
    <mergeCell ref="A3:E3"/>
    <mergeCell ref="F3:S3"/>
    <mergeCell ref="A4:E6"/>
    <mergeCell ref="F4:S4"/>
    <mergeCell ref="F5:S5"/>
    <mergeCell ref="F6:S6"/>
    <mergeCell ref="A7:A9"/>
    <mergeCell ref="B7:B9"/>
    <mergeCell ref="C7:C9"/>
    <mergeCell ref="D7:E8"/>
    <mergeCell ref="F7:F9"/>
    <mergeCell ref="O7:R8"/>
  </mergeCells>
  <printOptions horizontalCentered="1" verticalCentered="1"/>
  <pageMargins left="0.39370078740157483" right="0.39370078740157483" top="1.2204724409448819" bottom="0.78740157480314965" header="0.59055118110236227" footer="0.59055118110236227"/>
  <pageSetup scale="91" fitToHeight="0" orientation="landscape" horizontalDpi="4294967294" verticalDpi="300" r:id="rId1"/>
  <headerFooter alignWithMargins="0">
    <oddHeader>&amp;CPLAN DE DESARROLLO MUNICIPAL 
"Creemos en Angelópolis 2020-2023"
&amp;"Arial Black,Normal"PLAN DE ACCIÓN 2020</oddHeader>
    <oddFooter>&amp;L&amp;F&amp;C                   Municipio de Angelópolis&amp;R&amp;A</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7"/>
  </sheetPr>
  <dimension ref="A1:S683"/>
  <sheetViews>
    <sheetView showGridLines="0" zoomScaleNormal="100" workbookViewId="0">
      <selection activeCell="T10" sqref="T10"/>
    </sheetView>
  </sheetViews>
  <sheetFormatPr baseColWidth="10" defaultColWidth="11.5546875" defaultRowHeight="13.2" zeroHeight="1" x14ac:dyDescent="0.25"/>
  <cols>
    <col min="1" max="1" width="10.33203125" style="36" customWidth="1"/>
    <col min="2" max="2" width="30.109375" style="36" customWidth="1"/>
    <col min="3" max="3" width="16" style="36" customWidth="1"/>
    <col min="4" max="4" width="13.33203125" style="36" customWidth="1"/>
    <col min="5" max="5" width="9" style="36" customWidth="1"/>
    <col min="6" max="6" width="15.109375" style="1" customWidth="1"/>
    <col min="7" max="7" width="20.109375" style="1" customWidth="1"/>
    <col min="8" max="8" width="20.44140625" style="36" customWidth="1"/>
    <col min="9" max="9" width="8.5546875" style="66" bestFit="1" customWidth="1"/>
    <col min="10" max="10" width="28.5546875" style="36" customWidth="1"/>
    <col min="11" max="11" width="24.44140625" style="1" customWidth="1"/>
    <col min="12" max="12" width="13.88671875" style="36" customWidth="1"/>
    <col min="13" max="13" width="8" style="36" customWidth="1"/>
    <col min="14" max="14" width="9.5546875" style="36" customWidth="1"/>
    <col min="15" max="15" width="6.44140625" style="36" customWidth="1"/>
    <col min="16" max="16" width="6.109375" style="36" customWidth="1"/>
    <col min="17" max="17" width="6.44140625" style="36" customWidth="1"/>
    <col min="18" max="18" width="5.5546875" style="36" bestFit="1" customWidth="1"/>
    <col min="19" max="19" width="13.44140625" style="36" customWidth="1"/>
    <col min="20" max="20" width="11.5546875" style="1" customWidth="1"/>
    <col min="21" max="16384" width="11.5546875" style="1"/>
  </cols>
  <sheetData>
    <row r="1" spans="1:19" ht="12" customHeight="1" x14ac:dyDescent="0.25">
      <c r="A1" s="91" t="s">
        <v>0</v>
      </c>
      <c r="B1" s="92"/>
      <c r="C1" s="92"/>
      <c r="D1" s="92"/>
      <c r="E1" s="93"/>
      <c r="F1" s="123" t="s">
        <v>440</v>
      </c>
      <c r="G1" s="124"/>
      <c r="H1" s="124"/>
      <c r="I1" s="124"/>
      <c r="J1" s="124"/>
      <c r="K1" s="124"/>
      <c r="L1" s="124"/>
      <c r="M1" s="124"/>
      <c r="N1" s="124"/>
      <c r="O1" s="124"/>
      <c r="P1" s="124"/>
      <c r="Q1" s="124"/>
      <c r="R1" s="124"/>
      <c r="S1" s="125"/>
    </row>
    <row r="2" spans="1:19" ht="18" customHeight="1" x14ac:dyDescent="0.25">
      <c r="A2" s="94"/>
      <c r="B2" s="95"/>
      <c r="C2" s="95"/>
      <c r="D2" s="95"/>
      <c r="E2" s="96"/>
      <c r="F2" s="126" t="s">
        <v>1</v>
      </c>
      <c r="G2" s="127"/>
      <c r="H2" s="127"/>
      <c r="I2" s="127"/>
      <c r="J2" s="127"/>
      <c r="K2" s="127"/>
      <c r="L2" s="127"/>
      <c r="M2" s="127"/>
      <c r="N2" s="127"/>
      <c r="O2" s="127"/>
      <c r="P2" s="127"/>
      <c r="Q2" s="127"/>
      <c r="R2" s="127"/>
      <c r="S2" s="128"/>
    </row>
    <row r="3" spans="1:19" ht="24" customHeight="1" x14ac:dyDescent="0.25">
      <c r="A3" s="103" t="s">
        <v>2</v>
      </c>
      <c r="B3" s="104"/>
      <c r="C3" s="104"/>
      <c r="D3" s="104"/>
      <c r="E3" s="105"/>
      <c r="F3" s="129" t="s">
        <v>773</v>
      </c>
      <c r="G3" s="130"/>
      <c r="H3" s="130"/>
      <c r="I3" s="130"/>
      <c r="J3" s="130"/>
      <c r="K3" s="130"/>
      <c r="L3" s="130"/>
      <c r="M3" s="130"/>
      <c r="N3" s="130"/>
      <c r="O3" s="130"/>
      <c r="P3" s="130"/>
      <c r="Q3" s="130"/>
      <c r="R3" s="130"/>
      <c r="S3" s="131"/>
    </row>
    <row r="4" spans="1:19" ht="12" customHeight="1" x14ac:dyDescent="0.25">
      <c r="A4" s="91" t="s">
        <v>3</v>
      </c>
      <c r="B4" s="92"/>
      <c r="C4" s="92"/>
      <c r="D4" s="92"/>
      <c r="E4" s="92"/>
      <c r="F4" s="123" t="s">
        <v>774</v>
      </c>
      <c r="G4" s="124"/>
      <c r="H4" s="124"/>
      <c r="I4" s="124"/>
      <c r="J4" s="124"/>
      <c r="K4" s="124"/>
      <c r="L4" s="124"/>
      <c r="M4" s="124"/>
      <c r="N4" s="124"/>
      <c r="O4" s="124"/>
      <c r="P4" s="124"/>
      <c r="Q4" s="124"/>
      <c r="R4" s="124"/>
      <c r="S4" s="125"/>
    </row>
    <row r="5" spans="1:19" ht="18" customHeight="1" x14ac:dyDescent="0.25">
      <c r="A5" s="111"/>
      <c r="B5" s="113"/>
      <c r="C5" s="113"/>
      <c r="D5" s="113"/>
      <c r="E5" s="113"/>
      <c r="F5" s="126" t="s">
        <v>775</v>
      </c>
      <c r="G5" s="127"/>
      <c r="H5" s="127"/>
      <c r="I5" s="127"/>
      <c r="J5" s="127"/>
      <c r="K5" s="127"/>
      <c r="L5" s="127"/>
      <c r="M5" s="127"/>
      <c r="N5" s="127"/>
      <c r="O5" s="127"/>
      <c r="P5" s="127"/>
      <c r="Q5" s="127"/>
      <c r="R5" s="127"/>
      <c r="S5" s="128"/>
    </row>
    <row r="6" spans="1:19" ht="12" customHeight="1" x14ac:dyDescent="0.25">
      <c r="A6" s="88" t="s">
        <v>6</v>
      </c>
      <c r="B6" s="110" t="s">
        <v>7</v>
      </c>
      <c r="C6" s="110" t="s">
        <v>580</v>
      </c>
      <c r="D6" s="88" t="s">
        <v>8</v>
      </c>
      <c r="E6" s="88"/>
      <c r="F6" s="108" t="s">
        <v>9</v>
      </c>
      <c r="G6" s="108" t="s">
        <v>10</v>
      </c>
      <c r="H6" s="108" t="s">
        <v>11</v>
      </c>
      <c r="I6" s="133" t="s">
        <v>12</v>
      </c>
      <c r="J6" s="108" t="s">
        <v>13</v>
      </c>
      <c r="K6" s="108" t="s">
        <v>14</v>
      </c>
      <c r="L6" s="111" t="s">
        <v>15</v>
      </c>
      <c r="M6" s="112"/>
      <c r="N6" s="108" t="s">
        <v>16</v>
      </c>
      <c r="O6" s="111" t="s">
        <v>485</v>
      </c>
      <c r="P6" s="113"/>
      <c r="Q6" s="113"/>
      <c r="R6" s="112"/>
      <c r="S6" s="108" t="s">
        <v>471</v>
      </c>
    </row>
    <row r="7" spans="1:19" ht="11.4" x14ac:dyDescent="0.25">
      <c r="A7" s="88"/>
      <c r="B7" s="108"/>
      <c r="C7" s="108"/>
      <c r="D7" s="88"/>
      <c r="E7" s="88"/>
      <c r="F7" s="108"/>
      <c r="G7" s="108"/>
      <c r="H7" s="108"/>
      <c r="I7" s="134"/>
      <c r="J7" s="108"/>
      <c r="K7" s="108"/>
      <c r="L7" s="94"/>
      <c r="M7" s="96"/>
      <c r="N7" s="108"/>
      <c r="O7" s="94"/>
      <c r="P7" s="95"/>
      <c r="Q7" s="95"/>
      <c r="R7" s="96"/>
      <c r="S7" s="108"/>
    </row>
    <row r="8" spans="1:19" ht="45" customHeight="1" x14ac:dyDescent="0.25">
      <c r="A8" s="88"/>
      <c r="B8" s="109"/>
      <c r="C8" s="109"/>
      <c r="D8" s="41" t="s">
        <v>19</v>
      </c>
      <c r="E8" s="41" t="s">
        <v>893</v>
      </c>
      <c r="F8" s="109"/>
      <c r="G8" s="109"/>
      <c r="H8" s="109"/>
      <c r="I8" s="135"/>
      <c r="J8" s="109"/>
      <c r="K8" s="109"/>
      <c r="L8" s="41" t="s">
        <v>20</v>
      </c>
      <c r="M8" s="41" t="s">
        <v>894</v>
      </c>
      <c r="N8" s="109"/>
      <c r="O8" s="43" t="s">
        <v>21</v>
      </c>
      <c r="P8" s="43" t="s">
        <v>895</v>
      </c>
      <c r="Q8" s="43" t="s">
        <v>896</v>
      </c>
      <c r="R8" s="43" t="s">
        <v>897</v>
      </c>
      <c r="S8" s="109"/>
    </row>
    <row r="9" spans="1:19" s="14" customFormat="1" ht="34.200000000000003" x14ac:dyDescent="0.25">
      <c r="A9" s="76" t="s">
        <v>776</v>
      </c>
      <c r="B9" s="71" t="s">
        <v>777</v>
      </c>
      <c r="C9" s="71" t="s">
        <v>778</v>
      </c>
      <c r="D9" s="71" t="s">
        <v>779</v>
      </c>
      <c r="E9" s="87">
        <v>0</v>
      </c>
      <c r="F9" s="71" t="s">
        <v>780</v>
      </c>
      <c r="G9" s="71" t="s">
        <v>781</v>
      </c>
      <c r="H9" s="89" t="s">
        <v>782</v>
      </c>
      <c r="I9" s="63" t="s">
        <v>783</v>
      </c>
      <c r="J9" s="48" t="s">
        <v>784</v>
      </c>
      <c r="K9" s="11" t="s">
        <v>785</v>
      </c>
      <c r="L9" s="41" t="s">
        <v>209</v>
      </c>
      <c r="M9" s="41">
        <v>0</v>
      </c>
      <c r="N9" s="41" t="s">
        <v>35</v>
      </c>
      <c r="O9" s="41">
        <v>0</v>
      </c>
      <c r="P9" s="41">
        <v>1</v>
      </c>
      <c r="Q9" s="41">
        <v>0</v>
      </c>
      <c r="R9" s="41">
        <f>O9+Q9</f>
        <v>0</v>
      </c>
      <c r="S9" s="12">
        <v>1</v>
      </c>
    </row>
    <row r="10" spans="1:19" s="14" customFormat="1" ht="34.200000000000003" x14ac:dyDescent="0.25">
      <c r="A10" s="77"/>
      <c r="B10" s="72"/>
      <c r="C10" s="72"/>
      <c r="D10" s="72"/>
      <c r="E10" s="72"/>
      <c r="F10" s="72"/>
      <c r="G10" s="72"/>
      <c r="H10" s="90"/>
      <c r="I10" s="63" t="s">
        <v>786</v>
      </c>
      <c r="J10" s="48" t="s">
        <v>787</v>
      </c>
      <c r="K10" s="15" t="s">
        <v>366</v>
      </c>
      <c r="L10" s="41" t="s">
        <v>209</v>
      </c>
      <c r="M10" s="41" t="s">
        <v>34</v>
      </c>
      <c r="N10" s="41" t="s">
        <v>35</v>
      </c>
      <c r="O10" s="41">
        <v>0</v>
      </c>
      <c r="P10" s="41">
        <v>1</v>
      </c>
      <c r="Q10" s="41">
        <v>0</v>
      </c>
      <c r="R10" s="41">
        <f>O10+Q10</f>
        <v>0</v>
      </c>
      <c r="S10" s="12">
        <v>6</v>
      </c>
    </row>
    <row r="11" spans="1:19" s="14" customFormat="1" ht="22.8" x14ac:dyDescent="0.25">
      <c r="A11" s="77"/>
      <c r="B11" s="72"/>
      <c r="C11" s="72"/>
      <c r="D11" s="72"/>
      <c r="E11" s="72"/>
      <c r="F11" s="72"/>
      <c r="G11" s="72"/>
      <c r="H11" s="90"/>
      <c r="I11" s="63" t="s">
        <v>788</v>
      </c>
      <c r="J11" s="48" t="s">
        <v>789</v>
      </c>
      <c r="K11" s="11" t="s">
        <v>790</v>
      </c>
      <c r="L11" s="41" t="s">
        <v>48</v>
      </c>
      <c r="M11" s="16">
        <v>0.2</v>
      </c>
      <c r="N11" s="16" t="s">
        <v>35</v>
      </c>
      <c r="O11" s="16">
        <v>0</v>
      </c>
      <c r="P11" s="16">
        <v>0.5</v>
      </c>
      <c r="Q11" s="16">
        <v>0</v>
      </c>
      <c r="R11" s="16">
        <f>O11+Q11</f>
        <v>0</v>
      </c>
      <c r="S11" s="16">
        <v>0.8</v>
      </c>
    </row>
    <row r="12" spans="1:19" s="14" customFormat="1" ht="22.8" x14ac:dyDescent="0.25">
      <c r="A12" s="77"/>
      <c r="B12" s="72"/>
      <c r="C12" s="72"/>
      <c r="D12" s="72"/>
      <c r="E12" s="72"/>
      <c r="F12" s="72"/>
      <c r="G12" s="72"/>
      <c r="H12" s="90"/>
      <c r="I12" s="63" t="s">
        <v>791</v>
      </c>
      <c r="J12" s="48" t="s">
        <v>792</v>
      </c>
      <c r="K12" s="11" t="s">
        <v>793</v>
      </c>
      <c r="L12" s="41" t="s">
        <v>48</v>
      </c>
      <c r="M12" s="16">
        <v>0.2</v>
      </c>
      <c r="N12" s="16" t="s">
        <v>35</v>
      </c>
      <c r="O12" s="16">
        <v>0</v>
      </c>
      <c r="P12" s="16">
        <v>0.5</v>
      </c>
      <c r="Q12" s="16">
        <v>0</v>
      </c>
      <c r="R12" s="16">
        <f t="shared" ref="R12:R32" si="0">O12+Q12</f>
        <v>0</v>
      </c>
      <c r="S12" s="16">
        <v>0.8</v>
      </c>
    </row>
    <row r="13" spans="1:19" s="14" customFormat="1" ht="34.200000000000003" x14ac:dyDescent="0.25">
      <c r="A13" s="77"/>
      <c r="B13" s="72"/>
      <c r="C13" s="72"/>
      <c r="D13" s="72"/>
      <c r="E13" s="72"/>
      <c r="F13" s="72"/>
      <c r="G13" s="72"/>
      <c r="H13" s="90"/>
      <c r="I13" s="63" t="s">
        <v>794</v>
      </c>
      <c r="J13" s="48" t="s">
        <v>795</v>
      </c>
      <c r="K13" s="15" t="s">
        <v>796</v>
      </c>
      <c r="L13" s="41" t="s">
        <v>48</v>
      </c>
      <c r="M13" s="16">
        <v>0.2</v>
      </c>
      <c r="N13" s="16" t="s">
        <v>35</v>
      </c>
      <c r="O13" s="16">
        <v>0</v>
      </c>
      <c r="P13" s="16">
        <v>0.3</v>
      </c>
      <c r="Q13" s="16">
        <v>0</v>
      </c>
      <c r="R13" s="16">
        <f t="shared" si="0"/>
        <v>0</v>
      </c>
      <c r="S13" s="16">
        <v>0.7</v>
      </c>
    </row>
    <row r="14" spans="1:19" s="14" customFormat="1" ht="22.8" x14ac:dyDescent="0.25">
      <c r="A14" s="77"/>
      <c r="B14" s="72"/>
      <c r="C14" s="72"/>
      <c r="D14" s="72"/>
      <c r="E14" s="72"/>
      <c r="F14" s="72"/>
      <c r="G14" s="72"/>
      <c r="H14" s="122"/>
      <c r="I14" s="63" t="s">
        <v>797</v>
      </c>
      <c r="J14" s="48" t="s">
        <v>798</v>
      </c>
      <c r="K14" s="15" t="s">
        <v>799</v>
      </c>
      <c r="L14" s="41" t="s">
        <v>209</v>
      </c>
      <c r="M14" s="19">
        <v>0</v>
      </c>
      <c r="N14" s="19" t="s">
        <v>40</v>
      </c>
      <c r="O14" s="52">
        <v>0</v>
      </c>
      <c r="P14" s="52">
        <v>0.3</v>
      </c>
      <c r="Q14" s="19">
        <v>0</v>
      </c>
      <c r="R14" s="41">
        <f t="shared" si="0"/>
        <v>0</v>
      </c>
      <c r="S14" s="19">
        <v>1</v>
      </c>
    </row>
    <row r="15" spans="1:19" s="14" customFormat="1" ht="34.200000000000003" x14ac:dyDescent="0.25">
      <c r="A15" s="77"/>
      <c r="B15" s="72"/>
      <c r="C15" s="72"/>
      <c r="D15" s="72"/>
      <c r="E15" s="72"/>
      <c r="F15" s="72"/>
      <c r="G15" s="72"/>
      <c r="H15" s="41" t="s">
        <v>800</v>
      </c>
      <c r="I15" s="63" t="s">
        <v>801</v>
      </c>
      <c r="J15" s="48" t="s">
        <v>802</v>
      </c>
      <c r="K15" s="41" t="s">
        <v>803</v>
      </c>
      <c r="L15" s="41" t="s">
        <v>209</v>
      </c>
      <c r="M15" s="41" t="s">
        <v>34</v>
      </c>
      <c r="N15" s="41" t="s">
        <v>35</v>
      </c>
      <c r="O15" s="41">
        <v>0</v>
      </c>
      <c r="P15" s="41">
        <v>1</v>
      </c>
      <c r="Q15" s="41">
        <v>0</v>
      </c>
      <c r="R15" s="41">
        <f t="shared" si="0"/>
        <v>0</v>
      </c>
      <c r="S15" s="12">
        <v>6</v>
      </c>
    </row>
    <row r="16" spans="1:19" s="14" customFormat="1" ht="22.8" x14ac:dyDescent="0.25">
      <c r="A16" s="77"/>
      <c r="B16" s="72"/>
      <c r="C16" s="73"/>
      <c r="D16" s="73"/>
      <c r="E16" s="73"/>
      <c r="F16" s="72"/>
      <c r="G16" s="72"/>
      <c r="H16" s="71" t="s">
        <v>804</v>
      </c>
      <c r="I16" s="64" t="s">
        <v>805</v>
      </c>
      <c r="J16" s="48" t="s">
        <v>806</v>
      </c>
      <c r="K16" s="41" t="s">
        <v>807</v>
      </c>
      <c r="L16" s="41" t="s">
        <v>48</v>
      </c>
      <c r="M16" s="41" t="s">
        <v>34</v>
      </c>
      <c r="N16" s="16" t="s">
        <v>35</v>
      </c>
      <c r="O16" s="16">
        <v>0</v>
      </c>
      <c r="P16" s="16">
        <v>0.2</v>
      </c>
      <c r="Q16" s="16">
        <v>0</v>
      </c>
      <c r="R16" s="16">
        <f t="shared" si="0"/>
        <v>0</v>
      </c>
      <c r="S16" s="16">
        <v>0.8</v>
      </c>
    </row>
    <row r="17" spans="1:19" s="14" customFormat="1" ht="22.8" x14ac:dyDescent="0.25">
      <c r="A17" s="77"/>
      <c r="B17" s="72"/>
      <c r="C17" s="71" t="s">
        <v>808</v>
      </c>
      <c r="D17" s="71" t="s">
        <v>809</v>
      </c>
      <c r="E17" s="71" t="s">
        <v>34</v>
      </c>
      <c r="F17" s="73"/>
      <c r="G17" s="73"/>
      <c r="H17" s="73"/>
      <c r="I17" s="64" t="s">
        <v>810</v>
      </c>
      <c r="J17" s="48" t="s">
        <v>811</v>
      </c>
      <c r="K17" s="41" t="s">
        <v>812</v>
      </c>
      <c r="L17" s="41" t="s">
        <v>48</v>
      </c>
      <c r="M17" s="41" t="s">
        <v>34</v>
      </c>
      <c r="N17" s="16" t="s">
        <v>35</v>
      </c>
      <c r="O17" s="16">
        <v>0</v>
      </c>
      <c r="P17" s="16">
        <v>0.2</v>
      </c>
      <c r="Q17" s="16">
        <v>0</v>
      </c>
      <c r="R17" s="16">
        <f t="shared" si="0"/>
        <v>0</v>
      </c>
      <c r="S17" s="16">
        <v>0.9</v>
      </c>
    </row>
    <row r="18" spans="1:19" s="14" customFormat="1" ht="34.200000000000003" x14ac:dyDescent="0.25">
      <c r="A18" s="77"/>
      <c r="B18" s="72"/>
      <c r="C18" s="72"/>
      <c r="D18" s="72"/>
      <c r="E18" s="72"/>
      <c r="F18" s="71" t="s">
        <v>813</v>
      </c>
      <c r="G18" s="71" t="s">
        <v>814</v>
      </c>
      <c r="H18" s="71" t="s">
        <v>815</v>
      </c>
      <c r="I18" s="65" t="s">
        <v>816</v>
      </c>
      <c r="J18" s="48" t="s">
        <v>817</v>
      </c>
      <c r="K18" s="48" t="s">
        <v>818</v>
      </c>
      <c r="L18" s="41" t="s">
        <v>819</v>
      </c>
      <c r="M18" s="41" t="s">
        <v>34</v>
      </c>
      <c r="N18" s="41" t="s">
        <v>35</v>
      </c>
      <c r="O18" s="16">
        <v>0</v>
      </c>
      <c r="P18" s="16">
        <v>0.05</v>
      </c>
      <c r="Q18" s="16">
        <v>0</v>
      </c>
      <c r="R18" s="16">
        <f t="shared" si="0"/>
        <v>0</v>
      </c>
      <c r="S18" s="16">
        <v>0.6</v>
      </c>
    </row>
    <row r="19" spans="1:19" s="14" customFormat="1" ht="34.200000000000003" x14ac:dyDescent="0.25">
      <c r="A19" s="77"/>
      <c r="B19" s="72"/>
      <c r="C19" s="72"/>
      <c r="D19" s="72"/>
      <c r="E19" s="72"/>
      <c r="F19" s="72"/>
      <c r="G19" s="72"/>
      <c r="H19" s="72"/>
      <c r="I19" s="65" t="s">
        <v>820</v>
      </c>
      <c r="J19" s="48" t="s">
        <v>821</v>
      </c>
      <c r="K19" s="48" t="s">
        <v>822</v>
      </c>
      <c r="L19" s="41" t="s">
        <v>823</v>
      </c>
      <c r="M19" s="41" t="s">
        <v>34</v>
      </c>
      <c r="N19" s="41" t="s">
        <v>35</v>
      </c>
      <c r="O19" s="41">
        <v>0</v>
      </c>
      <c r="P19" s="41">
        <v>0</v>
      </c>
      <c r="Q19" s="41">
        <v>0</v>
      </c>
      <c r="R19" s="41">
        <f t="shared" si="0"/>
        <v>0</v>
      </c>
      <c r="S19" s="19">
        <v>1</v>
      </c>
    </row>
    <row r="20" spans="1:19" s="14" customFormat="1" ht="34.200000000000003" x14ac:dyDescent="0.25">
      <c r="A20" s="77"/>
      <c r="B20" s="72"/>
      <c r="C20" s="72"/>
      <c r="D20" s="72"/>
      <c r="E20" s="72"/>
      <c r="F20" s="72"/>
      <c r="G20" s="72"/>
      <c r="H20" s="72"/>
      <c r="I20" s="65" t="s">
        <v>824</v>
      </c>
      <c r="J20" s="48" t="s">
        <v>825</v>
      </c>
      <c r="K20" s="48" t="s">
        <v>825</v>
      </c>
      <c r="L20" s="41" t="s">
        <v>826</v>
      </c>
      <c r="M20" s="41">
        <v>0</v>
      </c>
      <c r="N20" s="19" t="s">
        <v>35</v>
      </c>
      <c r="O20" s="19">
        <v>0</v>
      </c>
      <c r="P20" s="19">
        <v>0</v>
      </c>
      <c r="Q20" s="19">
        <v>0</v>
      </c>
      <c r="R20" s="41">
        <f t="shared" si="0"/>
        <v>0</v>
      </c>
      <c r="S20" s="19">
        <v>1</v>
      </c>
    </row>
    <row r="21" spans="1:19" s="14" customFormat="1" ht="34.200000000000003" x14ac:dyDescent="0.25">
      <c r="A21" s="77"/>
      <c r="B21" s="72"/>
      <c r="C21" s="72"/>
      <c r="D21" s="72"/>
      <c r="E21" s="72"/>
      <c r="F21" s="72"/>
      <c r="G21" s="72"/>
      <c r="H21" s="72"/>
      <c r="I21" s="65" t="s">
        <v>827</v>
      </c>
      <c r="J21" s="48" t="s">
        <v>828</v>
      </c>
      <c r="K21" s="48" t="s">
        <v>829</v>
      </c>
      <c r="L21" s="41" t="s">
        <v>830</v>
      </c>
      <c r="M21" s="41">
        <v>0</v>
      </c>
      <c r="N21" s="41" t="s">
        <v>35</v>
      </c>
      <c r="O21" s="19">
        <v>0</v>
      </c>
      <c r="P21" s="19">
        <v>0</v>
      </c>
      <c r="Q21" s="19">
        <v>0</v>
      </c>
      <c r="R21" s="41">
        <f t="shared" si="0"/>
        <v>0</v>
      </c>
      <c r="S21" s="19">
        <v>1</v>
      </c>
    </row>
    <row r="22" spans="1:19" s="14" customFormat="1" ht="45.6" x14ac:dyDescent="0.25">
      <c r="A22" s="77"/>
      <c r="B22" s="72"/>
      <c r="C22" s="72"/>
      <c r="D22" s="72"/>
      <c r="E22" s="72"/>
      <c r="F22" s="72"/>
      <c r="G22" s="72"/>
      <c r="H22" s="72"/>
      <c r="I22" s="65" t="s">
        <v>831</v>
      </c>
      <c r="J22" s="48" t="s">
        <v>832</v>
      </c>
      <c r="K22" s="48" t="s">
        <v>832</v>
      </c>
      <c r="L22" s="41" t="s">
        <v>833</v>
      </c>
      <c r="M22" s="41" t="s">
        <v>34</v>
      </c>
      <c r="N22" s="16" t="s">
        <v>35</v>
      </c>
      <c r="O22" s="16">
        <v>0</v>
      </c>
      <c r="P22" s="16">
        <v>0.25</v>
      </c>
      <c r="Q22" s="16">
        <v>0</v>
      </c>
      <c r="R22" s="16">
        <f t="shared" si="0"/>
        <v>0</v>
      </c>
      <c r="S22" s="16">
        <v>1</v>
      </c>
    </row>
    <row r="23" spans="1:19" s="14" customFormat="1" ht="34.200000000000003" x14ac:dyDescent="0.25">
      <c r="A23" s="78"/>
      <c r="B23" s="73"/>
      <c r="C23" s="73"/>
      <c r="D23" s="73"/>
      <c r="E23" s="73"/>
      <c r="F23" s="73"/>
      <c r="G23" s="73"/>
      <c r="H23" s="73"/>
      <c r="I23" s="65" t="s">
        <v>834</v>
      </c>
      <c r="J23" s="33" t="s">
        <v>835</v>
      </c>
      <c r="K23" s="48" t="s">
        <v>836</v>
      </c>
      <c r="L23" s="41" t="s">
        <v>837</v>
      </c>
      <c r="M23" s="16">
        <v>0</v>
      </c>
      <c r="N23" s="16" t="s">
        <v>35</v>
      </c>
      <c r="O23" s="16">
        <v>0</v>
      </c>
      <c r="P23" s="16">
        <v>0.25</v>
      </c>
      <c r="Q23" s="16">
        <v>0</v>
      </c>
      <c r="R23" s="16">
        <f t="shared" si="0"/>
        <v>0</v>
      </c>
      <c r="S23" s="16">
        <v>1</v>
      </c>
    </row>
    <row r="24" spans="1:19" s="14" customFormat="1" ht="45.6" x14ac:dyDescent="0.25">
      <c r="A24" s="76" t="s">
        <v>838</v>
      </c>
      <c r="B24" s="71" t="s">
        <v>839</v>
      </c>
      <c r="C24" s="71" t="s">
        <v>840</v>
      </c>
      <c r="D24" s="71" t="s">
        <v>841</v>
      </c>
      <c r="E24" s="71" t="s">
        <v>34</v>
      </c>
      <c r="F24" s="71" t="s">
        <v>842</v>
      </c>
      <c r="G24" s="71" t="s">
        <v>843</v>
      </c>
      <c r="H24" s="71" t="s">
        <v>842</v>
      </c>
      <c r="I24" s="65" t="s">
        <v>844</v>
      </c>
      <c r="J24" s="48" t="s">
        <v>845</v>
      </c>
      <c r="K24" s="41" t="s">
        <v>846</v>
      </c>
      <c r="L24" s="41" t="s">
        <v>209</v>
      </c>
      <c r="M24" s="41" t="s">
        <v>34</v>
      </c>
      <c r="N24" s="41" t="s">
        <v>35</v>
      </c>
      <c r="O24" s="19">
        <v>0</v>
      </c>
      <c r="P24" s="19">
        <v>1</v>
      </c>
      <c r="Q24" s="19">
        <v>0</v>
      </c>
      <c r="R24" s="41">
        <f t="shared" si="0"/>
        <v>0</v>
      </c>
      <c r="S24" s="19">
        <v>4</v>
      </c>
    </row>
    <row r="25" spans="1:19" s="14" customFormat="1" ht="22.8" x14ac:dyDescent="0.25">
      <c r="A25" s="77"/>
      <c r="B25" s="72"/>
      <c r="C25" s="72"/>
      <c r="D25" s="72"/>
      <c r="E25" s="72"/>
      <c r="F25" s="72"/>
      <c r="G25" s="72"/>
      <c r="H25" s="72"/>
      <c r="I25" s="65" t="s">
        <v>847</v>
      </c>
      <c r="J25" s="48" t="s">
        <v>848</v>
      </c>
      <c r="K25" s="41" t="s">
        <v>846</v>
      </c>
      <c r="L25" s="41" t="s">
        <v>209</v>
      </c>
      <c r="M25" s="41">
        <v>0</v>
      </c>
      <c r="N25" s="19" t="s">
        <v>35</v>
      </c>
      <c r="O25" s="19">
        <v>0</v>
      </c>
      <c r="P25" s="19">
        <v>1</v>
      </c>
      <c r="Q25" s="19">
        <v>0</v>
      </c>
      <c r="R25" s="41">
        <f t="shared" si="0"/>
        <v>0</v>
      </c>
      <c r="S25" s="19">
        <v>4</v>
      </c>
    </row>
    <row r="26" spans="1:19" s="14" customFormat="1" ht="34.200000000000003" x14ac:dyDescent="0.25">
      <c r="A26" s="77"/>
      <c r="B26" s="72"/>
      <c r="C26" s="72"/>
      <c r="D26" s="72"/>
      <c r="E26" s="72"/>
      <c r="F26" s="72"/>
      <c r="G26" s="72"/>
      <c r="H26" s="72"/>
      <c r="I26" s="65" t="s">
        <v>849</v>
      </c>
      <c r="J26" s="48" t="s">
        <v>850</v>
      </c>
      <c r="K26" s="41" t="s">
        <v>851</v>
      </c>
      <c r="L26" s="41" t="s">
        <v>209</v>
      </c>
      <c r="M26" s="41" t="s">
        <v>34</v>
      </c>
      <c r="N26" s="19" t="s">
        <v>40</v>
      </c>
      <c r="O26" s="19">
        <v>0</v>
      </c>
      <c r="P26" s="19">
        <v>1</v>
      </c>
      <c r="Q26" s="19">
        <v>0</v>
      </c>
      <c r="R26" s="41">
        <f t="shared" si="0"/>
        <v>0</v>
      </c>
      <c r="S26" s="19">
        <v>1</v>
      </c>
    </row>
    <row r="27" spans="1:19" s="14" customFormat="1" ht="22.8" x14ac:dyDescent="0.25">
      <c r="A27" s="77"/>
      <c r="B27" s="72"/>
      <c r="C27" s="73"/>
      <c r="D27" s="73"/>
      <c r="E27" s="73"/>
      <c r="F27" s="72"/>
      <c r="G27" s="72"/>
      <c r="H27" s="72"/>
      <c r="I27" s="65" t="s">
        <v>852</v>
      </c>
      <c r="J27" s="48" t="s">
        <v>853</v>
      </c>
      <c r="K27" s="41" t="s">
        <v>854</v>
      </c>
      <c r="L27" s="41" t="s">
        <v>209</v>
      </c>
      <c r="M27" s="41">
        <v>1</v>
      </c>
      <c r="N27" s="41" t="s">
        <v>40</v>
      </c>
      <c r="O27" s="19">
        <v>0</v>
      </c>
      <c r="P27" s="19">
        <v>1</v>
      </c>
      <c r="Q27" s="19">
        <v>0</v>
      </c>
      <c r="R27" s="41">
        <f t="shared" si="0"/>
        <v>0</v>
      </c>
      <c r="S27" s="12">
        <v>1</v>
      </c>
    </row>
    <row r="28" spans="1:19" s="14" customFormat="1" ht="34.200000000000003" x14ac:dyDescent="0.25">
      <c r="A28" s="77"/>
      <c r="B28" s="72"/>
      <c r="C28" s="71" t="s">
        <v>855</v>
      </c>
      <c r="D28" s="71" t="s">
        <v>856</v>
      </c>
      <c r="E28" s="71" t="s">
        <v>34</v>
      </c>
      <c r="F28" s="72"/>
      <c r="G28" s="72"/>
      <c r="H28" s="72"/>
      <c r="I28" s="65" t="s">
        <v>857</v>
      </c>
      <c r="J28" s="48" t="s">
        <v>858</v>
      </c>
      <c r="K28" s="48" t="s">
        <v>859</v>
      </c>
      <c r="L28" s="41" t="s">
        <v>209</v>
      </c>
      <c r="M28" s="41">
        <v>0</v>
      </c>
      <c r="N28" s="41" t="s">
        <v>35</v>
      </c>
      <c r="O28" s="19">
        <v>0</v>
      </c>
      <c r="P28" s="19">
        <v>1</v>
      </c>
      <c r="Q28" s="19">
        <v>0</v>
      </c>
      <c r="R28" s="41">
        <f t="shared" si="0"/>
        <v>0</v>
      </c>
      <c r="S28" s="19">
        <v>4</v>
      </c>
    </row>
    <row r="29" spans="1:19" s="14" customFormat="1" ht="45.6" x14ac:dyDescent="0.25">
      <c r="A29" s="77"/>
      <c r="B29" s="72"/>
      <c r="C29" s="72"/>
      <c r="D29" s="72"/>
      <c r="E29" s="72"/>
      <c r="F29" s="72"/>
      <c r="G29" s="72"/>
      <c r="H29" s="72"/>
      <c r="I29" s="65" t="s">
        <v>860</v>
      </c>
      <c r="J29" s="48" t="s">
        <v>861</v>
      </c>
      <c r="K29" s="48" t="s">
        <v>439</v>
      </c>
      <c r="L29" s="41" t="s">
        <v>209</v>
      </c>
      <c r="M29" s="19">
        <v>0</v>
      </c>
      <c r="N29" s="19" t="s">
        <v>35</v>
      </c>
      <c r="O29" s="19">
        <v>0</v>
      </c>
      <c r="P29" s="19">
        <v>1</v>
      </c>
      <c r="Q29" s="19">
        <v>0</v>
      </c>
      <c r="R29" s="41">
        <f t="shared" si="0"/>
        <v>0</v>
      </c>
      <c r="S29" s="19">
        <v>4</v>
      </c>
    </row>
    <row r="30" spans="1:19" s="14" customFormat="1" ht="45.6" x14ac:dyDescent="0.25">
      <c r="A30" s="77"/>
      <c r="B30" s="72"/>
      <c r="C30" s="72"/>
      <c r="D30" s="72"/>
      <c r="E30" s="72"/>
      <c r="F30" s="72"/>
      <c r="G30" s="72"/>
      <c r="H30" s="72"/>
      <c r="I30" s="65" t="s">
        <v>862</v>
      </c>
      <c r="J30" s="48" t="s">
        <v>863</v>
      </c>
      <c r="K30" s="15" t="s">
        <v>864</v>
      </c>
      <c r="L30" s="41" t="s">
        <v>48</v>
      </c>
      <c r="M30" s="41" t="s">
        <v>34</v>
      </c>
      <c r="N30" s="16" t="s">
        <v>35</v>
      </c>
      <c r="O30" s="16">
        <v>0</v>
      </c>
      <c r="P30" s="16">
        <v>0.25</v>
      </c>
      <c r="Q30" s="16">
        <v>0</v>
      </c>
      <c r="R30" s="16">
        <f t="shared" si="0"/>
        <v>0</v>
      </c>
      <c r="S30" s="16">
        <v>1</v>
      </c>
    </row>
    <row r="31" spans="1:19" s="14" customFormat="1" ht="45.6" x14ac:dyDescent="0.25">
      <c r="A31" s="77"/>
      <c r="B31" s="72"/>
      <c r="C31" s="72"/>
      <c r="D31" s="72"/>
      <c r="E31" s="72"/>
      <c r="F31" s="72"/>
      <c r="G31" s="72"/>
      <c r="H31" s="72"/>
      <c r="I31" s="65" t="s">
        <v>865</v>
      </c>
      <c r="J31" s="48" t="s">
        <v>866</v>
      </c>
      <c r="K31" s="15" t="s">
        <v>555</v>
      </c>
      <c r="L31" s="41" t="s">
        <v>209</v>
      </c>
      <c r="M31" s="41" t="s">
        <v>34</v>
      </c>
      <c r="N31" s="41" t="s">
        <v>35</v>
      </c>
      <c r="O31" s="19">
        <v>0</v>
      </c>
      <c r="P31" s="19">
        <v>0</v>
      </c>
      <c r="Q31" s="19">
        <v>0</v>
      </c>
      <c r="R31" s="41">
        <f t="shared" si="0"/>
        <v>0</v>
      </c>
      <c r="S31" s="19">
        <v>3</v>
      </c>
    </row>
    <row r="32" spans="1:19" s="14" customFormat="1" ht="34.200000000000003" x14ac:dyDescent="0.25">
      <c r="A32" s="78"/>
      <c r="B32" s="73"/>
      <c r="C32" s="73"/>
      <c r="D32" s="73"/>
      <c r="E32" s="73"/>
      <c r="F32" s="73"/>
      <c r="G32" s="73"/>
      <c r="H32" s="73"/>
      <c r="I32" s="65" t="s">
        <v>867</v>
      </c>
      <c r="J32" s="48" t="s">
        <v>868</v>
      </c>
      <c r="K32" s="15" t="s">
        <v>869</v>
      </c>
      <c r="L32" s="41" t="s">
        <v>209</v>
      </c>
      <c r="M32" s="19" t="s">
        <v>34</v>
      </c>
      <c r="N32" s="19" t="s">
        <v>35</v>
      </c>
      <c r="O32" s="19">
        <v>0</v>
      </c>
      <c r="P32" s="19">
        <v>1</v>
      </c>
      <c r="Q32" s="19">
        <v>0</v>
      </c>
      <c r="R32" s="41">
        <f t="shared" si="0"/>
        <v>0</v>
      </c>
      <c r="S32" s="19">
        <v>4</v>
      </c>
    </row>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sheetData>
  <mergeCells count="48">
    <mergeCell ref="F18:F23"/>
    <mergeCell ref="G18:G23"/>
    <mergeCell ref="H18:H23"/>
    <mergeCell ref="A24:A32"/>
    <mergeCell ref="B24:B32"/>
    <mergeCell ref="C24:C27"/>
    <mergeCell ref="D24:D27"/>
    <mergeCell ref="E24:E27"/>
    <mergeCell ref="G24:G32"/>
    <mergeCell ref="H24:H32"/>
    <mergeCell ref="C28:C32"/>
    <mergeCell ref="D28:D32"/>
    <mergeCell ref="E28:E32"/>
    <mergeCell ref="F24:F32"/>
    <mergeCell ref="A9:A23"/>
    <mergeCell ref="B9:B23"/>
    <mergeCell ref="F9:F17"/>
    <mergeCell ref="G9:G17"/>
    <mergeCell ref="H9:H14"/>
    <mergeCell ref="H6:H8"/>
    <mergeCell ref="I6:I8"/>
    <mergeCell ref="G6:G8"/>
    <mergeCell ref="H16:H17"/>
    <mergeCell ref="C9:C16"/>
    <mergeCell ref="D9:D16"/>
    <mergeCell ref="E9:E16"/>
    <mergeCell ref="C17:C23"/>
    <mergeCell ref="D17:D23"/>
    <mergeCell ref="E17:E23"/>
    <mergeCell ref="A1:E2"/>
    <mergeCell ref="F1:S1"/>
    <mergeCell ref="F2:S2"/>
    <mergeCell ref="A3:E3"/>
    <mergeCell ref="F3:S3"/>
    <mergeCell ref="A4:E5"/>
    <mergeCell ref="F4:S4"/>
    <mergeCell ref="F5:S5"/>
    <mergeCell ref="A6:A8"/>
    <mergeCell ref="B6:B8"/>
    <mergeCell ref="C6:C8"/>
    <mergeCell ref="D6:E7"/>
    <mergeCell ref="F6:F8"/>
    <mergeCell ref="O6:R7"/>
    <mergeCell ref="S6:S8"/>
    <mergeCell ref="J6:J8"/>
    <mergeCell ref="K6:K8"/>
    <mergeCell ref="L6:M7"/>
    <mergeCell ref="N6:N8"/>
  </mergeCells>
  <printOptions horizontalCentered="1" verticalCentered="1"/>
  <pageMargins left="0.39370078740157483" right="0.39370078740157483" top="1.0236220472440944" bottom="0.78740157480314965" header="0.59055118110236227" footer="0.59055118110236227"/>
  <pageSetup paperSize="5" scale="60" orientation="landscape" horizontalDpi="4294967294" verticalDpi="300" r:id="rId1"/>
  <headerFooter alignWithMargins="0">
    <oddHeader>&amp;CPLAN DE DESARROLLO MUNICIPAL 
"Creemos en Angelópolis 2020-2023"
&amp;"Arial,Negrita"&amp;14PLAN DE ACCIÓN 2020 - DESARROLLO INSTITUCIONAL</oddHeader>
    <oddFooter>&amp;L&amp;A&amp;CMunicipio de Angelópolis&amp;R&amp;P de &amp;N</oddFooter>
  </headerFooter>
  <rowBreaks count="1" manualBreakCount="1">
    <brk id="23" max="16383" man="1"/>
  </rowBreaks>
  <colBreaks count="1" manualBreakCount="1">
    <brk id="19" max="1048575" man="1"/>
  </col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PlanAcciónSocial2022</vt:lpstr>
      <vt:lpstr>PlanAcciónEconómico 2022</vt:lpstr>
      <vt:lpstr>plan de accion territorial 2022</vt:lpstr>
      <vt:lpstr>PlanAccion Ambiental 2022</vt:lpstr>
      <vt:lpstr>Plan Acción Institucional 2022</vt:lpstr>
      <vt:lpstr>'PlanAccion Ambiental 2022'!Área_de_impresión</vt:lpstr>
      <vt:lpstr>'Plan Acción Institucional 2022'!Títulos_a_imprimir</vt:lpstr>
      <vt:lpstr>'plan de accion territorial 2022'!Títulos_a_imprimir</vt:lpstr>
      <vt:lpstr>'PlanAccion Ambiental 2022'!Títulos_a_imprimir</vt:lpstr>
      <vt:lpstr>'PlanAcciónEconómico 2022'!Títulos_a_imprimir</vt:lpstr>
      <vt:lpstr>PlanAcciónSocial2022!Títulos_a_imprimir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Robinson Andrés Román Santamaría</dc:creator>
  <cp:lastModifiedBy>VALENTINA FRANCO</cp:lastModifiedBy>
  <cp:lastPrinted>2020-01-31T18:38:06Z</cp:lastPrinted>
  <dcterms:created xsi:type="dcterms:W3CDTF">2020-01-31T17:13:46Z</dcterms:created>
  <dcterms:modified xsi:type="dcterms:W3CDTF">2022-01-31T14:33:00Z</dcterms:modified>
</cp:coreProperties>
</file>