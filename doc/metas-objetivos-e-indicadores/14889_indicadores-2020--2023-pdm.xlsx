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LENTINA\Desktop\"/>
    </mc:Choice>
  </mc:AlternateContent>
  <bookViews>
    <workbookView xWindow="0" yWindow="0" windowWidth="20490" windowHeight="5850"/>
  </bookViews>
  <sheets>
    <sheet name="PlanPlurianual de inversiones" sheetId="1" r:id="rId1"/>
  </sheets>
  <externalReferences>
    <externalReference r:id="rId2"/>
  </externalReferences>
  <definedNames>
    <definedName name="_xlnm._FilterDatabase" localSheetId="0" hidden="1">'PlanPlurianual de inversiones'!$A$1:$Y$269</definedName>
    <definedName name="_ftn1" localSheetId="0">'PlanPlurianual de inversiones'!#REF!</definedName>
    <definedName name="_ftnref1" localSheetId="0">'PlanPlurianual de inversiones'!#REF!</definedName>
    <definedName name="Programa">PlanIndicativo[Programa]</definedName>
    <definedName name="Sector_PDM">PlanIndicativo[Sector PDM]</definedName>
    <definedName name="_xlnm.Print_Titles" localSheetId="0">'PlanPlurianual de inversiones'!$1:$1</definedName>
    <definedName name="ValorMetaR_Cuatrieni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270" i="1" l="1"/>
  <c r="BQ270" i="1"/>
  <c r="BP270" i="1"/>
  <c r="BG270" i="1"/>
  <c r="BE270" i="1"/>
  <c r="BD270" i="1"/>
  <c r="AU270" i="1"/>
  <c r="AS270" i="1"/>
  <c r="AR270" i="1"/>
  <c r="AI270" i="1"/>
  <c r="AG270" i="1"/>
  <c r="AF270" i="1"/>
  <c r="BU269" i="1"/>
  <c r="BI269" i="1"/>
  <c r="AW269" i="1"/>
  <c r="AK269" i="1"/>
  <c r="BV269" i="1" s="1"/>
  <c r="BO268" i="1"/>
  <c r="BJ268" i="1"/>
  <c r="BU268" i="1" s="1"/>
  <c r="BI268" i="1"/>
  <c r="BC268" i="1"/>
  <c r="AX268" i="1"/>
  <c r="AW268" i="1"/>
  <c r="BV268" i="1" s="1"/>
  <c r="AQ268" i="1"/>
  <c r="AL268" i="1"/>
  <c r="AK268" i="1"/>
  <c r="BU267" i="1"/>
  <c r="BO267" i="1"/>
  <c r="BJ267" i="1"/>
  <c r="BI267" i="1"/>
  <c r="BC267" i="1"/>
  <c r="AX267" i="1"/>
  <c r="AQ267" i="1"/>
  <c r="AL267" i="1"/>
  <c r="AW267" i="1" s="1"/>
  <c r="AE267" i="1"/>
  <c r="Z267" i="1"/>
  <c r="AK267" i="1" s="1"/>
  <c r="BV267" i="1" s="1"/>
  <c r="BO266" i="1"/>
  <c r="BJ266" i="1"/>
  <c r="BU266" i="1" s="1"/>
  <c r="BI266" i="1"/>
  <c r="BC266" i="1"/>
  <c r="AX266" i="1"/>
  <c r="AW266" i="1"/>
  <c r="AK266" i="1"/>
  <c r="BO265" i="1"/>
  <c r="BJ265" i="1"/>
  <c r="BC265" i="1"/>
  <c r="AX265" i="1"/>
  <c r="BI265" i="1" s="1"/>
  <c r="AW265" i="1"/>
  <c r="AQ265" i="1"/>
  <c r="AL265" i="1"/>
  <c r="AK265" i="1"/>
  <c r="AE265" i="1"/>
  <c r="Z265" i="1"/>
  <c r="BU264" i="1"/>
  <c r="BO264" i="1"/>
  <c r="BJ264" i="1"/>
  <c r="BC264" i="1"/>
  <c r="AX264" i="1"/>
  <c r="BI264" i="1" s="1"/>
  <c r="AQ264" i="1"/>
  <c r="AL264" i="1"/>
  <c r="AW264" i="1" s="1"/>
  <c r="AK264" i="1"/>
  <c r="AE264" i="1"/>
  <c r="Z264" i="1"/>
  <c r="BU263" i="1"/>
  <c r="BO263" i="1"/>
  <c r="BJ263" i="1"/>
  <c r="BI263" i="1"/>
  <c r="BC263" i="1"/>
  <c r="AX263" i="1"/>
  <c r="AQ263" i="1"/>
  <c r="AL263" i="1"/>
  <c r="AW263" i="1" s="1"/>
  <c r="BV263" i="1" s="1"/>
  <c r="AK263" i="1"/>
  <c r="BU262" i="1"/>
  <c r="BO262" i="1"/>
  <c r="BJ262" i="1"/>
  <c r="BC262" i="1"/>
  <c r="AX262" i="1"/>
  <c r="BI262" i="1" s="1"/>
  <c r="AQ262" i="1"/>
  <c r="AL262" i="1"/>
  <c r="AW262" i="1" s="1"/>
  <c r="AK262" i="1"/>
  <c r="AE262" i="1"/>
  <c r="Z262" i="1"/>
  <c r="BU261" i="1"/>
  <c r="BO261" i="1"/>
  <c r="BJ261" i="1"/>
  <c r="BI261" i="1"/>
  <c r="BC261" i="1"/>
  <c r="AX261" i="1"/>
  <c r="AQ261" i="1"/>
  <c r="AL261" i="1"/>
  <c r="AW261" i="1" s="1"/>
  <c r="BV261" i="1" s="1"/>
  <c r="AE261" i="1"/>
  <c r="Z261" i="1"/>
  <c r="AK261" i="1" s="1"/>
  <c r="BO260" i="1"/>
  <c r="BJ260" i="1"/>
  <c r="BU260" i="1" s="1"/>
  <c r="BI260" i="1"/>
  <c r="BC260" i="1"/>
  <c r="AX260" i="1"/>
  <c r="AW260" i="1"/>
  <c r="AQ260" i="1"/>
  <c r="AL260" i="1"/>
  <c r="AE260" i="1"/>
  <c r="Z260" i="1"/>
  <c r="AK260" i="1" s="1"/>
  <c r="BV260" i="1" s="1"/>
  <c r="BO259" i="1"/>
  <c r="BJ259" i="1"/>
  <c r="BU259" i="1" s="1"/>
  <c r="BC259" i="1"/>
  <c r="AX259" i="1"/>
  <c r="BI259" i="1" s="1"/>
  <c r="AW259" i="1"/>
  <c r="AQ259" i="1"/>
  <c r="AL259" i="1"/>
  <c r="AK259" i="1"/>
  <c r="BV259" i="1" s="1"/>
  <c r="AE259" i="1"/>
  <c r="Z259" i="1"/>
  <c r="BU258" i="1"/>
  <c r="BO258" i="1"/>
  <c r="BJ258" i="1"/>
  <c r="BC258" i="1"/>
  <c r="AX258" i="1"/>
  <c r="AQ258" i="1"/>
  <c r="AL258" i="1"/>
  <c r="AW258" i="1" s="1"/>
  <c r="AK258" i="1"/>
  <c r="AE258" i="1"/>
  <c r="Z258" i="1"/>
  <c r="BU257" i="1"/>
  <c r="BO257" i="1"/>
  <c r="BC257" i="1"/>
  <c r="BI257" i="1" s="1"/>
  <c r="AW257" i="1"/>
  <c r="AQ257" i="1"/>
  <c r="AE257" i="1"/>
  <c r="AK257" i="1" s="1"/>
  <c r="BV256" i="1"/>
  <c r="BU256" i="1"/>
  <c r="BO256" i="1"/>
  <c r="BC256" i="1"/>
  <c r="BI256" i="1" s="1"/>
  <c r="AW256" i="1"/>
  <c r="AQ256" i="1"/>
  <c r="AE256" i="1"/>
  <c r="AK256" i="1" s="1"/>
  <c r="BO255" i="1"/>
  <c r="BU255" i="1" s="1"/>
  <c r="BI255" i="1"/>
  <c r="BC255" i="1"/>
  <c r="AQ255" i="1"/>
  <c r="AW255" i="1" s="1"/>
  <c r="AK255" i="1"/>
  <c r="AE255" i="1"/>
  <c r="BO254" i="1"/>
  <c r="BU254" i="1" s="1"/>
  <c r="BI254" i="1"/>
  <c r="BC254" i="1"/>
  <c r="AQ254" i="1"/>
  <c r="AW254" i="1" s="1"/>
  <c r="AK254" i="1"/>
  <c r="AE254" i="1"/>
  <c r="BU253" i="1"/>
  <c r="BO253" i="1"/>
  <c r="BJ253" i="1"/>
  <c r="BC253" i="1"/>
  <c r="BI253" i="1" s="1"/>
  <c r="AX253" i="1"/>
  <c r="AW253" i="1"/>
  <c r="AK253" i="1"/>
  <c r="BV253" i="1" s="1"/>
  <c r="BV252" i="1"/>
  <c r="BO252" i="1"/>
  <c r="BJ252" i="1"/>
  <c r="BU252" i="1" s="1"/>
  <c r="BI252" i="1"/>
  <c r="BC252" i="1"/>
  <c r="AX252" i="1"/>
  <c r="AW252" i="1"/>
  <c r="AQ252" i="1"/>
  <c r="AL252" i="1"/>
  <c r="AE252" i="1"/>
  <c r="Z252" i="1"/>
  <c r="AK252" i="1" s="1"/>
  <c r="BO251" i="1"/>
  <c r="BJ251" i="1"/>
  <c r="BU251" i="1" s="1"/>
  <c r="BC251" i="1"/>
  <c r="AX251" i="1"/>
  <c r="BI251" i="1" s="1"/>
  <c r="AW251" i="1"/>
  <c r="AQ251" i="1"/>
  <c r="AL251" i="1"/>
  <c r="AK251" i="1"/>
  <c r="AE251" i="1"/>
  <c r="Z251" i="1"/>
  <c r="BO250" i="1"/>
  <c r="BU250" i="1" s="1"/>
  <c r="BJ250" i="1"/>
  <c r="BC250" i="1"/>
  <c r="AX250" i="1"/>
  <c r="AQ250" i="1"/>
  <c r="AL250" i="1"/>
  <c r="AW250" i="1" s="1"/>
  <c r="AK250" i="1"/>
  <c r="AE250" i="1"/>
  <c r="Z250" i="1"/>
  <c r="BU249" i="1"/>
  <c r="BO249" i="1"/>
  <c r="BJ249" i="1"/>
  <c r="BC249" i="1"/>
  <c r="BI249" i="1" s="1"/>
  <c r="AX249" i="1"/>
  <c r="AQ249" i="1"/>
  <c r="AL249" i="1"/>
  <c r="AE249" i="1"/>
  <c r="Z249" i="1"/>
  <c r="AK249" i="1" s="1"/>
  <c r="BO248" i="1"/>
  <c r="BJ248" i="1"/>
  <c r="BU248" i="1" s="1"/>
  <c r="BI248" i="1"/>
  <c r="BC248" i="1"/>
  <c r="AX248" i="1"/>
  <c r="AW248" i="1"/>
  <c r="AQ248" i="1"/>
  <c r="AL248" i="1"/>
  <c r="AE248" i="1"/>
  <c r="Z248" i="1"/>
  <c r="AK248" i="1" s="1"/>
  <c r="BV248" i="1" s="1"/>
  <c r="BO247" i="1"/>
  <c r="BJ247" i="1"/>
  <c r="BU247" i="1" s="1"/>
  <c r="BC247" i="1"/>
  <c r="AX247" i="1"/>
  <c r="BI247" i="1" s="1"/>
  <c r="AW247" i="1"/>
  <c r="AQ247" i="1"/>
  <c r="AL247" i="1"/>
  <c r="AK247" i="1"/>
  <c r="BV247" i="1" s="1"/>
  <c r="BO246" i="1"/>
  <c r="BJ246" i="1"/>
  <c r="BU246" i="1" s="1"/>
  <c r="BI246" i="1"/>
  <c r="BC246" i="1"/>
  <c r="AX246" i="1"/>
  <c r="AQ246" i="1"/>
  <c r="AW246" i="1" s="1"/>
  <c r="AL246" i="1"/>
  <c r="AE246" i="1"/>
  <c r="Z246" i="1"/>
  <c r="BO245" i="1"/>
  <c r="BJ245" i="1"/>
  <c r="BC245" i="1"/>
  <c r="AX245" i="1"/>
  <c r="BI245" i="1" s="1"/>
  <c r="AW245" i="1"/>
  <c r="AQ245" i="1"/>
  <c r="AL245" i="1"/>
  <c r="AE245" i="1"/>
  <c r="AK245" i="1" s="1"/>
  <c r="Z245" i="1"/>
  <c r="BU244" i="1"/>
  <c r="BO244" i="1"/>
  <c r="BJ244" i="1"/>
  <c r="BC244" i="1"/>
  <c r="AX244" i="1"/>
  <c r="BI244" i="1" s="1"/>
  <c r="AQ244" i="1"/>
  <c r="AL244" i="1"/>
  <c r="AW244" i="1" s="1"/>
  <c r="AK244" i="1"/>
  <c r="AE244" i="1"/>
  <c r="Z244" i="1"/>
  <c r="BU243" i="1"/>
  <c r="BO243" i="1"/>
  <c r="BJ243" i="1"/>
  <c r="BI243" i="1"/>
  <c r="BC243" i="1"/>
  <c r="AX243" i="1"/>
  <c r="AQ243" i="1"/>
  <c r="AL243" i="1"/>
  <c r="AW243" i="1" s="1"/>
  <c r="BV243" i="1" s="1"/>
  <c r="AE243" i="1"/>
  <c r="Z243" i="1"/>
  <c r="AK243" i="1" s="1"/>
  <c r="BO242" i="1"/>
  <c r="BJ242" i="1"/>
  <c r="BU242" i="1" s="1"/>
  <c r="BI242" i="1"/>
  <c r="BC242" i="1"/>
  <c r="AX242" i="1"/>
  <c r="AQ242" i="1"/>
  <c r="AW242" i="1" s="1"/>
  <c r="BV242" i="1" s="1"/>
  <c r="AL242" i="1"/>
  <c r="AK242" i="1"/>
  <c r="BU241" i="1"/>
  <c r="BO241" i="1"/>
  <c r="BJ241" i="1"/>
  <c r="BC241" i="1"/>
  <c r="BI241" i="1" s="1"/>
  <c r="AX241" i="1"/>
  <c r="AQ241" i="1"/>
  <c r="AL241" i="1"/>
  <c r="AE241" i="1"/>
  <c r="Z241" i="1"/>
  <c r="AK241" i="1" s="1"/>
  <c r="BV240" i="1"/>
  <c r="BO240" i="1"/>
  <c r="BJ240" i="1"/>
  <c r="BU240" i="1" s="1"/>
  <c r="BI240" i="1"/>
  <c r="BC240" i="1"/>
  <c r="AX240" i="1"/>
  <c r="AW240" i="1"/>
  <c r="AQ240" i="1"/>
  <c r="AL240" i="1"/>
  <c r="AE240" i="1"/>
  <c r="Z240" i="1"/>
  <c r="AK240" i="1" s="1"/>
  <c r="BO239" i="1"/>
  <c r="BJ239" i="1"/>
  <c r="BU239" i="1" s="1"/>
  <c r="BC239" i="1"/>
  <c r="AX239" i="1"/>
  <c r="BI239" i="1" s="1"/>
  <c r="AW239" i="1"/>
  <c r="AQ239" i="1"/>
  <c r="AL239" i="1"/>
  <c r="AK239" i="1"/>
  <c r="AE239" i="1"/>
  <c r="Z239" i="1"/>
  <c r="BO238" i="1"/>
  <c r="BU238" i="1" s="1"/>
  <c r="BJ238" i="1"/>
  <c r="BC238" i="1"/>
  <c r="AX238" i="1"/>
  <c r="AW238" i="1"/>
  <c r="AE238" i="1"/>
  <c r="Z238" i="1"/>
  <c r="AK238" i="1" s="1"/>
  <c r="BO237" i="1"/>
  <c r="BU237" i="1" s="1"/>
  <c r="BC237" i="1"/>
  <c r="BI237" i="1" s="1"/>
  <c r="AQ237" i="1"/>
  <c r="AW237" i="1" s="1"/>
  <c r="AK237" i="1"/>
  <c r="AE237" i="1"/>
  <c r="BU236" i="1"/>
  <c r="BO236" i="1"/>
  <c r="BI236" i="1"/>
  <c r="BC236" i="1"/>
  <c r="AW236" i="1"/>
  <c r="AQ236" i="1"/>
  <c r="AK236" i="1"/>
  <c r="AE236" i="1"/>
  <c r="BO235" i="1"/>
  <c r="BU235" i="1" s="1"/>
  <c r="BV235" i="1" s="1"/>
  <c r="BC235" i="1"/>
  <c r="BI235" i="1" s="1"/>
  <c r="AW235" i="1"/>
  <c r="AQ235" i="1"/>
  <c r="AE235" i="1"/>
  <c r="AK235" i="1" s="1"/>
  <c r="BU234" i="1"/>
  <c r="BO234" i="1"/>
  <c r="BI234" i="1"/>
  <c r="BC234" i="1"/>
  <c r="AW234" i="1"/>
  <c r="AQ234" i="1"/>
  <c r="AK234" i="1"/>
  <c r="BV234" i="1" s="1"/>
  <c r="AE234" i="1"/>
  <c r="BO233" i="1"/>
  <c r="BJ233" i="1"/>
  <c r="BU233" i="1" s="1"/>
  <c r="BI233" i="1"/>
  <c r="BC233" i="1"/>
  <c r="AX233" i="1"/>
  <c r="AW233" i="1"/>
  <c r="AQ233" i="1"/>
  <c r="AL233" i="1"/>
  <c r="AE233" i="1"/>
  <c r="Z233" i="1"/>
  <c r="AK233" i="1" s="1"/>
  <c r="BV233" i="1" s="1"/>
  <c r="BU232" i="1"/>
  <c r="BO232" i="1"/>
  <c r="BJ232" i="1"/>
  <c r="BC232" i="1"/>
  <c r="AX232" i="1"/>
  <c r="BI232" i="1" s="1"/>
  <c r="AQ232" i="1"/>
  <c r="AL232" i="1"/>
  <c r="AW232" i="1" s="1"/>
  <c r="AK232" i="1"/>
  <c r="AE232" i="1"/>
  <c r="Z232" i="1"/>
  <c r="BU231" i="1"/>
  <c r="BO231" i="1"/>
  <c r="BJ231" i="1"/>
  <c r="BC231" i="1"/>
  <c r="BI231" i="1" s="1"/>
  <c r="AX231" i="1"/>
  <c r="AQ231" i="1"/>
  <c r="AL231" i="1"/>
  <c r="AK231" i="1"/>
  <c r="BO230" i="1"/>
  <c r="BJ230" i="1"/>
  <c r="BU230" i="1" s="1"/>
  <c r="BC230" i="1"/>
  <c r="AX230" i="1"/>
  <c r="AQ230" i="1"/>
  <c r="AL230" i="1"/>
  <c r="AW230" i="1" s="1"/>
  <c r="AK230" i="1"/>
  <c r="BO229" i="1"/>
  <c r="BJ229" i="1"/>
  <c r="BU229" i="1" s="1"/>
  <c r="BC229" i="1"/>
  <c r="AX229" i="1"/>
  <c r="BI229" i="1" s="1"/>
  <c r="AW229" i="1"/>
  <c r="AE229" i="1"/>
  <c r="Z229" i="1"/>
  <c r="AK229" i="1" s="1"/>
  <c r="BO228" i="1"/>
  <c r="BJ228" i="1"/>
  <c r="BU228" i="1" s="1"/>
  <c r="BI228" i="1"/>
  <c r="BC228" i="1"/>
  <c r="AX228" i="1"/>
  <c r="AQ228" i="1"/>
  <c r="AW228" i="1" s="1"/>
  <c r="AL228" i="1"/>
  <c r="AE228" i="1"/>
  <c r="Z228" i="1"/>
  <c r="BO227" i="1"/>
  <c r="BJ227" i="1"/>
  <c r="BU227" i="1" s="1"/>
  <c r="BI227" i="1"/>
  <c r="BC227" i="1"/>
  <c r="AX227" i="1"/>
  <c r="AW227" i="1"/>
  <c r="AQ227" i="1"/>
  <c r="AL227" i="1"/>
  <c r="AE227" i="1"/>
  <c r="Z227" i="1"/>
  <c r="AK227" i="1" s="1"/>
  <c r="BV227" i="1" s="1"/>
  <c r="BU226" i="1"/>
  <c r="BO226" i="1"/>
  <c r="BJ226" i="1"/>
  <c r="BC226" i="1"/>
  <c r="AX226" i="1"/>
  <c r="BI226" i="1" s="1"/>
  <c r="AQ226" i="1"/>
  <c r="AL226" i="1"/>
  <c r="AW226" i="1" s="1"/>
  <c r="AK226" i="1"/>
  <c r="BV226" i="1" s="1"/>
  <c r="BO225" i="1"/>
  <c r="BJ225" i="1"/>
  <c r="BI225" i="1"/>
  <c r="BC225" i="1"/>
  <c r="AX225" i="1"/>
  <c r="AW225" i="1"/>
  <c r="AK225" i="1"/>
  <c r="BO224" i="1"/>
  <c r="BJ224" i="1"/>
  <c r="BU224" i="1" s="1"/>
  <c r="BC224" i="1"/>
  <c r="AX224" i="1"/>
  <c r="AQ224" i="1"/>
  <c r="AL224" i="1"/>
  <c r="AW224" i="1" s="1"/>
  <c r="AE224" i="1"/>
  <c r="AK224" i="1" s="1"/>
  <c r="Z224" i="1"/>
  <c r="BV223" i="1"/>
  <c r="BO223" i="1"/>
  <c r="BU223" i="1" s="1"/>
  <c r="BJ223" i="1"/>
  <c r="BI223" i="1"/>
  <c r="BC223" i="1"/>
  <c r="AX223" i="1"/>
  <c r="AQ223" i="1"/>
  <c r="AL223" i="1"/>
  <c r="AW223" i="1" s="1"/>
  <c r="AE223" i="1"/>
  <c r="Z223" i="1"/>
  <c r="AK223" i="1" s="1"/>
  <c r="BU222" i="1"/>
  <c r="BO222" i="1"/>
  <c r="BJ222" i="1"/>
  <c r="BI222" i="1"/>
  <c r="BC222" i="1"/>
  <c r="AX222" i="1"/>
  <c r="AQ222" i="1"/>
  <c r="AL222" i="1"/>
  <c r="AK222" i="1"/>
  <c r="BU221" i="1"/>
  <c r="BO221" i="1"/>
  <c r="BJ221" i="1"/>
  <c r="BC221" i="1"/>
  <c r="BI221" i="1" s="1"/>
  <c r="AX221" i="1"/>
  <c r="AQ221" i="1"/>
  <c r="AL221" i="1"/>
  <c r="AK221" i="1"/>
  <c r="AE221" i="1"/>
  <c r="Z221" i="1"/>
  <c r="BU220" i="1"/>
  <c r="BO220" i="1"/>
  <c r="BJ220" i="1"/>
  <c r="BC220" i="1"/>
  <c r="BI220" i="1" s="1"/>
  <c r="AX220" i="1"/>
  <c r="AQ220" i="1"/>
  <c r="AL220" i="1"/>
  <c r="AW220" i="1" s="1"/>
  <c r="AE220" i="1"/>
  <c r="Z220" i="1"/>
  <c r="AK220" i="1" s="1"/>
  <c r="BO219" i="1"/>
  <c r="BJ219" i="1"/>
  <c r="BC219" i="1"/>
  <c r="AX219" i="1"/>
  <c r="BI219" i="1" s="1"/>
  <c r="AQ219" i="1"/>
  <c r="AW219" i="1" s="1"/>
  <c r="AL219" i="1"/>
  <c r="AK219" i="1"/>
  <c r="AE219" i="1"/>
  <c r="Z219" i="1"/>
  <c r="BO218" i="1"/>
  <c r="BU218" i="1" s="1"/>
  <c r="BJ218" i="1"/>
  <c r="BC218" i="1"/>
  <c r="AX218" i="1"/>
  <c r="AW218" i="1"/>
  <c r="AQ218" i="1"/>
  <c r="AL218" i="1"/>
  <c r="AE218" i="1"/>
  <c r="AK218" i="1" s="1"/>
  <c r="Z218" i="1"/>
  <c r="BO217" i="1"/>
  <c r="BU217" i="1" s="1"/>
  <c r="BJ217" i="1"/>
  <c r="BC217" i="1"/>
  <c r="AX217" i="1"/>
  <c r="BI217" i="1" s="1"/>
  <c r="AQ217" i="1"/>
  <c r="AL217" i="1"/>
  <c r="AW217" i="1" s="1"/>
  <c r="AK217" i="1"/>
  <c r="AE217" i="1"/>
  <c r="Z217" i="1"/>
  <c r="BU216" i="1"/>
  <c r="BO216" i="1"/>
  <c r="BJ216" i="1"/>
  <c r="BI216" i="1"/>
  <c r="BC216" i="1"/>
  <c r="AX216" i="1"/>
  <c r="AW216" i="1"/>
  <c r="AK216" i="1"/>
  <c r="BV216" i="1" s="1"/>
  <c r="BO215" i="1"/>
  <c r="BJ215" i="1"/>
  <c r="BC215" i="1"/>
  <c r="AX215" i="1"/>
  <c r="BI215" i="1" s="1"/>
  <c r="AQ215" i="1"/>
  <c r="AW215" i="1" s="1"/>
  <c r="AL215" i="1"/>
  <c r="AK215" i="1"/>
  <c r="AE215" i="1"/>
  <c r="Z215" i="1"/>
  <c r="BO214" i="1"/>
  <c r="BU214" i="1" s="1"/>
  <c r="BJ214" i="1"/>
  <c r="BC214" i="1"/>
  <c r="AX214" i="1"/>
  <c r="AW214" i="1"/>
  <c r="AQ214" i="1"/>
  <c r="AL214" i="1"/>
  <c r="AE214" i="1"/>
  <c r="AK214" i="1" s="1"/>
  <c r="Z214" i="1"/>
  <c r="BO213" i="1"/>
  <c r="BU213" i="1" s="1"/>
  <c r="BJ213" i="1"/>
  <c r="BC213" i="1"/>
  <c r="AX213" i="1"/>
  <c r="BI213" i="1" s="1"/>
  <c r="AQ213" i="1"/>
  <c r="AL213" i="1"/>
  <c r="AW213" i="1" s="1"/>
  <c r="AK213" i="1"/>
  <c r="BU212" i="1"/>
  <c r="BO212" i="1"/>
  <c r="BJ212" i="1"/>
  <c r="BC212" i="1"/>
  <c r="AX212" i="1"/>
  <c r="BI212" i="1" s="1"/>
  <c r="AW212" i="1"/>
  <c r="AE212" i="1"/>
  <c r="Z212" i="1"/>
  <c r="BV211" i="1"/>
  <c r="BO211" i="1"/>
  <c r="BJ211" i="1"/>
  <c r="BU211" i="1" s="1"/>
  <c r="BI211" i="1"/>
  <c r="BC211" i="1"/>
  <c r="AX211" i="1"/>
  <c r="AW211" i="1"/>
  <c r="AQ211" i="1"/>
  <c r="AL211" i="1"/>
  <c r="AK211" i="1"/>
  <c r="BU210" i="1"/>
  <c r="BJ210" i="1"/>
  <c r="AX210" i="1"/>
  <c r="BI210" i="1" s="1"/>
  <c r="BV210" i="1" s="1"/>
  <c r="AW210" i="1"/>
  <c r="AK210" i="1"/>
  <c r="BU209" i="1"/>
  <c r="BJ209" i="1"/>
  <c r="AX209" i="1"/>
  <c r="BI209" i="1" s="1"/>
  <c r="AL209" i="1"/>
  <c r="AW209" i="1" s="1"/>
  <c r="Z209" i="1"/>
  <c r="AK209" i="1" s="1"/>
  <c r="BV208" i="1"/>
  <c r="BU208" i="1"/>
  <c r="BJ208" i="1"/>
  <c r="AX208" i="1"/>
  <c r="BI208" i="1" s="1"/>
  <c r="AW208" i="1"/>
  <c r="AL208" i="1"/>
  <c r="Z208" i="1"/>
  <c r="AK208" i="1" s="1"/>
  <c r="BJ207" i="1"/>
  <c r="BU207" i="1" s="1"/>
  <c r="AX207" i="1"/>
  <c r="BI207" i="1" s="1"/>
  <c r="AL207" i="1"/>
  <c r="AW207" i="1" s="1"/>
  <c r="AK207" i="1"/>
  <c r="BJ206" i="1"/>
  <c r="BU206" i="1" s="1"/>
  <c r="AX206" i="1"/>
  <c r="BI206" i="1" s="1"/>
  <c r="BV206" i="1" s="1"/>
  <c r="AW206" i="1"/>
  <c r="AK206" i="1"/>
  <c r="BU205" i="1"/>
  <c r="BJ205" i="1"/>
  <c r="BI205" i="1"/>
  <c r="AX205" i="1"/>
  <c r="AW205" i="1"/>
  <c r="AL205" i="1"/>
  <c r="AK205" i="1"/>
  <c r="Z205" i="1"/>
  <c r="BJ204" i="1"/>
  <c r="BU204" i="1" s="1"/>
  <c r="AX204" i="1"/>
  <c r="BI204" i="1" s="1"/>
  <c r="AL204" i="1"/>
  <c r="AW204" i="1" s="1"/>
  <c r="Z204" i="1"/>
  <c r="AK204" i="1" s="1"/>
  <c r="BV204" i="1" s="1"/>
  <c r="BU203" i="1"/>
  <c r="BJ203" i="1"/>
  <c r="BI203" i="1"/>
  <c r="AX203" i="1"/>
  <c r="AW203" i="1"/>
  <c r="AK203" i="1"/>
  <c r="BV203" i="1" s="1"/>
  <c r="BJ202" i="1"/>
  <c r="BU202" i="1" s="1"/>
  <c r="AX202" i="1"/>
  <c r="BI202" i="1" s="1"/>
  <c r="AL202" i="1"/>
  <c r="AW202" i="1" s="1"/>
  <c r="Z202" i="1"/>
  <c r="AK202" i="1" s="1"/>
  <c r="BV202" i="1" s="1"/>
  <c r="BU201" i="1"/>
  <c r="BJ201" i="1"/>
  <c r="BI201" i="1"/>
  <c r="AX201" i="1"/>
  <c r="AW201" i="1"/>
  <c r="AL201" i="1"/>
  <c r="AK201" i="1"/>
  <c r="BV201" i="1" s="1"/>
  <c r="Z201" i="1"/>
  <c r="BJ200" i="1"/>
  <c r="BU200" i="1" s="1"/>
  <c r="AX200" i="1"/>
  <c r="BI200" i="1" s="1"/>
  <c r="AL200" i="1"/>
  <c r="AW200" i="1" s="1"/>
  <c r="Z200" i="1"/>
  <c r="AK200" i="1" s="1"/>
  <c r="BU199" i="1"/>
  <c r="BJ199" i="1"/>
  <c r="BI199" i="1"/>
  <c r="AX199" i="1"/>
  <c r="AW199" i="1"/>
  <c r="AL199" i="1"/>
  <c r="AK199" i="1"/>
  <c r="Z199" i="1"/>
  <c r="BV198" i="1"/>
  <c r="BJ198" i="1"/>
  <c r="BU198" i="1" s="1"/>
  <c r="AX198" i="1"/>
  <c r="BI198" i="1" s="1"/>
  <c r="AL198" i="1"/>
  <c r="AW198" i="1" s="1"/>
  <c r="AK198" i="1"/>
  <c r="BJ197" i="1"/>
  <c r="BU197" i="1" s="1"/>
  <c r="AX197" i="1"/>
  <c r="BI197" i="1" s="1"/>
  <c r="AL197" i="1"/>
  <c r="AW197" i="1" s="1"/>
  <c r="Z197" i="1"/>
  <c r="AK197" i="1" s="1"/>
  <c r="BV197" i="1" s="1"/>
  <c r="BU196" i="1"/>
  <c r="BJ196" i="1"/>
  <c r="BI196" i="1"/>
  <c r="AX196" i="1"/>
  <c r="AW196" i="1"/>
  <c r="AL196" i="1"/>
  <c r="AK196" i="1"/>
  <c r="BV196" i="1" s="1"/>
  <c r="Z196" i="1"/>
  <c r="BJ195" i="1"/>
  <c r="BU195" i="1" s="1"/>
  <c r="AX195" i="1"/>
  <c r="BI195" i="1" s="1"/>
  <c r="AL195" i="1"/>
  <c r="AW195" i="1" s="1"/>
  <c r="Z195" i="1"/>
  <c r="AK195" i="1" s="1"/>
  <c r="BU194" i="1"/>
  <c r="BJ194" i="1"/>
  <c r="BI194" i="1"/>
  <c r="AX194" i="1"/>
  <c r="AW194" i="1"/>
  <c r="AL194" i="1"/>
  <c r="AK194" i="1"/>
  <c r="BV194" i="1" s="1"/>
  <c r="BU193" i="1"/>
  <c r="BJ193" i="1"/>
  <c r="BI193" i="1"/>
  <c r="AX193" i="1"/>
  <c r="AW193" i="1"/>
  <c r="AL193" i="1"/>
  <c r="AK193" i="1"/>
  <c r="Z193" i="1"/>
  <c r="BJ192" i="1"/>
  <c r="BU192" i="1" s="1"/>
  <c r="AX192" i="1"/>
  <c r="BI192" i="1" s="1"/>
  <c r="AL192" i="1"/>
  <c r="AW192" i="1" s="1"/>
  <c r="Z192" i="1"/>
  <c r="AK192" i="1" s="1"/>
  <c r="BV192" i="1" s="1"/>
  <c r="BU191" i="1"/>
  <c r="BJ191" i="1"/>
  <c r="BI191" i="1"/>
  <c r="AX191" i="1"/>
  <c r="AW191" i="1"/>
  <c r="AK191" i="1"/>
  <c r="BV190" i="1"/>
  <c r="BJ190" i="1"/>
  <c r="BU190" i="1" s="1"/>
  <c r="AX190" i="1"/>
  <c r="BI190" i="1" s="1"/>
  <c r="AL190" i="1"/>
  <c r="AW190" i="1" s="1"/>
  <c r="AK190" i="1"/>
  <c r="BJ189" i="1"/>
  <c r="BU189" i="1" s="1"/>
  <c r="AX189" i="1"/>
  <c r="BI189" i="1" s="1"/>
  <c r="AL189" i="1"/>
  <c r="AW189" i="1" s="1"/>
  <c r="Z189" i="1"/>
  <c r="AK189" i="1" s="1"/>
  <c r="BV189" i="1" s="1"/>
  <c r="BU188" i="1"/>
  <c r="BJ188" i="1"/>
  <c r="BI188" i="1"/>
  <c r="AX188" i="1"/>
  <c r="AW188" i="1"/>
  <c r="AL188" i="1"/>
  <c r="AK188" i="1"/>
  <c r="BV188" i="1" s="1"/>
  <c r="Z188" i="1"/>
  <c r="BJ187" i="1"/>
  <c r="BU187" i="1" s="1"/>
  <c r="AX187" i="1"/>
  <c r="BI187" i="1" s="1"/>
  <c r="AL187" i="1"/>
  <c r="AW187" i="1" s="1"/>
  <c r="Z187" i="1"/>
  <c r="AK187" i="1" s="1"/>
  <c r="BV187" i="1" s="1"/>
  <c r="BU186" i="1"/>
  <c r="BJ186" i="1"/>
  <c r="BI186" i="1"/>
  <c r="AX186" i="1"/>
  <c r="AW186" i="1"/>
  <c r="AL186" i="1"/>
  <c r="AK186" i="1"/>
  <c r="BV186" i="1" s="1"/>
  <c r="BU185" i="1"/>
  <c r="BJ185" i="1"/>
  <c r="BI185" i="1"/>
  <c r="AX185" i="1"/>
  <c r="AW185" i="1"/>
  <c r="AL185" i="1"/>
  <c r="AK185" i="1"/>
  <c r="BV185" i="1" s="1"/>
  <c r="Z185" i="1"/>
  <c r="BJ184" i="1"/>
  <c r="BU184" i="1" s="1"/>
  <c r="AX184" i="1"/>
  <c r="BI184" i="1" s="1"/>
  <c r="AL184" i="1"/>
  <c r="AW184" i="1" s="1"/>
  <c r="Z184" i="1"/>
  <c r="AK184" i="1" s="1"/>
  <c r="BV184" i="1" s="1"/>
  <c r="BU183" i="1"/>
  <c r="BJ183" i="1"/>
  <c r="BI183" i="1"/>
  <c r="AX183" i="1"/>
  <c r="AW183" i="1"/>
  <c r="AL183" i="1"/>
  <c r="AK183" i="1"/>
  <c r="BV183" i="1" s="1"/>
  <c r="Z183" i="1"/>
  <c r="BJ182" i="1"/>
  <c r="BU182" i="1" s="1"/>
  <c r="AX182" i="1"/>
  <c r="BI182" i="1" s="1"/>
  <c r="AL182" i="1"/>
  <c r="AW182" i="1" s="1"/>
  <c r="BV182" i="1" s="1"/>
  <c r="AK182" i="1"/>
  <c r="BJ181" i="1"/>
  <c r="BU181" i="1" s="1"/>
  <c r="AX181" i="1"/>
  <c r="BI181" i="1" s="1"/>
  <c r="AL181" i="1"/>
  <c r="AW181" i="1" s="1"/>
  <c r="Z181" i="1"/>
  <c r="AK181" i="1" s="1"/>
  <c r="BV181" i="1" s="1"/>
  <c r="BU180" i="1"/>
  <c r="BJ180" i="1"/>
  <c r="BI180" i="1"/>
  <c r="AX180" i="1"/>
  <c r="AW180" i="1"/>
  <c r="AL180" i="1"/>
  <c r="AK180" i="1"/>
  <c r="Z180" i="1"/>
  <c r="BJ179" i="1"/>
  <c r="BU179" i="1" s="1"/>
  <c r="AX179" i="1"/>
  <c r="BI179" i="1" s="1"/>
  <c r="AL179" i="1"/>
  <c r="AW179" i="1" s="1"/>
  <c r="Z179" i="1"/>
  <c r="AK179" i="1" s="1"/>
  <c r="BV179" i="1" s="1"/>
  <c r="BU178" i="1"/>
  <c r="BJ178" i="1"/>
  <c r="BI178" i="1"/>
  <c r="AX178" i="1"/>
  <c r="AW178" i="1"/>
  <c r="AL178" i="1"/>
  <c r="AK178" i="1"/>
  <c r="BV178" i="1" s="1"/>
  <c r="Z178" i="1"/>
  <c r="BJ177" i="1"/>
  <c r="BU177" i="1" s="1"/>
  <c r="AX177" i="1"/>
  <c r="BI177" i="1" s="1"/>
  <c r="AL177" i="1"/>
  <c r="AW177" i="1" s="1"/>
  <c r="Z177" i="1"/>
  <c r="AK177" i="1" s="1"/>
  <c r="BV177" i="1" s="1"/>
  <c r="BU176" i="1"/>
  <c r="BJ176" i="1"/>
  <c r="BI176" i="1"/>
  <c r="AX176" i="1"/>
  <c r="AW176" i="1"/>
  <c r="AL176" i="1"/>
  <c r="AK176" i="1"/>
  <c r="BV176" i="1" s="1"/>
  <c r="Z176" i="1"/>
  <c r="BJ175" i="1"/>
  <c r="BU175" i="1" s="1"/>
  <c r="AX175" i="1"/>
  <c r="BI175" i="1" s="1"/>
  <c r="AL175" i="1"/>
  <c r="AW175" i="1" s="1"/>
  <c r="Z175" i="1"/>
  <c r="AK175" i="1" s="1"/>
  <c r="BV175" i="1" s="1"/>
  <c r="BU174" i="1"/>
  <c r="BJ174" i="1"/>
  <c r="BI174" i="1"/>
  <c r="AX174" i="1"/>
  <c r="AW174" i="1"/>
  <c r="AL174" i="1"/>
  <c r="AK174" i="1"/>
  <c r="BJ173" i="1"/>
  <c r="BU173" i="1" s="1"/>
  <c r="BI173" i="1"/>
  <c r="AX173" i="1"/>
  <c r="AL173" i="1"/>
  <c r="AW173" i="1" s="1"/>
  <c r="AK173" i="1"/>
  <c r="Z173" i="1"/>
  <c r="BU172" i="1"/>
  <c r="BO172" i="1"/>
  <c r="BJ172" i="1"/>
  <c r="BC172" i="1"/>
  <c r="AX172" i="1"/>
  <c r="BI172" i="1" s="1"/>
  <c r="AL172" i="1"/>
  <c r="AW172" i="1" s="1"/>
  <c r="Z172" i="1"/>
  <c r="AK172" i="1" s="1"/>
  <c r="BV172" i="1" s="1"/>
  <c r="BU171" i="1"/>
  <c r="BO171" i="1"/>
  <c r="BJ171" i="1"/>
  <c r="BC171" i="1"/>
  <c r="AX171" i="1"/>
  <c r="AQ171" i="1"/>
  <c r="AL171" i="1"/>
  <c r="AW171" i="1" s="1"/>
  <c r="AK171" i="1"/>
  <c r="AE171" i="1"/>
  <c r="Z171" i="1"/>
  <c r="BU170" i="1"/>
  <c r="BO170" i="1"/>
  <c r="BJ170" i="1"/>
  <c r="BI170" i="1"/>
  <c r="BC170" i="1"/>
  <c r="AX170" i="1"/>
  <c r="AQ170" i="1"/>
  <c r="AL170" i="1"/>
  <c r="AW170" i="1" s="1"/>
  <c r="AE170" i="1"/>
  <c r="Z170" i="1"/>
  <c r="AK170" i="1" s="1"/>
  <c r="BV170" i="1" s="1"/>
  <c r="BO169" i="1"/>
  <c r="BJ169" i="1"/>
  <c r="BU169" i="1" s="1"/>
  <c r="BI169" i="1"/>
  <c r="BC169" i="1"/>
  <c r="AX169" i="1"/>
  <c r="AW169" i="1"/>
  <c r="BV169" i="1" s="1"/>
  <c r="AQ169" i="1"/>
  <c r="AL169" i="1"/>
  <c r="AK169" i="1"/>
  <c r="BU168" i="1"/>
  <c r="BO168" i="1"/>
  <c r="BJ168" i="1"/>
  <c r="BI168" i="1"/>
  <c r="BC168" i="1"/>
  <c r="AX168" i="1"/>
  <c r="AQ168" i="1"/>
  <c r="AL168" i="1"/>
  <c r="AW168" i="1" s="1"/>
  <c r="BV168" i="1" s="1"/>
  <c r="AK168" i="1"/>
  <c r="BU167" i="1"/>
  <c r="BO167" i="1"/>
  <c r="BJ167" i="1"/>
  <c r="BC167" i="1"/>
  <c r="AX167" i="1"/>
  <c r="BI167" i="1" s="1"/>
  <c r="AW167" i="1"/>
  <c r="AL167" i="1"/>
  <c r="AK167" i="1"/>
  <c r="Z167" i="1"/>
  <c r="BO166" i="1"/>
  <c r="BJ166" i="1"/>
  <c r="BU166" i="1" s="1"/>
  <c r="BC166" i="1"/>
  <c r="AX166" i="1"/>
  <c r="BI166" i="1" s="1"/>
  <c r="AW166" i="1"/>
  <c r="AQ166" i="1"/>
  <c r="AL166" i="1"/>
  <c r="AK166" i="1"/>
  <c r="BV166" i="1" s="1"/>
  <c r="BO165" i="1"/>
  <c r="BJ165" i="1"/>
  <c r="BU165" i="1" s="1"/>
  <c r="BI165" i="1"/>
  <c r="BC165" i="1"/>
  <c r="AX165" i="1"/>
  <c r="AW165" i="1"/>
  <c r="AK165" i="1"/>
  <c r="BO164" i="1"/>
  <c r="BJ164" i="1"/>
  <c r="BU164" i="1" s="1"/>
  <c r="BC164" i="1"/>
  <c r="AX164" i="1"/>
  <c r="BI164" i="1" s="1"/>
  <c r="AW164" i="1"/>
  <c r="AQ164" i="1"/>
  <c r="AL164" i="1"/>
  <c r="AK164" i="1"/>
  <c r="BV164" i="1" s="1"/>
  <c r="AE164" i="1"/>
  <c r="Z164" i="1"/>
  <c r="BU163" i="1"/>
  <c r="BO163" i="1"/>
  <c r="BJ163" i="1"/>
  <c r="BC163" i="1"/>
  <c r="AX163" i="1"/>
  <c r="BI163" i="1" s="1"/>
  <c r="AW163" i="1"/>
  <c r="AK163" i="1"/>
  <c r="BV163" i="1" s="1"/>
  <c r="BU162" i="1"/>
  <c r="BO162" i="1"/>
  <c r="BJ162" i="1"/>
  <c r="BI162" i="1"/>
  <c r="BC162" i="1"/>
  <c r="AX162" i="1"/>
  <c r="AQ162" i="1"/>
  <c r="AL162" i="1"/>
  <c r="AW162" i="1" s="1"/>
  <c r="AE162" i="1"/>
  <c r="Z162" i="1"/>
  <c r="AK162" i="1" s="1"/>
  <c r="BO161" i="1"/>
  <c r="BJ161" i="1"/>
  <c r="BU161" i="1" s="1"/>
  <c r="BI161" i="1"/>
  <c r="BC161" i="1"/>
  <c r="AX161" i="1"/>
  <c r="AW161" i="1"/>
  <c r="AK161" i="1"/>
  <c r="BO160" i="1"/>
  <c r="BJ160" i="1"/>
  <c r="BU160" i="1" s="1"/>
  <c r="BC160" i="1"/>
  <c r="AX160" i="1"/>
  <c r="BI160" i="1" s="1"/>
  <c r="AW160" i="1"/>
  <c r="AQ160" i="1"/>
  <c r="AL160" i="1"/>
  <c r="AK160" i="1"/>
  <c r="BV160" i="1" s="1"/>
  <c r="Z160" i="1"/>
  <c r="BO159" i="1"/>
  <c r="BJ159" i="1"/>
  <c r="BU159" i="1" s="1"/>
  <c r="BC159" i="1"/>
  <c r="AX159" i="1"/>
  <c r="BI159" i="1" s="1"/>
  <c r="AW159" i="1"/>
  <c r="AK159" i="1"/>
  <c r="BV159" i="1" s="1"/>
  <c r="BU158" i="1"/>
  <c r="BO158" i="1"/>
  <c r="BJ158" i="1"/>
  <c r="BC158" i="1"/>
  <c r="AX158" i="1"/>
  <c r="BI158" i="1" s="1"/>
  <c r="AQ158" i="1"/>
  <c r="AL158" i="1"/>
  <c r="AW158" i="1" s="1"/>
  <c r="AK158" i="1"/>
  <c r="BV158" i="1" s="1"/>
  <c r="Z158" i="1"/>
  <c r="BU157" i="1"/>
  <c r="BO157" i="1"/>
  <c r="BJ157" i="1"/>
  <c r="BC157" i="1"/>
  <c r="AX157" i="1"/>
  <c r="BI157" i="1" s="1"/>
  <c r="AW157" i="1"/>
  <c r="AK157" i="1"/>
  <c r="BV157" i="1" s="1"/>
  <c r="BU156" i="1"/>
  <c r="BO156" i="1"/>
  <c r="BJ156" i="1"/>
  <c r="BI156" i="1"/>
  <c r="BC156" i="1"/>
  <c r="AX156" i="1"/>
  <c r="AQ156" i="1"/>
  <c r="AL156" i="1"/>
  <c r="AW156" i="1" s="1"/>
  <c r="AE156" i="1"/>
  <c r="Z156" i="1"/>
  <c r="AK156" i="1" s="1"/>
  <c r="BU155" i="1"/>
  <c r="BO155" i="1"/>
  <c r="BI155" i="1"/>
  <c r="BC155" i="1"/>
  <c r="AW155" i="1"/>
  <c r="AQ155" i="1"/>
  <c r="AK155" i="1"/>
  <c r="BV155" i="1" s="1"/>
  <c r="AE155" i="1"/>
  <c r="BO154" i="1"/>
  <c r="BU154" i="1" s="1"/>
  <c r="BI154" i="1"/>
  <c r="BC154" i="1"/>
  <c r="AQ154" i="1"/>
  <c r="AW154" i="1" s="1"/>
  <c r="AK154" i="1"/>
  <c r="BO153" i="1"/>
  <c r="BU153" i="1" s="1"/>
  <c r="BI153" i="1"/>
  <c r="BC153" i="1"/>
  <c r="AW153" i="1"/>
  <c r="AK153" i="1"/>
  <c r="BV153" i="1" s="1"/>
  <c r="BU152" i="1"/>
  <c r="BO152" i="1"/>
  <c r="BI152" i="1"/>
  <c r="BC152" i="1"/>
  <c r="AW152" i="1"/>
  <c r="AQ152" i="1"/>
  <c r="AK152" i="1"/>
  <c r="BV152" i="1" s="1"/>
  <c r="AE152" i="1"/>
  <c r="BO151" i="1"/>
  <c r="BU151" i="1" s="1"/>
  <c r="BI151" i="1"/>
  <c r="BC151" i="1"/>
  <c r="AQ151" i="1"/>
  <c r="AW151" i="1" s="1"/>
  <c r="AK151" i="1"/>
  <c r="AE151" i="1"/>
  <c r="BU150" i="1"/>
  <c r="BO150" i="1"/>
  <c r="BI150" i="1"/>
  <c r="BC150" i="1"/>
  <c r="AW150" i="1"/>
  <c r="AQ150" i="1"/>
  <c r="AK150" i="1"/>
  <c r="BV150" i="1" s="1"/>
  <c r="BU149" i="1"/>
  <c r="BO149" i="1"/>
  <c r="BI149" i="1"/>
  <c r="BC149" i="1"/>
  <c r="AW149" i="1"/>
  <c r="AQ149" i="1"/>
  <c r="AK149" i="1"/>
  <c r="BV149" i="1" s="1"/>
  <c r="AE149" i="1"/>
  <c r="BU148" i="1"/>
  <c r="BO148" i="1"/>
  <c r="BC148" i="1"/>
  <c r="BI148" i="1" s="1"/>
  <c r="AW148" i="1"/>
  <c r="AQ148" i="1"/>
  <c r="AE148" i="1"/>
  <c r="AK148" i="1" s="1"/>
  <c r="BU147" i="1"/>
  <c r="BO147" i="1"/>
  <c r="BI147" i="1"/>
  <c r="BC147" i="1"/>
  <c r="AW147" i="1"/>
  <c r="AQ147" i="1"/>
  <c r="AK147" i="1"/>
  <c r="BV147" i="1" s="1"/>
  <c r="AE147" i="1"/>
  <c r="BO146" i="1"/>
  <c r="BU146" i="1" s="1"/>
  <c r="BI146" i="1"/>
  <c r="BC146" i="1"/>
  <c r="AQ146" i="1"/>
  <c r="AW146" i="1" s="1"/>
  <c r="AK146" i="1"/>
  <c r="BV146" i="1" s="1"/>
  <c r="AE146" i="1"/>
  <c r="BU145" i="1"/>
  <c r="BO145" i="1"/>
  <c r="BI145" i="1"/>
  <c r="BC145" i="1"/>
  <c r="AW145" i="1"/>
  <c r="AQ145" i="1"/>
  <c r="AK145" i="1"/>
  <c r="BV145" i="1" s="1"/>
  <c r="AE145" i="1"/>
  <c r="BU144" i="1"/>
  <c r="BO144" i="1"/>
  <c r="BC144" i="1"/>
  <c r="BI144" i="1" s="1"/>
  <c r="AW144" i="1"/>
  <c r="AQ144" i="1"/>
  <c r="AE144" i="1"/>
  <c r="AK144" i="1" s="1"/>
  <c r="BU143" i="1"/>
  <c r="BO143" i="1"/>
  <c r="BI143" i="1"/>
  <c r="BC143" i="1"/>
  <c r="AW143" i="1"/>
  <c r="AQ143" i="1"/>
  <c r="AK143" i="1"/>
  <c r="BV143" i="1" s="1"/>
  <c r="AE143" i="1"/>
  <c r="BO142" i="1"/>
  <c r="BU142" i="1" s="1"/>
  <c r="BI142" i="1"/>
  <c r="BC142" i="1"/>
  <c r="AQ142" i="1"/>
  <c r="AW142" i="1" s="1"/>
  <c r="AK142" i="1"/>
  <c r="BV142" i="1" s="1"/>
  <c r="AE142" i="1"/>
  <c r="BU141" i="1"/>
  <c r="BO141" i="1"/>
  <c r="BI141" i="1"/>
  <c r="BC141" i="1"/>
  <c r="AW141" i="1"/>
  <c r="AQ141" i="1"/>
  <c r="AK141" i="1"/>
  <c r="BV141" i="1" s="1"/>
  <c r="AE141" i="1"/>
  <c r="BU140" i="1"/>
  <c r="BO140" i="1"/>
  <c r="BC140" i="1"/>
  <c r="BI140" i="1" s="1"/>
  <c r="AW140" i="1"/>
  <c r="AQ140" i="1"/>
  <c r="AE140" i="1"/>
  <c r="AK140" i="1" s="1"/>
  <c r="BU139" i="1"/>
  <c r="BO139" i="1"/>
  <c r="BI139" i="1"/>
  <c r="BC139" i="1"/>
  <c r="AW139" i="1"/>
  <c r="AQ139" i="1"/>
  <c r="AK139" i="1"/>
  <c r="BV139" i="1" s="1"/>
  <c r="AE139" i="1"/>
  <c r="BO138" i="1"/>
  <c r="BU138" i="1" s="1"/>
  <c r="BI138" i="1"/>
  <c r="BC138" i="1"/>
  <c r="AQ138" i="1"/>
  <c r="AW138" i="1" s="1"/>
  <c r="AK138" i="1"/>
  <c r="BV138" i="1" s="1"/>
  <c r="AE138" i="1"/>
  <c r="BU137" i="1"/>
  <c r="BO137" i="1"/>
  <c r="BI137" i="1"/>
  <c r="BC137" i="1"/>
  <c r="AW137" i="1"/>
  <c r="AQ137" i="1"/>
  <c r="AE137" i="1"/>
  <c r="Z137" i="1"/>
  <c r="AK137" i="1" s="1"/>
  <c r="BV137" i="1" s="1"/>
  <c r="BU136" i="1"/>
  <c r="BO136" i="1"/>
  <c r="BI136" i="1"/>
  <c r="BC136" i="1"/>
  <c r="AW136" i="1"/>
  <c r="AQ136" i="1"/>
  <c r="AK136" i="1"/>
  <c r="BV136" i="1" s="1"/>
  <c r="AE136" i="1"/>
  <c r="Z136" i="1"/>
  <c r="BU135" i="1"/>
  <c r="BO135" i="1"/>
  <c r="BI135" i="1"/>
  <c r="BC135" i="1"/>
  <c r="AW135" i="1"/>
  <c r="AQ135" i="1"/>
  <c r="AK135" i="1"/>
  <c r="BV135" i="1" s="1"/>
  <c r="BU134" i="1"/>
  <c r="BO134" i="1"/>
  <c r="BI134" i="1"/>
  <c r="BC134" i="1"/>
  <c r="AW134" i="1"/>
  <c r="AK134" i="1"/>
  <c r="BV134" i="1" s="1"/>
  <c r="BO133" i="1"/>
  <c r="BU133" i="1" s="1"/>
  <c r="BI133" i="1"/>
  <c r="BC133" i="1"/>
  <c r="AQ133" i="1"/>
  <c r="AL133" i="1"/>
  <c r="AW133" i="1" s="1"/>
  <c r="AE133" i="1"/>
  <c r="Z133" i="1"/>
  <c r="AK133" i="1" s="1"/>
  <c r="BU132" i="1"/>
  <c r="BO132" i="1"/>
  <c r="BI132" i="1"/>
  <c r="BC132" i="1"/>
  <c r="AW132" i="1"/>
  <c r="AQ132" i="1"/>
  <c r="AK132" i="1"/>
  <c r="BV132" i="1" s="1"/>
  <c r="BU131" i="1"/>
  <c r="BO131" i="1"/>
  <c r="BI131" i="1"/>
  <c r="BC131" i="1"/>
  <c r="AW131" i="1"/>
  <c r="AQ131" i="1"/>
  <c r="AK131" i="1"/>
  <c r="BV131" i="1" s="1"/>
  <c r="BO130" i="1"/>
  <c r="BJ130" i="1"/>
  <c r="BU130" i="1" s="1"/>
  <c r="BI130" i="1"/>
  <c r="BC130" i="1"/>
  <c r="AX130" i="1"/>
  <c r="AW130" i="1"/>
  <c r="AQ130" i="1"/>
  <c r="AL130" i="1"/>
  <c r="AE130" i="1"/>
  <c r="Z130" i="1"/>
  <c r="AK130" i="1" s="1"/>
  <c r="BV130" i="1" s="1"/>
  <c r="BO129" i="1"/>
  <c r="BJ129" i="1"/>
  <c r="BU129" i="1" s="1"/>
  <c r="BC129" i="1"/>
  <c r="AX129" i="1"/>
  <c r="BI129" i="1" s="1"/>
  <c r="AW129" i="1"/>
  <c r="AK129" i="1"/>
  <c r="BV129" i="1" s="1"/>
  <c r="BU128" i="1"/>
  <c r="BO128" i="1"/>
  <c r="BJ128" i="1"/>
  <c r="BC128" i="1"/>
  <c r="AX128" i="1"/>
  <c r="BI128" i="1" s="1"/>
  <c r="AW128" i="1"/>
  <c r="AE128" i="1"/>
  <c r="Z128" i="1"/>
  <c r="AK128" i="1" s="1"/>
  <c r="BV128" i="1" s="1"/>
  <c r="BO127" i="1"/>
  <c r="BJ127" i="1"/>
  <c r="BU127" i="1" s="1"/>
  <c r="BC127" i="1"/>
  <c r="AX127" i="1"/>
  <c r="BI127" i="1" s="1"/>
  <c r="AW127" i="1"/>
  <c r="AQ127" i="1"/>
  <c r="AL127" i="1"/>
  <c r="AK127" i="1"/>
  <c r="BV127" i="1" s="1"/>
  <c r="AE127" i="1"/>
  <c r="Z127" i="1"/>
  <c r="BU126" i="1"/>
  <c r="BO126" i="1"/>
  <c r="BJ126" i="1"/>
  <c r="BC126" i="1"/>
  <c r="AX126" i="1"/>
  <c r="BI126" i="1" s="1"/>
  <c r="AW126" i="1"/>
  <c r="AK126" i="1"/>
  <c r="BU125" i="1"/>
  <c r="BO125" i="1"/>
  <c r="BJ125" i="1"/>
  <c r="BI125" i="1"/>
  <c r="BC125" i="1"/>
  <c r="AX125" i="1"/>
  <c r="AQ125" i="1"/>
  <c r="AL125" i="1"/>
  <c r="AW125" i="1" s="1"/>
  <c r="BV125" i="1" s="1"/>
  <c r="AK125" i="1"/>
  <c r="BU124" i="1"/>
  <c r="BO124" i="1"/>
  <c r="BJ124" i="1"/>
  <c r="BC124" i="1"/>
  <c r="AX124" i="1"/>
  <c r="BI124" i="1" s="1"/>
  <c r="AQ124" i="1"/>
  <c r="AL124" i="1"/>
  <c r="AW124" i="1" s="1"/>
  <c r="AK124" i="1"/>
  <c r="BV124" i="1" s="1"/>
  <c r="BO123" i="1"/>
  <c r="BJ123" i="1"/>
  <c r="BU123" i="1" s="1"/>
  <c r="BC123" i="1"/>
  <c r="AX123" i="1"/>
  <c r="BI123" i="1" s="1"/>
  <c r="AW123" i="1"/>
  <c r="AQ123" i="1"/>
  <c r="AL123" i="1"/>
  <c r="AK123" i="1"/>
  <c r="AE123" i="1"/>
  <c r="Z123" i="1"/>
  <c r="BU122" i="1"/>
  <c r="BO122" i="1"/>
  <c r="BJ122" i="1"/>
  <c r="BC122" i="1"/>
  <c r="AX122" i="1"/>
  <c r="BI122" i="1" s="1"/>
  <c r="AQ122" i="1"/>
  <c r="AL122" i="1"/>
  <c r="AW122" i="1" s="1"/>
  <c r="AK122" i="1"/>
  <c r="BV122" i="1" s="1"/>
  <c r="AE122" i="1"/>
  <c r="Z122" i="1"/>
  <c r="BU121" i="1"/>
  <c r="BO121" i="1"/>
  <c r="BJ121" i="1"/>
  <c r="BI121" i="1"/>
  <c r="BC121" i="1"/>
  <c r="AX121" i="1"/>
  <c r="AW121" i="1"/>
  <c r="AK121" i="1"/>
  <c r="BV121" i="1" s="1"/>
  <c r="AE121" i="1"/>
  <c r="Z121" i="1"/>
  <c r="BU120" i="1"/>
  <c r="BI120" i="1"/>
  <c r="AW120" i="1"/>
  <c r="AK120" i="1"/>
  <c r="BV120" i="1" s="1"/>
  <c r="BU119" i="1"/>
  <c r="BJ119" i="1"/>
  <c r="AX119" i="1"/>
  <c r="BI119" i="1" s="1"/>
  <c r="BV119" i="1" s="1"/>
  <c r="AW119" i="1"/>
  <c r="AK119" i="1"/>
  <c r="BU118" i="1"/>
  <c r="BJ118" i="1"/>
  <c r="BI118" i="1"/>
  <c r="AX118" i="1"/>
  <c r="AW118" i="1"/>
  <c r="AK118" i="1"/>
  <c r="BV118" i="1" s="1"/>
  <c r="BJ117" i="1"/>
  <c r="BU117" i="1" s="1"/>
  <c r="BI117" i="1"/>
  <c r="AX117" i="1"/>
  <c r="AL117" i="1"/>
  <c r="AW117" i="1" s="1"/>
  <c r="AK117" i="1"/>
  <c r="BV117" i="1" s="1"/>
  <c r="Z117" i="1"/>
  <c r="BU116" i="1"/>
  <c r="BJ116" i="1"/>
  <c r="BI116" i="1"/>
  <c r="AX116" i="1"/>
  <c r="AW116" i="1"/>
  <c r="AL116" i="1"/>
  <c r="AK116" i="1"/>
  <c r="BV116" i="1" s="1"/>
  <c r="Z116" i="1"/>
  <c r="BU115" i="1"/>
  <c r="BJ115" i="1"/>
  <c r="AX115" i="1"/>
  <c r="BI115" i="1" s="1"/>
  <c r="AW115" i="1"/>
  <c r="AL115" i="1"/>
  <c r="Z115" i="1"/>
  <c r="AK115" i="1" s="1"/>
  <c r="BU114" i="1"/>
  <c r="BJ114" i="1"/>
  <c r="BI114" i="1"/>
  <c r="AX114" i="1"/>
  <c r="AW114" i="1"/>
  <c r="AL114" i="1"/>
  <c r="AK114" i="1"/>
  <c r="BV114" i="1" s="1"/>
  <c r="Z114" i="1"/>
  <c r="BJ113" i="1"/>
  <c r="BU113" i="1" s="1"/>
  <c r="BI113" i="1"/>
  <c r="AX113" i="1"/>
  <c r="AL113" i="1"/>
  <c r="AW113" i="1" s="1"/>
  <c r="AK113" i="1"/>
  <c r="BV113" i="1" s="1"/>
  <c r="Z113" i="1"/>
  <c r="BU112" i="1"/>
  <c r="BJ112" i="1"/>
  <c r="BI112" i="1"/>
  <c r="AX112" i="1"/>
  <c r="AW112" i="1"/>
  <c r="AL112" i="1"/>
  <c r="AK112" i="1"/>
  <c r="BV112" i="1" s="1"/>
  <c r="Z112" i="1"/>
  <c r="BU111" i="1"/>
  <c r="BJ111" i="1"/>
  <c r="AX111" i="1"/>
  <c r="BI111" i="1" s="1"/>
  <c r="AW111" i="1"/>
  <c r="AL111" i="1"/>
  <c r="Z111" i="1"/>
  <c r="AK111" i="1" s="1"/>
  <c r="BU110" i="1"/>
  <c r="BJ110" i="1"/>
  <c r="BI110" i="1"/>
  <c r="AX110" i="1"/>
  <c r="AW110" i="1"/>
  <c r="AL110" i="1"/>
  <c r="AK110" i="1"/>
  <c r="BV110" i="1" s="1"/>
  <c r="Z110" i="1"/>
  <c r="BJ109" i="1"/>
  <c r="BU109" i="1" s="1"/>
  <c r="BI109" i="1"/>
  <c r="AX109" i="1"/>
  <c r="AL109" i="1"/>
  <c r="AW109" i="1" s="1"/>
  <c r="AK109" i="1"/>
  <c r="BV109" i="1" s="1"/>
  <c r="Z109" i="1"/>
  <c r="BU108" i="1"/>
  <c r="BO108" i="1"/>
  <c r="BJ108" i="1"/>
  <c r="BC108" i="1"/>
  <c r="AX108" i="1"/>
  <c r="BI108" i="1" s="1"/>
  <c r="AQ108" i="1"/>
  <c r="AL108" i="1"/>
  <c r="AW108" i="1" s="1"/>
  <c r="AK108" i="1"/>
  <c r="AE108" i="1"/>
  <c r="Z108" i="1"/>
  <c r="BU107" i="1"/>
  <c r="BO107" i="1"/>
  <c r="BJ107" i="1"/>
  <c r="BI107" i="1"/>
  <c r="BC107" i="1"/>
  <c r="AX107" i="1"/>
  <c r="AQ107" i="1"/>
  <c r="AL107" i="1"/>
  <c r="AW107" i="1" s="1"/>
  <c r="AE107" i="1"/>
  <c r="Z107" i="1"/>
  <c r="AK107" i="1" s="1"/>
  <c r="BO106" i="1"/>
  <c r="BJ106" i="1"/>
  <c r="BU106" i="1" s="1"/>
  <c r="BI106" i="1"/>
  <c r="BC106" i="1"/>
  <c r="AX106" i="1"/>
  <c r="AW106" i="1"/>
  <c r="AK106" i="1"/>
  <c r="BV106" i="1" s="1"/>
  <c r="BO105" i="1"/>
  <c r="BJ105" i="1"/>
  <c r="BU105" i="1" s="1"/>
  <c r="BC105" i="1"/>
  <c r="AX105" i="1"/>
  <c r="BI105" i="1" s="1"/>
  <c r="AW105" i="1"/>
  <c r="AK105" i="1"/>
  <c r="BU104" i="1"/>
  <c r="BO104" i="1"/>
  <c r="BJ104" i="1"/>
  <c r="BC104" i="1"/>
  <c r="AX104" i="1"/>
  <c r="BI104" i="1" s="1"/>
  <c r="AQ104" i="1"/>
  <c r="AL104" i="1"/>
  <c r="AW104" i="1" s="1"/>
  <c r="AK104" i="1"/>
  <c r="BV104" i="1" s="1"/>
  <c r="AE104" i="1"/>
  <c r="Z104" i="1"/>
  <c r="BU103" i="1"/>
  <c r="BO103" i="1"/>
  <c r="BJ103" i="1"/>
  <c r="BI103" i="1"/>
  <c r="BC103" i="1"/>
  <c r="AX103" i="1"/>
  <c r="AQ103" i="1"/>
  <c r="AL103" i="1"/>
  <c r="AW103" i="1" s="1"/>
  <c r="AE103" i="1"/>
  <c r="Z103" i="1"/>
  <c r="AK103" i="1" s="1"/>
  <c r="BU102" i="1"/>
  <c r="BO102" i="1"/>
  <c r="BI102" i="1"/>
  <c r="BC102" i="1"/>
  <c r="AW102" i="1"/>
  <c r="AQ102" i="1"/>
  <c r="AK102" i="1"/>
  <c r="BV102" i="1" s="1"/>
  <c r="AE102" i="1"/>
  <c r="BO101" i="1"/>
  <c r="BU101" i="1" s="1"/>
  <c r="BI101" i="1"/>
  <c r="BC101" i="1"/>
  <c r="AQ101" i="1"/>
  <c r="AW101" i="1" s="1"/>
  <c r="AK101" i="1"/>
  <c r="AE101" i="1"/>
  <c r="BU100" i="1"/>
  <c r="BO100" i="1"/>
  <c r="BI100" i="1"/>
  <c r="BC100" i="1"/>
  <c r="AW100" i="1"/>
  <c r="AK100" i="1"/>
  <c r="BV100" i="1" s="1"/>
  <c r="AE100" i="1"/>
  <c r="BU99" i="1"/>
  <c r="BO99" i="1"/>
  <c r="BI99" i="1"/>
  <c r="BC99" i="1"/>
  <c r="AW99" i="1"/>
  <c r="AQ99" i="1"/>
  <c r="AK99" i="1"/>
  <c r="BV99" i="1" s="1"/>
  <c r="AE99" i="1"/>
  <c r="BU98" i="1"/>
  <c r="BO98" i="1"/>
  <c r="BC98" i="1"/>
  <c r="BI98" i="1" s="1"/>
  <c r="AW98" i="1"/>
  <c r="AQ98" i="1"/>
  <c r="AE98" i="1"/>
  <c r="AK98" i="1" s="1"/>
  <c r="BU97" i="1"/>
  <c r="BO97" i="1"/>
  <c r="BI97" i="1"/>
  <c r="BC97" i="1"/>
  <c r="AW97" i="1"/>
  <c r="AQ97" i="1"/>
  <c r="AK97" i="1"/>
  <c r="BV97" i="1" s="1"/>
  <c r="BU96" i="1"/>
  <c r="BO96" i="1"/>
  <c r="BI96" i="1"/>
  <c r="BC96" i="1"/>
  <c r="AW96" i="1"/>
  <c r="AQ96" i="1"/>
  <c r="AK96" i="1"/>
  <c r="BV96" i="1" s="1"/>
  <c r="AE96" i="1"/>
  <c r="BO95" i="1"/>
  <c r="BU95" i="1" s="1"/>
  <c r="BI95" i="1"/>
  <c r="BC95" i="1"/>
  <c r="AQ95" i="1"/>
  <c r="AW95" i="1" s="1"/>
  <c r="AK95" i="1"/>
  <c r="AE95" i="1"/>
  <c r="BU94" i="1"/>
  <c r="BO94" i="1"/>
  <c r="BI94" i="1"/>
  <c r="BC94" i="1"/>
  <c r="AW94" i="1"/>
  <c r="AQ94" i="1"/>
  <c r="AK94" i="1"/>
  <c r="BV94" i="1" s="1"/>
  <c r="AE94" i="1"/>
  <c r="BU93" i="1"/>
  <c r="BO93" i="1"/>
  <c r="BJ93" i="1"/>
  <c r="BI93" i="1"/>
  <c r="BC93" i="1"/>
  <c r="AX93" i="1"/>
  <c r="AQ93" i="1"/>
  <c r="AL93" i="1"/>
  <c r="AW93" i="1" s="1"/>
  <c r="AE93" i="1"/>
  <c r="Z93" i="1"/>
  <c r="AK93" i="1" s="1"/>
  <c r="BV93" i="1" s="1"/>
  <c r="BO92" i="1"/>
  <c r="BJ92" i="1"/>
  <c r="BU92" i="1" s="1"/>
  <c r="BI92" i="1"/>
  <c r="BC92" i="1"/>
  <c r="AX92" i="1"/>
  <c r="AW92" i="1"/>
  <c r="BV92" i="1" s="1"/>
  <c r="AQ92" i="1"/>
  <c r="AL92" i="1"/>
  <c r="AK92" i="1"/>
  <c r="BU91" i="1"/>
  <c r="BO91" i="1"/>
  <c r="BJ91" i="1"/>
  <c r="BI91" i="1"/>
  <c r="BC91" i="1"/>
  <c r="AX91" i="1"/>
  <c r="AQ91" i="1"/>
  <c r="AL91" i="1"/>
  <c r="AW91" i="1" s="1"/>
  <c r="AE91" i="1"/>
  <c r="Z91" i="1"/>
  <c r="AK91" i="1" s="1"/>
  <c r="BV91" i="1" s="1"/>
  <c r="BO90" i="1"/>
  <c r="BJ90" i="1"/>
  <c r="BU90" i="1" s="1"/>
  <c r="BI90" i="1"/>
  <c r="BC90" i="1"/>
  <c r="AX90" i="1"/>
  <c r="AW90" i="1"/>
  <c r="AK90" i="1"/>
  <c r="BV90" i="1" s="1"/>
  <c r="AE90" i="1"/>
  <c r="Z90" i="1"/>
  <c r="BU89" i="1"/>
  <c r="BO89" i="1"/>
  <c r="BJ89" i="1"/>
  <c r="BI89" i="1"/>
  <c r="BC89" i="1"/>
  <c r="AX89" i="1"/>
  <c r="AQ89" i="1"/>
  <c r="AL89" i="1"/>
  <c r="AW89" i="1" s="1"/>
  <c r="AE89" i="1"/>
  <c r="Z89" i="1"/>
  <c r="AK89" i="1" s="1"/>
  <c r="BO88" i="1"/>
  <c r="BJ88" i="1"/>
  <c r="BU88" i="1" s="1"/>
  <c r="BI88" i="1"/>
  <c r="BC88" i="1"/>
  <c r="AX88" i="1"/>
  <c r="AW88" i="1"/>
  <c r="AQ88" i="1"/>
  <c r="AL88" i="1"/>
  <c r="AE88" i="1"/>
  <c r="Z88" i="1"/>
  <c r="AK88" i="1" s="1"/>
  <c r="BV88" i="1" s="1"/>
  <c r="BO87" i="1"/>
  <c r="BJ87" i="1"/>
  <c r="BU87" i="1" s="1"/>
  <c r="BC87" i="1"/>
  <c r="AX87" i="1"/>
  <c r="BI87" i="1" s="1"/>
  <c r="AW87" i="1"/>
  <c r="AQ87" i="1"/>
  <c r="AL87" i="1"/>
  <c r="AK87" i="1"/>
  <c r="BV87" i="1" s="1"/>
  <c r="AE87" i="1"/>
  <c r="Z87" i="1"/>
  <c r="BU86" i="1"/>
  <c r="BO86" i="1"/>
  <c r="BJ86" i="1"/>
  <c r="BC86" i="1"/>
  <c r="AX86" i="1"/>
  <c r="BI86" i="1" s="1"/>
  <c r="AQ86" i="1"/>
  <c r="AL86" i="1"/>
  <c r="AW86" i="1" s="1"/>
  <c r="AK86" i="1"/>
  <c r="BV86" i="1" s="1"/>
  <c r="AE86" i="1"/>
  <c r="Z86" i="1"/>
  <c r="BO85" i="1"/>
  <c r="BK85" i="1"/>
  <c r="BJ85" i="1"/>
  <c r="BU85" i="1" s="1"/>
  <c r="BC85" i="1"/>
  <c r="AY85" i="1"/>
  <c r="AX85" i="1"/>
  <c r="BI85" i="1" s="1"/>
  <c r="AQ85" i="1"/>
  <c r="AM85" i="1"/>
  <c r="AL85" i="1"/>
  <c r="AW85" i="1" s="1"/>
  <c r="AE85" i="1"/>
  <c r="AA85" i="1"/>
  <c r="Z85" i="1"/>
  <c r="AK85" i="1" s="1"/>
  <c r="BV85" i="1" s="1"/>
  <c r="BO84" i="1"/>
  <c r="BK84" i="1"/>
  <c r="BJ84" i="1"/>
  <c r="BU84" i="1" s="1"/>
  <c r="BC84" i="1"/>
  <c r="AY84" i="1"/>
  <c r="AX84" i="1"/>
  <c r="BI84" i="1" s="1"/>
  <c r="AQ84" i="1"/>
  <c r="AM84" i="1"/>
  <c r="AL84" i="1"/>
  <c r="AW84" i="1" s="1"/>
  <c r="AE84" i="1"/>
  <c r="AA84" i="1"/>
  <c r="Z84" i="1"/>
  <c r="AK84" i="1" s="1"/>
  <c r="BV84" i="1" s="1"/>
  <c r="BO83" i="1"/>
  <c r="BK83" i="1"/>
  <c r="BJ83" i="1"/>
  <c r="BU83" i="1" s="1"/>
  <c r="BC83" i="1"/>
  <c r="AY83" i="1"/>
  <c r="AX83" i="1"/>
  <c r="BI83" i="1" s="1"/>
  <c r="AQ83" i="1"/>
  <c r="AM83" i="1"/>
  <c r="AL83" i="1"/>
  <c r="AW83" i="1" s="1"/>
  <c r="AE83" i="1"/>
  <c r="AA83" i="1"/>
  <c r="Z83" i="1"/>
  <c r="AK83" i="1" s="1"/>
  <c r="BV83" i="1" s="1"/>
  <c r="BU82" i="1"/>
  <c r="BO82" i="1"/>
  <c r="BK82" i="1"/>
  <c r="BJ82" i="1"/>
  <c r="BI82" i="1"/>
  <c r="BC82" i="1"/>
  <c r="AY82" i="1"/>
  <c r="AX82" i="1"/>
  <c r="AW82" i="1"/>
  <c r="AQ82" i="1"/>
  <c r="AM82" i="1"/>
  <c r="AL82" i="1"/>
  <c r="AK82" i="1"/>
  <c r="BV82" i="1" s="1"/>
  <c r="AE82" i="1"/>
  <c r="AA82" i="1"/>
  <c r="Z82" i="1"/>
  <c r="BO81" i="1"/>
  <c r="BK81" i="1"/>
  <c r="BJ81" i="1"/>
  <c r="BU81" i="1" s="1"/>
  <c r="BC81" i="1"/>
  <c r="AY81" i="1"/>
  <c r="AX81" i="1"/>
  <c r="BI81" i="1" s="1"/>
  <c r="AQ81" i="1"/>
  <c r="AM81" i="1"/>
  <c r="AL81" i="1"/>
  <c r="AW81" i="1" s="1"/>
  <c r="BV81" i="1" s="1"/>
  <c r="AK81" i="1"/>
  <c r="BO80" i="1"/>
  <c r="BK80" i="1"/>
  <c r="BJ80" i="1"/>
  <c r="BC80" i="1"/>
  <c r="AY80" i="1"/>
  <c r="AX80" i="1"/>
  <c r="AQ80" i="1"/>
  <c r="AM80" i="1"/>
  <c r="AL80" i="1"/>
  <c r="AW80" i="1" s="1"/>
  <c r="AK80" i="1"/>
  <c r="BO79" i="1"/>
  <c r="BK79" i="1"/>
  <c r="BJ79" i="1"/>
  <c r="BU79" i="1" s="1"/>
  <c r="BC79" i="1"/>
  <c r="AY79" i="1"/>
  <c r="AX79" i="1"/>
  <c r="BI79" i="1" s="1"/>
  <c r="BV79" i="1" s="1"/>
  <c r="AW79" i="1"/>
  <c r="AK79" i="1"/>
  <c r="BU78" i="1"/>
  <c r="BO78" i="1"/>
  <c r="BK78" i="1"/>
  <c r="BJ78" i="1"/>
  <c r="BI78" i="1"/>
  <c r="BC78" i="1"/>
  <c r="AY78" i="1"/>
  <c r="AX78" i="1"/>
  <c r="AW78" i="1"/>
  <c r="AK78" i="1"/>
  <c r="BV78" i="1" s="1"/>
  <c r="BO77" i="1"/>
  <c r="BK77" i="1"/>
  <c r="BJ77" i="1"/>
  <c r="BU77" i="1" s="1"/>
  <c r="BC77" i="1"/>
  <c r="AY77" i="1"/>
  <c r="AX77" i="1"/>
  <c r="AQ77" i="1"/>
  <c r="AM77" i="1"/>
  <c r="AL77" i="1"/>
  <c r="AE77" i="1"/>
  <c r="AA77" i="1"/>
  <c r="Z77" i="1"/>
  <c r="AK77" i="1" s="1"/>
  <c r="BU76" i="1"/>
  <c r="BO76" i="1"/>
  <c r="BK76" i="1"/>
  <c r="BJ76" i="1"/>
  <c r="BI76" i="1"/>
  <c r="BC76" i="1"/>
  <c r="AY76" i="1"/>
  <c r="AX76" i="1"/>
  <c r="AW76" i="1"/>
  <c r="AQ76" i="1"/>
  <c r="AM76" i="1"/>
  <c r="AL76" i="1"/>
  <c r="AK76" i="1"/>
  <c r="BV76" i="1" s="1"/>
  <c r="AE76" i="1"/>
  <c r="AA76" i="1"/>
  <c r="Z76" i="1"/>
  <c r="BO75" i="1"/>
  <c r="BK75" i="1"/>
  <c r="BJ75" i="1"/>
  <c r="BU75" i="1" s="1"/>
  <c r="BC75" i="1"/>
  <c r="AY75" i="1"/>
  <c r="AX75" i="1"/>
  <c r="BI75" i="1" s="1"/>
  <c r="AQ75" i="1"/>
  <c r="AM75" i="1"/>
  <c r="AL75" i="1"/>
  <c r="AW75" i="1" s="1"/>
  <c r="AE75" i="1"/>
  <c r="AA75" i="1"/>
  <c r="Z75" i="1"/>
  <c r="AK75" i="1" s="1"/>
  <c r="BV75" i="1" s="1"/>
  <c r="BO74" i="1"/>
  <c r="BK74" i="1"/>
  <c r="BJ74" i="1"/>
  <c r="BU74" i="1" s="1"/>
  <c r="BC74" i="1"/>
  <c r="AY74" i="1"/>
  <c r="AX74" i="1"/>
  <c r="AQ74" i="1"/>
  <c r="AM74" i="1"/>
  <c r="AL74" i="1"/>
  <c r="AW74" i="1" s="1"/>
  <c r="AE74" i="1"/>
  <c r="AA74" i="1"/>
  <c r="Z74" i="1"/>
  <c r="BO73" i="1"/>
  <c r="BK73" i="1"/>
  <c r="BK270" i="1" s="1"/>
  <c r="BJ73" i="1"/>
  <c r="BU73" i="1" s="1"/>
  <c r="BC73" i="1"/>
  <c r="AY73" i="1"/>
  <c r="AY270" i="1" s="1"/>
  <c r="AX73" i="1"/>
  <c r="AQ73" i="1"/>
  <c r="AM73" i="1"/>
  <c r="AM270" i="1" s="1"/>
  <c r="AL73" i="1"/>
  <c r="AE73" i="1"/>
  <c r="AA73" i="1"/>
  <c r="AA270" i="1" s="1"/>
  <c r="Z73" i="1"/>
  <c r="BU72" i="1"/>
  <c r="BN72" i="1"/>
  <c r="BJ72" i="1"/>
  <c r="BB72" i="1"/>
  <c r="AX72" i="1"/>
  <c r="BI72" i="1" s="1"/>
  <c r="AP72" i="1"/>
  <c r="AL72" i="1"/>
  <c r="AW72" i="1" s="1"/>
  <c r="AK72" i="1"/>
  <c r="BN71" i="1"/>
  <c r="BJ71" i="1"/>
  <c r="BB71" i="1"/>
  <c r="AX71" i="1"/>
  <c r="BI71" i="1" s="1"/>
  <c r="AW71" i="1"/>
  <c r="AK71" i="1"/>
  <c r="BU70" i="1"/>
  <c r="BN70" i="1"/>
  <c r="BJ70" i="1"/>
  <c r="BB70" i="1"/>
  <c r="AX70" i="1"/>
  <c r="BI70" i="1" s="1"/>
  <c r="AW70" i="1"/>
  <c r="AK70" i="1"/>
  <c r="BU69" i="1"/>
  <c r="BN69" i="1"/>
  <c r="BJ69" i="1"/>
  <c r="BB69" i="1"/>
  <c r="AX69" i="1"/>
  <c r="BI69" i="1" s="1"/>
  <c r="AP69" i="1"/>
  <c r="AL69" i="1"/>
  <c r="AK69" i="1"/>
  <c r="BN68" i="1"/>
  <c r="BJ68" i="1"/>
  <c r="BU68" i="1" s="1"/>
  <c r="BB68" i="1"/>
  <c r="AX68" i="1"/>
  <c r="AP68" i="1"/>
  <c r="AL68" i="1"/>
  <c r="AW68" i="1" s="1"/>
  <c r="AD68" i="1"/>
  <c r="AK68" i="1" s="1"/>
  <c r="Z68" i="1"/>
  <c r="BN67" i="1"/>
  <c r="BU67" i="1" s="1"/>
  <c r="BJ67" i="1"/>
  <c r="BI67" i="1"/>
  <c r="BB67" i="1"/>
  <c r="AX67" i="1"/>
  <c r="AP67" i="1"/>
  <c r="AL67" i="1"/>
  <c r="AW67" i="1" s="1"/>
  <c r="BV67" i="1" s="1"/>
  <c r="AK67" i="1"/>
  <c r="AD67" i="1"/>
  <c r="Z67" i="1"/>
  <c r="BU66" i="1"/>
  <c r="BN66" i="1"/>
  <c r="BJ66" i="1"/>
  <c r="BI66" i="1"/>
  <c r="BB66" i="1"/>
  <c r="AX66" i="1"/>
  <c r="AP66" i="1"/>
  <c r="AL66" i="1"/>
  <c r="AW66" i="1" s="1"/>
  <c r="BV66" i="1" s="1"/>
  <c r="AK66" i="1"/>
  <c r="BU65" i="1"/>
  <c r="BN65" i="1"/>
  <c r="BJ65" i="1"/>
  <c r="BB65" i="1"/>
  <c r="AX65" i="1"/>
  <c r="BI65" i="1" s="1"/>
  <c r="AP65" i="1"/>
  <c r="AL65" i="1"/>
  <c r="AK65" i="1"/>
  <c r="BN64" i="1"/>
  <c r="BU64" i="1" s="1"/>
  <c r="BJ64" i="1"/>
  <c r="BB64" i="1"/>
  <c r="AX64" i="1"/>
  <c r="AW64" i="1"/>
  <c r="AK64" i="1"/>
  <c r="BN63" i="1"/>
  <c r="BU63" i="1" s="1"/>
  <c r="BJ63" i="1"/>
  <c r="BI63" i="1"/>
  <c r="BB63" i="1"/>
  <c r="AX63" i="1"/>
  <c r="AP63" i="1"/>
  <c r="AL63" i="1"/>
  <c r="AW63" i="1" s="1"/>
  <c r="AK63" i="1"/>
  <c r="BN62" i="1"/>
  <c r="BJ62" i="1"/>
  <c r="BU62" i="1" s="1"/>
  <c r="BB62" i="1"/>
  <c r="AX62" i="1"/>
  <c r="BI62" i="1" s="1"/>
  <c r="AP62" i="1"/>
  <c r="AL62" i="1"/>
  <c r="AW62" i="1" s="1"/>
  <c r="AK62" i="1"/>
  <c r="BN61" i="1"/>
  <c r="BJ61" i="1"/>
  <c r="BB61" i="1"/>
  <c r="AX61" i="1"/>
  <c r="BI61" i="1" s="1"/>
  <c r="AP61" i="1"/>
  <c r="AW61" i="1" s="1"/>
  <c r="AL61" i="1"/>
  <c r="AK61" i="1"/>
  <c r="BN60" i="1"/>
  <c r="BJ60" i="1"/>
  <c r="BU60" i="1" s="1"/>
  <c r="BB60" i="1"/>
  <c r="BI60" i="1" s="1"/>
  <c r="AX60" i="1"/>
  <c r="AW60" i="1"/>
  <c r="AP60" i="1"/>
  <c r="AL60" i="1"/>
  <c r="AK60" i="1"/>
  <c r="BN59" i="1"/>
  <c r="BU59" i="1" s="1"/>
  <c r="BJ59" i="1"/>
  <c r="BI59" i="1"/>
  <c r="BB59" i="1"/>
  <c r="AX59" i="1"/>
  <c r="AW59" i="1"/>
  <c r="AK59" i="1"/>
  <c r="BV59" i="1" s="1"/>
  <c r="AD59" i="1"/>
  <c r="Z59" i="1"/>
  <c r="BN58" i="1"/>
  <c r="BJ58" i="1"/>
  <c r="BU58" i="1" s="1"/>
  <c r="BB58" i="1"/>
  <c r="AX58" i="1"/>
  <c r="AW58" i="1"/>
  <c r="AP58" i="1"/>
  <c r="AL58" i="1"/>
  <c r="AD58" i="1"/>
  <c r="Z58" i="1"/>
  <c r="V58" i="1"/>
  <c r="BU57" i="1"/>
  <c r="BM57" i="1"/>
  <c r="BI57" i="1"/>
  <c r="BA57" i="1"/>
  <c r="AW57" i="1"/>
  <c r="AO57" i="1"/>
  <c r="AK57" i="1"/>
  <c r="BV57" i="1" s="1"/>
  <c r="AC57" i="1"/>
  <c r="BM56" i="1"/>
  <c r="BU56" i="1" s="1"/>
  <c r="BI56" i="1"/>
  <c r="BV56" i="1" s="1"/>
  <c r="BA56" i="1"/>
  <c r="AW56" i="1"/>
  <c r="AK56" i="1"/>
  <c r="BU55" i="1"/>
  <c r="BM55" i="1"/>
  <c r="BA55" i="1"/>
  <c r="BI55" i="1" s="1"/>
  <c r="BV55" i="1" s="1"/>
  <c r="AW55" i="1"/>
  <c r="AO55" i="1"/>
  <c r="AC55" i="1"/>
  <c r="AK55" i="1" s="1"/>
  <c r="BM54" i="1"/>
  <c r="BU54" i="1" s="1"/>
  <c r="BA54" i="1"/>
  <c r="BI54" i="1" s="1"/>
  <c r="AO54" i="1"/>
  <c r="AW54" i="1" s="1"/>
  <c r="AK54" i="1"/>
  <c r="BM53" i="1"/>
  <c r="BU53" i="1" s="1"/>
  <c r="BA53" i="1"/>
  <c r="BI53" i="1" s="1"/>
  <c r="AO53" i="1"/>
  <c r="AW53" i="1" s="1"/>
  <c r="AK53" i="1"/>
  <c r="AC53" i="1"/>
  <c r="BU52" i="1"/>
  <c r="BM52" i="1"/>
  <c r="BI52" i="1"/>
  <c r="BA52" i="1"/>
  <c r="AW52" i="1"/>
  <c r="AO52" i="1"/>
  <c r="AK52" i="1"/>
  <c r="AC52" i="1"/>
  <c r="BM51" i="1"/>
  <c r="BU51" i="1" s="1"/>
  <c r="BA51" i="1"/>
  <c r="BI51" i="1" s="1"/>
  <c r="AW51" i="1"/>
  <c r="AO51" i="1"/>
  <c r="AC51" i="1"/>
  <c r="AK51" i="1" s="1"/>
  <c r="BV51" i="1" s="1"/>
  <c r="BU50" i="1"/>
  <c r="BM50" i="1"/>
  <c r="BI50" i="1"/>
  <c r="BA50" i="1"/>
  <c r="AW50" i="1"/>
  <c r="AO50" i="1"/>
  <c r="AK50" i="1"/>
  <c r="BV50" i="1" s="1"/>
  <c r="AC50" i="1"/>
  <c r="BM49" i="1"/>
  <c r="BU49" i="1" s="1"/>
  <c r="BI49" i="1"/>
  <c r="BA49" i="1"/>
  <c r="AO49" i="1"/>
  <c r="AW49" i="1" s="1"/>
  <c r="AC49" i="1"/>
  <c r="AK49" i="1" s="1"/>
  <c r="BV49" i="1" s="1"/>
  <c r="BM48" i="1"/>
  <c r="BU48" i="1" s="1"/>
  <c r="BI48" i="1"/>
  <c r="BA48" i="1"/>
  <c r="AO48" i="1"/>
  <c r="AW48" i="1" s="1"/>
  <c r="AK48" i="1"/>
  <c r="AC48" i="1"/>
  <c r="BU47" i="1"/>
  <c r="BM47" i="1"/>
  <c r="BA47" i="1"/>
  <c r="BI47" i="1" s="1"/>
  <c r="AO47" i="1"/>
  <c r="AW47" i="1" s="1"/>
  <c r="AC47" i="1"/>
  <c r="AK47" i="1" s="1"/>
  <c r="BU46" i="1"/>
  <c r="BM46" i="1"/>
  <c r="BA46" i="1"/>
  <c r="BI46" i="1" s="1"/>
  <c r="AW46" i="1"/>
  <c r="AO46" i="1"/>
  <c r="AC46" i="1"/>
  <c r="AK46" i="1" s="1"/>
  <c r="BV46" i="1" s="1"/>
  <c r="BM45" i="1"/>
  <c r="BU45" i="1" s="1"/>
  <c r="BA45" i="1"/>
  <c r="BI45" i="1" s="1"/>
  <c r="AW45" i="1"/>
  <c r="AK45" i="1"/>
  <c r="BV45" i="1" s="1"/>
  <c r="BU44" i="1"/>
  <c r="BM44" i="1"/>
  <c r="BI44" i="1"/>
  <c r="BA44" i="1"/>
  <c r="AW44" i="1"/>
  <c r="AO44" i="1"/>
  <c r="AK44" i="1"/>
  <c r="BV44" i="1" s="1"/>
  <c r="AC44" i="1"/>
  <c r="BT43" i="1"/>
  <c r="BR43" i="1"/>
  <c r="BM43" i="1"/>
  <c r="BH43" i="1"/>
  <c r="BF43" i="1"/>
  <c r="BI43" i="1" s="1"/>
  <c r="BA43" i="1"/>
  <c r="AW43" i="1"/>
  <c r="AK43" i="1"/>
  <c r="BT42" i="1"/>
  <c r="BR42" i="1"/>
  <c r="BM42" i="1"/>
  <c r="BH42" i="1"/>
  <c r="BF42" i="1"/>
  <c r="BA42" i="1"/>
  <c r="AV42" i="1"/>
  <c r="AT42" i="1"/>
  <c r="AO42" i="1"/>
  <c r="AW42" i="1" s="1"/>
  <c r="AJ42" i="1"/>
  <c r="AH42" i="1"/>
  <c r="AC42" i="1"/>
  <c r="AK42" i="1" s="1"/>
  <c r="BU41" i="1"/>
  <c r="BT41" i="1"/>
  <c r="BR41" i="1"/>
  <c r="BM41" i="1"/>
  <c r="BI41" i="1"/>
  <c r="BH41" i="1"/>
  <c r="BF41" i="1"/>
  <c r="BA41" i="1"/>
  <c r="AW41" i="1"/>
  <c r="AV41" i="1"/>
  <c r="AT41" i="1"/>
  <c r="AO41" i="1"/>
  <c r="AK41" i="1"/>
  <c r="BV41" i="1" s="1"/>
  <c r="AJ41" i="1"/>
  <c r="AH41" i="1"/>
  <c r="AC41" i="1"/>
  <c r="BT40" i="1"/>
  <c r="BR40" i="1"/>
  <c r="BM40" i="1"/>
  <c r="BU40" i="1" s="1"/>
  <c r="BH40" i="1"/>
  <c r="BF40" i="1"/>
  <c r="BA40" i="1"/>
  <c r="AW40" i="1"/>
  <c r="AK40" i="1"/>
  <c r="BT39" i="1"/>
  <c r="BR39" i="1"/>
  <c r="BU39" i="1" s="1"/>
  <c r="BM39" i="1"/>
  <c r="BH39" i="1"/>
  <c r="BF39" i="1"/>
  <c r="BI39" i="1" s="1"/>
  <c r="BA39" i="1"/>
  <c r="AV39" i="1"/>
  <c r="AT39" i="1"/>
  <c r="AW39" i="1" s="1"/>
  <c r="AO39" i="1"/>
  <c r="AJ39" i="1"/>
  <c r="AH39" i="1"/>
  <c r="AK39" i="1" s="1"/>
  <c r="AC39" i="1"/>
  <c r="BT38" i="1"/>
  <c r="BR38" i="1"/>
  <c r="BM38" i="1"/>
  <c r="BU38" i="1" s="1"/>
  <c r="BH38" i="1"/>
  <c r="BF38" i="1"/>
  <c r="BA38" i="1"/>
  <c r="AV38" i="1"/>
  <c r="AT38" i="1"/>
  <c r="AO38" i="1"/>
  <c r="AJ38" i="1"/>
  <c r="AH38" i="1"/>
  <c r="AC38" i="1"/>
  <c r="AK38" i="1" s="1"/>
  <c r="BT37" i="1"/>
  <c r="BR37" i="1"/>
  <c r="BU37" i="1" s="1"/>
  <c r="BM37" i="1"/>
  <c r="BH37" i="1"/>
  <c r="BF37" i="1"/>
  <c r="BI37" i="1" s="1"/>
  <c r="BA37" i="1"/>
  <c r="AV37" i="1"/>
  <c r="AT37" i="1"/>
  <c r="AW37" i="1" s="1"/>
  <c r="AO37" i="1"/>
  <c r="AJ37" i="1"/>
  <c r="AH37" i="1"/>
  <c r="AK37" i="1" s="1"/>
  <c r="AC37" i="1"/>
  <c r="BT36" i="1"/>
  <c r="BR36" i="1"/>
  <c r="BM36" i="1"/>
  <c r="BU36" i="1" s="1"/>
  <c r="BH36" i="1"/>
  <c r="BF36" i="1"/>
  <c r="BA36" i="1"/>
  <c r="BI36" i="1" s="1"/>
  <c r="AV36" i="1"/>
  <c r="AT36" i="1"/>
  <c r="AO36" i="1"/>
  <c r="AJ36" i="1"/>
  <c r="AH36" i="1"/>
  <c r="AC36" i="1"/>
  <c r="BT35" i="1"/>
  <c r="BR35" i="1"/>
  <c r="BU35" i="1" s="1"/>
  <c r="BM35" i="1"/>
  <c r="BI35" i="1"/>
  <c r="BH35" i="1"/>
  <c r="BF35" i="1"/>
  <c r="BA35" i="1"/>
  <c r="AW35" i="1"/>
  <c r="AV35" i="1"/>
  <c r="AT35" i="1"/>
  <c r="AO35" i="1"/>
  <c r="AK35" i="1"/>
  <c r="AJ35" i="1"/>
  <c r="AH35" i="1"/>
  <c r="AC35" i="1"/>
  <c r="BT34" i="1"/>
  <c r="BR34" i="1"/>
  <c r="BM34" i="1"/>
  <c r="BH34" i="1"/>
  <c r="BF34" i="1"/>
  <c r="BA34" i="1"/>
  <c r="AV34" i="1"/>
  <c r="AT34" i="1"/>
  <c r="AO34" i="1"/>
  <c r="AW34" i="1" s="1"/>
  <c r="AJ34" i="1"/>
  <c r="AH34" i="1"/>
  <c r="AC34" i="1"/>
  <c r="AK34" i="1" s="1"/>
  <c r="BU33" i="1"/>
  <c r="BT33" i="1"/>
  <c r="BR33" i="1"/>
  <c r="BR270" i="1" s="1"/>
  <c r="BM33" i="1"/>
  <c r="BH33" i="1"/>
  <c r="BF33" i="1"/>
  <c r="BF270" i="1" s="1"/>
  <c r="BA33" i="1"/>
  <c r="AV33" i="1"/>
  <c r="AT33" i="1"/>
  <c r="AT270" i="1" s="1"/>
  <c r="AO33" i="1"/>
  <c r="AJ33" i="1"/>
  <c r="AH33" i="1"/>
  <c r="AH270" i="1" s="1"/>
  <c r="AC33" i="1"/>
  <c r="BO32" i="1"/>
  <c r="BL32" i="1"/>
  <c r="BJ32" i="1"/>
  <c r="BU32" i="1" s="1"/>
  <c r="BC32" i="1"/>
  <c r="AZ32" i="1"/>
  <c r="AX32" i="1"/>
  <c r="BI32" i="1" s="1"/>
  <c r="AQ32" i="1"/>
  <c r="AN32" i="1"/>
  <c r="AL32" i="1"/>
  <c r="AE32" i="1"/>
  <c r="AB32" i="1"/>
  <c r="Z32" i="1"/>
  <c r="BO31" i="1"/>
  <c r="BL31" i="1"/>
  <c r="BU31" i="1" s="1"/>
  <c r="BJ31" i="1"/>
  <c r="BC31" i="1"/>
  <c r="AZ31" i="1"/>
  <c r="BI31" i="1" s="1"/>
  <c r="AX31" i="1"/>
  <c r="AW31" i="1"/>
  <c r="AK31" i="1"/>
  <c r="BO30" i="1"/>
  <c r="BL30" i="1"/>
  <c r="BJ30" i="1"/>
  <c r="BU30" i="1" s="1"/>
  <c r="BC30" i="1"/>
  <c r="AZ30" i="1"/>
  <c r="AX30" i="1"/>
  <c r="AQ30" i="1"/>
  <c r="AN30" i="1"/>
  <c r="AL30" i="1"/>
  <c r="AE30" i="1"/>
  <c r="AB30" i="1"/>
  <c r="Z30" i="1"/>
  <c r="AK30" i="1" s="1"/>
  <c r="BO29" i="1"/>
  <c r="BL29" i="1"/>
  <c r="BU29" i="1" s="1"/>
  <c r="BJ29" i="1"/>
  <c r="BC29" i="1"/>
  <c r="AZ29" i="1"/>
  <c r="BI29" i="1" s="1"/>
  <c r="AX29" i="1"/>
  <c r="AQ29" i="1"/>
  <c r="AN29" i="1"/>
  <c r="AW29" i="1" s="1"/>
  <c r="AL29" i="1"/>
  <c r="AE29" i="1"/>
  <c r="AB29" i="1"/>
  <c r="AK29" i="1" s="1"/>
  <c r="Z29" i="1"/>
  <c r="BO28" i="1"/>
  <c r="BL28" i="1"/>
  <c r="BJ28" i="1"/>
  <c r="BU28" i="1" s="1"/>
  <c r="BC28" i="1"/>
  <c r="AZ28" i="1"/>
  <c r="AX28" i="1"/>
  <c r="BI28" i="1" s="1"/>
  <c r="AQ28" i="1"/>
  <c r="AN28" i="1"/>
  <c r="AL28" i="1"/>
  <c r="AE28" i="1"/>
  <c r="AB28" i="1"/>
  <c r="Z28" i="1"/>
  <c r="BO27" i="1"/>
  <c r="BL27" i="1"/>
  <c r="BU27" i="1" s="1"/>
  <c r="BJ27" i="1"/>
  <c r="BC27" i="1"/>
  <c r="AZ27" i="1"/>
  <c r="BI27" i="1" s="1"/>
  <c r="AX27" i="1"/>
  <c r="AQ27" i="1"/>
  <c r="AN27" i="1"/>
  <c r="AW27" i="1" s="1"/>
  <c r="AL27" i="1"/>
  <c r="AE27" i="1"/>
  <c r="AB27" i="1"/>
  <c r="AK27" i="1" s="1"/>
  <c r="Z27" i="1"/>
  <c r="BO26" i="1"/>
  <c r="BL26" i="1"/>
  <c r="BJ26" i="1"/>
  <c r="BC26" i="1"/>
  <c r="AZ26" i="1"/>
  <c r="AX26" i="1"/>
  <c r="AQ26" i="1"/>
  <c r="AN26" i="1"/>
  <c r="AL26" i="1"/>
  <c r="AW26" i="1" s="1"/>
  <c r="AE26" i="1"/>
  <c r="AB26" i="1"/>
  <c r="Z26" i="1"/>
  <c r="AK26" i="1" s="1"/>
  <c r="BU25" i="1"/>
  <c r="BO25" i="1"/>
  <c r="BL25" i="1"/>
  <c r="BJ25" i="1"/>
  <c r="BI25" i="1"/>
  <c r="BC25" i="1"/>
  <c r="AZ25" i="1"/>
  <c r="AX25" i="1"/>
  <c r="AW25" i="1"/>
  <c r="AQ25" i="1"/>
  <c r="AN25" i="1"/>
  <c r="AL25" i="1"/>
  <c r="AK25" i="1"/>
  <c r="BV25" i="1" s="1"/>
  <c r="AE25" i="1"/>
  <c r="AB25" i="1"/>
  <c r="Z25" i="1"/>
  <c r="BO24" i="1"/>
  <c r="BL24" i="1"/>
  <c r="BJ24" i="1"/>
  <c r="BU24" i="1" s="1"/>
  <c r="BC24" i="1"/>
  <c r="AZ24" i="1"/>
  <c r="AX24" i="1"/>
  <c r="AQ24" i="1"/>
  <c r="AN24" i="1"/>
  <c r="AL24" i="1"/>
  <c r="AE24" i="1"/>
  <c r="AB24" i="1"/>
  <c r="Z24" i="1"/>
  <c r="AK24" i="1" s="1"/>
  <c r="BO23" i="1"/>
  <c r="BL23" i="1"/>
  <c r="BU23" i="1" s="1"/>
  <c r="BJ23" i="1"/>
  <c r="BC23" i="1"/>
  <c r="AZ23" i="1"/>
  <c r="BI23" i="1" s="1"/>
  <c r="AX23" i="1"/>
  <c r="AW23" i="1"/>
  <c r="AQ23" i="1"/>
  <c r="AN23" i="1"/>
  <c r="AL23" i="1"/>
  <c r="AK23" i="1"/>
  <c r="AE23" i="1"/>
  <c r="AB23" i="1"/>
  <c r="Z23" i="1"/>
  <c r="BO22" i="1"/>
  <c r="BL22" i="1"/>
  <c r="BJ22" i="1"/>
  <c r="BU22" i="1" s="1"/>
  <c r="BC22" i="1"/>
  <c r="AZ22" i="1"/>
  <c r="AX22" i="1"/>
  <c r="AQ22" i="1"/>
  <c r="AN22" i="1"/>
  <c r="AL22" i="1"/>
  <c r="AE22" i="1"/>
  <c r="AB22" i="1"/>
  <c r="Z22" i="1"/>
  <c r="AK22" i="1" s="1"/>
  <c r="BO21" i="1"/>
  <c r="BL21" i="1"/>
  <c r="BU21" i="1" s="1"/>
  <c r="BJ21" i="1"/>
  <c r="BC21" i="1"/>
  <c r="AZ21" i="1"/>
  <c r="BI21" i="1" s="1"/>
  <c r="AX21" i="1"/>
  <c r="AQ21" i="1"/>
  <c r="AN21" i="1"/>
  <c r="AW21" i="1" s="1"/>
  <c r="AL21" i="1"/>
  <c r="AE21" i="1"/>
  <c r="AB21" i="1"/>
  <c r="AK21" i="1" s="1"/>
  <c r="Z21" i="1"/>
  <c r="BO20" i="1"/>
  <c r="BL20" i="1"/>
  <c r="BJ20" i="1"/>
  <c r="BU20" i="1" s="1"/>
  <c r="BC20" i="1"/>
  <c r="AZ20" i="1"/>
  <c r="AX20" i="1"/>
  <c r="BI20" i="1" s="1"/>
  <c r="AQ20" i="1"/>
  <c r="AN20" i="1"/>
  <c r="AL20" i="1"/>
  <c r="AE20" i="1"/>
  <c r="AB20" i="1"/>
  <c r="Z20" i="1"/>
  <c r="BO19" i="1"/>
  <c r="BL19" i="1"/>
  <c r="BU19" i="1" s="1"/>
  <c r="BJ19" i="1"/>
  <c r="BC19" i="1"/>
  <c r="AZ19" i="1"/>
  <c r="BI19" i="1" s="1"/>
  <c r="AX19" i="1"/>
  <c r="AQ19" i="1"/>
  <c r="AN19" i="1"/>
  <c r="AW19" i="1" s="1"/>
  <c r="AL19" i="1"/>
  <c r="AE19" i="1"/>
  <c r="AB19" i="1"/>
  <c r="AK19" i="1" s="1"/>
  <c r="Z19" i="1"/>
  <c r="BO18" i="1"/>
  <c r="BL18" i="1"/>
  <c r="BJ18" i="1"/>
  <c r="BC18" i="1"/>
  <c r="AZ18" i="1"/>
  <c r="AX18" i="1"/>
  <c r="BI18" i="1" s="1"/>
  <c r="AQ18" i="1"/>
  <c r="AN18" i="1"/>
  <c r="AL18" i="1"/>
  <c r="AW18" i="1" s="1"/>
  <c r="AE18" i="1"/>
  <c r="AB18" i="1"/>
  <c r="Z18" i="1"/>
  <c r="BU17" i="1"/>
  <c r="BI17" i="1"/>
  <c r="AW17" i="1"/>
  <c r="AK17" i="1"/>
  <c r="BO16" i="1"/>
  <c r="BL16" i="1"/>
  <c r="BJ16" i="1"/>
  <c r="BU16" i="1" s="1"/>
  <c r="BC16" i="1"/>
  <c r="AZ16" i="1"/>
  <c r="AX16" i="1"/>
  <c r="AQ16" i="1"/>
  <c r="AN16" i="1"/>
  <c r="AL16" i="1"/>
  <c r="AE16" i="1"/>
  <c r="AB16" i="1"/>
  <c r="Z16" i="1"/>
  <c r="AK16" i="1" s="1"/>
  <c r="BU15" i="1"/>
  <c r="BO15" i="1"/>
  <c r="BL15" i="1"/>
  <c r="BJ15" i="1"/>
  <c r="BI15" i="1"/>
  <c r="BC15" i="1"/>
  <c r="AZ15" i="1"/>
  <c r="AX15" i="1"/>
  <c r="AW15" i="1"/>
  <c r="AQ15" i="1"/>
  <c r="AN15" i="1"/>
  <c r="AL15" i="1"/>
  <c r="AK15" i="1"/>
  <c r="BV15" i="1" s="1"/>
  <c r="AE15" i="1"/>
  <c r="AB15" i="1"/>
  <c r="Z15" i="1"/>
  <c r="BO14" i="1"/>
  <c r="BL14" i="1"/>
  <c r="BJ14" i="1"/>
  <c r="BU14" i="1" s="1"/>
  <c r="BC14" i="1"/>
  <c r="AZ14" i="1"/>
  <c r="AX14" i="1"/>
  <c r="AQ14" i="1"/>
  <c r="AN14" i="1"/>
  <c r="AL14" i="1"/>
  <c r="AE14" i="1"/>
  <c r="AB14" i="1"/>
  <c r="Z14" i="1"/>
  <c r="AK14" i="1" s="1"/>
  <c r="BO13" i="1"/>
  <c r="BL13" i="1"/>
  <c r="BU13" i="1" s="1"/>
  <c r="BJ13" i="1"/>
  <c r="BC13" i="1"/>
  <c r="AZ13" i="1"/>
  <c r="BI13" i="1" s="1"/>
  <c r="AX13" i="1"/>
  <c r="AQ13" i="1"/>
  <c r="AN13" i="1"/>
  <c r="AW13" i="1" s="1"/>
  <c r="AL13" i="1"/>
  <c r="AE13" i="1"/>
  <c r="AB13" i="1"/>
  <c r="AK13" i="1" s="1"/>
  <c r="Z13" i="1"/>
  <c r="BO12" i="1"/>
  <c r="BL12" i="1"/>
  <c r="BJ12" i="1"/>
  <c r="BU12" i="1" s="1"/>
  <c r="BC12" i="1"/>
  <c r="AZ12" i="1"/>
  <c r="AX12" i="1"/>
  <c r="BI12" i="1" s="1"/>
  <c r="AQ12" i="1"/>
  <c r="AN12" i="1"/>
  <c r="AL12" i="1"/>
  <c r="AE12" i="1"/>
  <c r="AB12" i="1"/>
  <c r="Z12" i="1"/>
  <c r="BO11" i="1"/>
  <c r="BL11" i="1"/>
  <c r="BU11" i="1" s="1"/>
  <c r="BJ11" i="1"/>
  <c r="BC11" i="1"/>
  <c r="AZ11" i="1"/>
  <c r="BI11" i="1" s="1"/>
  <c r="AX11" i="1"/>
  <c r="AW11" i="1"/>
  <c r="AK11" i="1"/>
  <c r="BO10" i="1"/>
  <c r="BL10" i="1"/>
  <c r="BJ10" i="1"/>
  <c r="BU10" i="1" s="1"/>
  <c r="BC10" i="1"/>
  <c r="AZ10" i="1"/>
  <c r="AX10" i="1"/>
  <c r="AQ10" i="1"/>
  <c r="AN10" i="1"/>
  <c r="AL10" i="1"/>
  <c r="AE10" i="1"/>
  <c r="AB10" i="1"/>
  <c r="Z10" i="1"/>
  <c r="AK10" i="1" s="1"/>
  <c r="BO9" i="1"/>
  <c r="BL9" i="1"/>
  <c r="BU9" i="1" s="1"/>
  <c r="BJ9" i="1"/>
  <c r="BC9" i="1"/>
  <c r="AZ9" i="1"/>
  <c r="BI9" i="1" s="1"/>
  <c r="AX9" i="1"/>
  <c r="AQ9" i="1"/>
  <c r="AN9" i="1"/>
  <c r="AW9" i="1" s="1"/>
  <c r="AL9" i="1"/>
  <c r="AE9" i="1"/>
  <c r="AB9" i="1"/>
  <c r="AK9" i="1" s="1"/>
  <c r="Z9" i="1"/>
  <c r="BO8" i="1"/>
  <c r="BL8" i="1"/>
  <c r="BJ8" i="1"/>
  <c r="BU8" i="1" s="1"/>
  <c r="BC8" i="1"/>
  <c r="AZ8" i="1"/>
  <c r="AX8" i="1"/>
  <c r="BI8" i="1" s="1"/>
  <c r="AQ8" i="1"/>
  <c r="AN8" i="1"/>
  <c r="AL8" i="1"/>
  <c r="AW8" i="1" s="1"/>
  <c r="AE8" i="1"/>
  <c r="AB8" i="1"/>
  <c r="Z8" i="1"/>
  <c r="AK8" i="1" s="1"/>
  <c r="BV8" i="1" s="1"/>
  <c r="BO7" i="1"/>
  <c r="BL7" i="1"/>
  <c r="BU7" i="1" s="1"/>
  <c r="BJ7" i="1"/>
  <c r="BC7" i="1"/>
  <c r="AZ7" i="1"/>
  <c r="BI7" i="1" s="1"/>
  <c r="AX7" i="1"/>
  <c r="AQ7" i="1"/>
  <c r="AN7" i="1"/>
  <c r="AW7" i="1" s="1"/>
  <c r="AL7" i="1"/>
  <c r="AE7" i="1"/>
  <c r="AB7" i="1"/>
  <c r="AK7" i="1" s="1"/>
  <c r="Z7" i="1"/>
  <c r="BO6" i="1"/>
  <c r="BL6" i="1"/>
  <c r="BJ6" i="1"/>
  <c r="BU6" i="1" s="1"/>
  <c r="BC6" i="1"/>
  <c r="AZ6" i="1"/>
  <c r="AX6" i="1"/>
  <c r="BI6" i="1" s="1"/>
  <c r="AQ6" i="1"/>
  <c r="AN6" i="1"/>
  <c r="AL6" i="1"/>
  <c r="AW6" i="1" s="1"/>
  <c r="AK6" i="1"/>
  <c r="BO5" i="1"/>
  <c r="BL5" i="1"/>
  <c r="BJ5" i="1"/>
  <c r="BU5" i="1" s="1"/>
  <c r="BC5" i="1"/>
  <c r="AZ5" i="1"/>
  <c r="AX5" i="1"/>
  <c r="BI5" i="1" s="1"/>
  <c r="AQ5" i="1"/>
  <c r="AN5" i="1"/>
  <c r="AL5" i="1"/>
  <c r="AW5" i="1" s="1"/>
  <c r="AE5" i="1"/>
  <c r="AB5" i="1"/>
  <c r="Z5" i="1"/>
  <c r="AK5" i="1" s="1"/>
  <c r="BV5" i="1" s="1"/>
  <c r="BO4" i="1"/>
  <c r="BL4" i="1"/>
  <c r="BU4" i="1" s="1"/>
  <c r="BJ4" i="1"/>
  <c r="BC4" i="1"/>
  <c r="AZ4" i="1"/>
  <c r="BI4" i="1" s="1"/>
  <c r="AX4" i="1"/>
  <c r="AW4" i="1"/>
  <c r="AK4" i="1"/>
  <c r="BO3" i="1"/>
  <c r="BL3" i="1"/>
  <c r="BJ3" i="1"/>
  <c r="BU3" i="1" s="1"/>
  <c r="BC3" i="1"/>
  <c r="AZ3" i="1"/>
  <c r="AX3" i="1"/>
  <c r="BI3" i="1" s="1"/>
  <c r="AQ3" i="1"/>
  <c r="AN3" i="1"/>
  <c r="AL3" i="1"/>
  <c r="AW3" i="1" s="1"/>
  <c r="AE3" i="1"/>
  <c r="AB3" i="1"/>
  <c r="Z3" i="1"/>
  <c r="AK3" i="1" s="1"/>
  <c r="BO2" i="1"/>
  <c r="BL2" i="1"/>
  <c r="BL270" i="1" s="1"/>
  <c r="BJ2" i="1"/>
  <c r="BC2" i="1"/>
  <c r="AZ2" i="1"/>
  <c r="AZ270" i="1" s="1"/>
  <c r="AX2" i="1"/>
  <c r="AQ2" i="1"/>
  <c r="AN2" i="1"/>
  <c r="AN270" i="1" s="1"/>
  <c r="AL2" i="1"/>
  <c r="AE2" i="1"/>
  <c r="AB2" i="1"/>
  <c r="AB270" i="1" s="1"/>
  <c r="Z2" i="1"/>
  <c r="BV7" i="1" l="1"/>
  <c r="BV9" i="1"/>
  <c r="BV13" i="1"/>
  <c r="BV19" i="1"/>
  <c r="BV21" i="1"/>
  <c r="BV3" i="1"/>
  <c r="BV4" i="1"/>
  <c r="BV6" i="1"/>
  <c r="BV27" i="1"/>
  <c r="BV29" i="1"/>
  <c r="BV37" i="1"/>
  <c r="BV39" i="1"/>
  <c r="AW2" i="1"/>
  <c r="BI2" i="1"/>
  <c r="AW10" i="1"/>
  <c r="BV10" i="1" s="1"/>
  <c r="AK12" i="1"/>
  <c r="BI16" i="1"/>
  <c r="AK20" i="1"/>
  <c r="BI24" i="1"/>
  <c r="Z270" i="1"/>
  <c r="AL270" i="1"/>
  <c r="AX270" i="1"/>
  <c r="BJ270" i="1"/>
  <c r="AW16" i="1"/>
  <c r="BV16" i="1" s="1"/>
  <c r="BV23" i="1"/>
  <c r="AW24" i="1"/>
  <c r="BV24" i="1" s="1"/>
  <c r="BI26" i="1"/>
  <c r="BV26" i="1" s="1"/>
  <c r="BV35" i="1"/>
  <c r="AW36" i="1"/>
  <c r="BI38" i="1"/>
  <c r="BN270" i="1"/>
  <c r="BV11" i="1"/>
  <c r="BU34" i="1"/>
  <c r="AK36" i="1"/>
  <c r="AW38" i="1"/>
  <c r="BV38" i="1" s="1"/>
  <c r="BI40" i="1"/>
  <c r="BV40" i="1" s="1"/>
  <c r="BU42" i="1"/>
  <c r="AD270" i="1"/>
  <c r="AK58" i="1"/>
  <c r="AE270" i="1"/>
  <c r="AQ270" i="1"/>
  <c r="BC270" i="1"/>
  <c r="BO270" i="1"/>
  <c r="BI10" i="1"/>
  <c r="AW12" i="1"/>
  <c r="BI14" i="1"/>
  <c r="BV17" i="1"/>
  <c r="AK18" i="1"/>
  <c r="AW20" i="1"/>
  <c r="BI22" i="1"/>
  <c r="AW28" i="1"/>
  <c r="BI30" i="1"/>
  <c r="BV31" i="1"/>
  <c r="AW32" i="1"/>
  <c r="BI34" i="1"/>
  <c r="BV34" i="1" s="1"/>
  <c r="BI42" i="1"/>
  <c r="BV42" i="1" s="1"/>
  <c r="BV47" i="1"/>
  <c r="BV52" i="1"/>
  <c r="BV53" i="1"/>
  <c r="BV54" i="1"/>
  <c r="BV60" i="1"/>
  <c r="BV63" i="1"/>
  <c r="AK2" i="1"/>
  <c r="BU2" i="1"/>
  <c r="AW14" i="1"/>
  <c r="BV14" i="1" s="1"/>
  <c r="BU18" i="1"/>
  <c r="AW22" i="1"/>
  <c r="BV22" i="1" s="1"/>
  <c r="BU26" i="1"/>
  <c r="AK28" i="1"/>
  <c r="AW30" i="1"/>
  <c r="BV30" i="1" s="1"/>
  <c r="AK32" i="1"/>
  <c r="AK33" i="1"/>
  <c r="AW33" i="1"/>
  <c r="BI33" i="1"/>
  <c r="AJ270" i="1"/>
  <c r="AV270" i="1"/>
  <c r="BH270" i="1"/>
  <c r="BT270" i="1"/>
  <c r="BU43" i="1"/>
  <c r="BV43" i="1" s="1"/>
  <c r="BV48" i="1"/>
  <c r="BU61" i="1"/>
  <c r="BV61" i="1" s="1"/>
  <c r="BI64" i="1"/>
  <c r="BI68" i="1"/>
  <c r="BV68" i="1" s="1"/>
  <c r="BV72" i="1"/>
  <c r="AK73" i="1"/>
  <c r="AK74" i="1"/>
  <c r="AW77" i="1"/>
  <c r="BV77" i="1" s="1"/>
  <c r="BI80" i="1"/>
  <c r="BV95" i="1"/>
  <c r="BV98" i="1"/>
  <c r="BV107" i="1"/>
  <c r="BV108" i="1"/>
  <c r="BV126" i="1"/>
  <c r="BV151" i="1"/>
  <c r="BV161" i="1"/>
  <c r="AC270" i="1"/>
  <c r="AO270" i="1"/>
  <c r="BA270" i="1"/>
  <c r="BM270" i="1"/>
  <c r="BI58" i="1"/>
  <c r="BV64" i="1"/>
  <c r="AW65" i="1"/>
  <c r="BV65" i="1" s="1"/>
  <c r="AW69" i="1"/>
  <c r="BV69" i="1" s="1"/>
  <c r="BU71" i="1"/>
  <c r="BV71" i="1" s="1"/>
  <c r="BI73" i="1"/>
  <c r="BI74" i="1"/>
  <c r="BV101" i="1"/>
  <c r="BV111" i="1"/>
  <c r="BV115" i="1"/>
  <c r="BV140" i="1"/>
  <c r="BV144" i="1"/>
  <c r="BV148" i="1"/>
  <c r="BV154" i="1"/>
  <c r="BV165" i="1"/>
  <c r="BV167" i="1"/>
  <c r="BB270" i="1"/>
  <c r="BV62" i="1"/>
  <c r="BV70" i="1"/>
  <c r="AW73" i="1"/>
  <c r="BI77" i="1"/>
  <c r="BU80" i="1"/>
  <c r="BV80" i="1" s="1"/>
  <c r="BV89" i="1"/>
  <c r="BV103" i="1"/>
  <c r="BV105" i="1"/>
  <c r="BV123" i="1"/>
  <c r="BV133" i="1"/>
  <c r="BV156" i="1"/>
  <c r="BV162" i="1"/>
  <c r="BV229" i="1"/>
  <c r="BV232" i="1"/>
  <c r="AP270" i="1"/>
  <c r="BV180" i="1"/>
  <c r="BV191" i="1"/>
  <c r="BV193" i="1"/>
  <c r="BV200" i="1"/>
  <c r="BV209" i="1"/>
  <c r="BV217" i="1"/>
  <c r="BV220" i="1"/>
  <c r="AW222" i="1"/>
  <c r="BV222" i="1" s="1"/>
  <c r="BV224" i="1"/>
  <c r="BV257" i="1"/>
  <c r="BV174" i="1"/>
  <c r="BV199" i="1"/>
  <c r="BV205" i="1"/>
  <c r="BV207" i="1"/>
  <c r="BV213" i="1"/>
  <c r="BV237" i="1"/>
  <c r="BV241" i="1"/>
  <c r="BI171" i="1"/>
  <c r="BV171" i="1" s="1"/>
  <c r="BV173" i="1"/>
  <c r="BV195" i="1"/>
  <c r="AK212" i="1"/>
  <c r="BV212" i="1" s="1"/>
  <c r="BI214" i="1"/>
  <c r="BV214" i="1" s="1"/>
  <c r="BI218" i="1"/>
  <c r="BV218" i="1" s="1"/>
  <c r="AW221" i="1"/>
  <c r="BV221" i="1" s="1"/>
  <c r="BU225" i="1"/>
  <c r="BV225" i="1" s="1"/>
  <c r="AK228" i="1"/>
  <c r="BV228" i="1" s="1"/>
  <c r="AW231" i="1"/>
  <c r="BV231" i="1" s="1"/>
  <c r="AK246" i="1"/>
  <c r="BV246" i="1" s="1"/>
  <c r="AW249" i="1"/>
  <c r="BV249" i="1" s="1"/>
  <c r="BI258" i="1"/>
  <c r="BV266" i="1"/>
  <c r="BV236" i="1"/>
  <c r="BV239" i="1"/>
  <c r="BV251" i="1"/>
  <c r="BV258" i="1"/>
  <c r="BU215" i="1"/>
  <c r="BV215" i="1" s="1"/>
  <c r="BU219" i="1"/>
  <c r="BV219" i="1" s="1"/>
  <c r="BI224" i="1"/>
  <c r="BV230" i="1"/>
  <c r="BI230" i="1"/>
  <c r="BI238" i="1"/>
  <c r="BV238" i="1" s="1"/>
  <c r="AW241" i="1"/>
  <c r="BV244" i="1"/>
  <c r="BU245" i="1"/>
  <c r="BV245" i="1" s="1"/>
  <c r="BI250" i="1"/>
  <c r="BV250" i="1" s="1"/>
  <c r="BV254" i="1"/>
  <c r="BV255" i="1"/>
  <c r="BV262" i="1"/>
  <c r="BV264" i="1"/>
  <c r="BU265" i="1"/>
  <c r="BV265" i="1" s="1"/>
  <c r="BV32" i="1" l="1"/>
  <c r="AK270" i="1"/>
  <c r="BV2" i="1"/>
  <c r="BV18" i="1"/>
  <c r="BV12" i="1"/>
  <c r="BV58" i="1"/>
  <c r="BV74" i="1"/>
  <c r="BV28" i="1"/>
  <c r="BV36" i="1"/>
  <c r="BV20" i="1"/>
  <c r="BI270" i="1"/>
  <c r="BV73" i="1"/>
  <c r="BV33" i="1"/>
  <c r="BU270" i="1"/>
  <c r="AW270" i="1"/>
  <c r="BV270" i="1" l="1"/>
</calcChain>
</file>

<file path=xl/sharedStrings.xml><?xml version="1.0" encoding="utf-8"?>
<sst xmlns="http://schemas.openxmlformats.org/spreadsheetml/2006/main" count="4364" uniqueCount="881">
  <si>
    <t>Código
 LE</t>
  </si>
  <si>
    <t>LE</t>
  </si>
  <si>
    <t>Código
 Sector</t>
  </si>
  <si>
    <t>Sector PDM</t>
  </si>
  <si>
    <t>Código
Obj.Sector</t>
  </si>
  <si>
    <t>Objetivo Sectorial</t>
  </si>
  <si>
    <t>Código
Programa</t>
  </si>
  <si>
    <t>Programa</t>
  </si>
  <si>
    <t>Código
Meta Producto</t>
  </si>
  <si>
    <t xml:space="preserve"> Nombre Metas de Producto
MP</t>
  </si>
  <si>
    <t xml:space="preserve">Metas resultado / Bienestar </t>
  </si>
  <si>
    <t xml:space="preserve">Funcionario Responsable </t>
  </si>
  <si>
    <t xml:space="preserve">Fuentes de verificación </t>
  </si>
  <si>
    <t xml:space="preserve">Periodicidad de medición </t>
  </si>
  <si>
    <t xml:space="preserve">ponderación </t>
  </si>
  <si>
    <t>Código Indicador  
Producto</t>
  </si>
  <si>
    <t>Nombre del Indicador de Producto</t>
  </si>
  <si>
    <t>Unidad
 Indicador de Producto</t>
  </si>
  <si>
    <t>Tipo de Indicador</t>
  </si>
  <si>
    <t>Línea Base</t>
  </si>
  <si>
    <t>Valor Meta P
 esperada al Cuatrienio</t>
  </si>
  <si>
    <t>Valor Meta P 
esperada 2020</t>
  </si>
  <si>
    <t>Valor Meta P
esperada 2021</t>
  </si>
  <si>
    <t>Valor Meta P
esperada 2022</t>
  </si>
  <si>
    <t>Valor Meta P
esperada 2023</t>
  </si>
  <si>
    <t>Ingresos Corrientes de Libre Destinación - ICLD (2020)</t>
  </si>
  <si>
    <t>Ingresos Corrientes de Destinación Específica - ICDE (2020)</t>
  </si>
  <si>
    <t>SGP Educación (2020)</t>
  </si>
  <si>
    <t>SGP Salud (2020)</t>
  </si>
  <si>
    <t>SGP Agua Potable y Saneamiento Básico (2020)</t>
  </si>
  <si>
    <t>SGP Propósito General (2020)</t>
  </si>
  <si>
    <t>SGP Asignaciones Especiales (2020)</t>
  </si>
  <si>
    <t>Sistema General de Regalías - SGR (2020)</t>
  </si>
  <si>
    <t>Cofinanciación (2020)</t>
  </si>
  <si>
    <t>Crédito (2020)</t>
  </si>
  <si>
    <t>Otros (2020)</t>
  </si>
  <si>
    <t>Total (2020)</t>
  </si>
  <si>
    <t>Ingresos Corrientes de Libre Destinación - ICLD (2021)</t>
  </si>
  <si>
    <t>Ingresos Corrientes de Destinación Específica - ICDE (2021)</t>
  </si>
  <si>
    <t>SGP Educación (2021)</t>
  </si>
  <si>
    <t>SGP Salud (2021)</t>
  </si>
  <si>
    <t>SGP Agua Potable y Saneamiento Básico (2021)</t>
  </si>
  <si>
    <t>SGP Propósito General (2021)</t>
  </si>
  <si>
    <t>SGP Asignaciones Especiales  (2021)</t>
  </si>
  <si>
    <t>Sistema General de Regalías - SGR (2021)</t>
  </si>
  <si>
    <t>Cofinanciación  (2021)</t>
  </si>
  <si>
    <t>Crédito (2021)</t>
  </si>
  <si>
    <t>Otros  (2021)</t>
  </si>
  <si>
    <t>Total  (2021)</t>
  </si>
  <si>
    <t>Ingresos Corrientes de Libre Destinación - ICLD (2022)</t>
  </si>
  <si>
    <t>Ingresos Corrientes de Destinación Específica - ICDE (2022)</t>
  </si>
  <si>
    <t>SGP Educación (2022)</t>
  </si>
  <si>
    <t>SGP Salud (2022)</t>
  </si>
  <si>
    <t>SGP Agua Potable y Saneamiento Básico (2022)</t>
  </si>
  <si>
    <t>SGP Propósito General (2022)</t>
  </si>
  <si>
    <t>SGP Asignaciones Especiales (2022)</t>
  </si>
  <si>
    <t>Sistema General de Regalías - SGR (2022)</t>
  </si>
  <si>
    <t>Cofinanciación (2022)</t>
  </si>
  <si>
    <t>Crédito (2022)</t>
  </si>
  <si>
    <t>Otros   (2022)</t>
  </si>
  <si>
    <t>Total  (2022)</t>
  </si>
  <si>
    <t>Ingresos Corrientes de Libre Destinación - ICLD (2023)</t>
  </si>
  <si>
    <t>Ingresos Corrientes de Destinación Específica - ICDE (2023)</t>
  </si>
  <si>
    <t>SGP Educación (2023)</t>
  </si>
  <si>
    <t>SGP Salud (2023)</t>
  </si>
  <si>
    <t>SGP Agua Potable y Saneamiento Básico (2023)</t>
  </si>
  <si>
    <t>SGP Propósito General  (2023)</t>
  </si>
  <si>
    <t>SGP Asignaciones Especiales (2023)</t>
  </si>
  <si>
    <t>Sistema General de Regalías - SGR (2023)</t>
  </si>
  <si>
    <t>Cofinanciación (2023)</t>
  </si>
  <si>
    <t>Crédito (2023)</t>
  </si>
  <si>
    <t>Otros (2023)</t>
  </si>
  <si>
    <t>Total (2023)</t>
  </si>
  <si>
    <t>TOTAL CUATRIENIO</t>
  </si>
  <si>
    <t>Secretaría/Dirección/Ente Descentralizado
Responsable
 (Fuente de Información)</t>
  </si>
  <si>
    <t>Creemos en Angelópolis, Equitativo, Incluyente y con Bienestar</t>
  </si>
  <si>
    <t>2.2.1</t>
  </si>
  <si>
    <t>Educación</t>
  </si>
  <si>
    <t>1.1</t>
  </si>
  <si>
    <t>Garantizar el acceso a una educación inclusiva de niños, niñas, jóvenes y adultos, con atención preferencial de la población en situación de discapacidad y víctimas del conflicto armado; en condiciones de permanencia, pertinencia, calidad, gratuidad y en ambientes educativos propicios, con promoción de las competencias básicas, laborales y valores que les permitan un mejor desempeño social y productivo, así como la construcción de un proyecto de vida personal y profesional exitoso, de esta manera se pretende coadyuvar a la formación de seres humanos íntegros, responsables y comprometidos con el desarrollo y la construcción de la Paz que espera la sociedad colombiana.</t>
  </si>
  <si>
    <t>2.2.1.1</t>
  </si>
  <si>
    <t>Educación integral con calidad, excelencia, inclusión, accesibilidad y pertinencia</t>
  </si>
  <si>
    <t>Servicio de fomento para la prevención de riesgos sociales en entornos escolares</t>
  </si>
  <si>
    <t>Cobertura bruta en la educación básica</t>
  </si>
  <si>
    <t>Vásquez Taborda Natalia Andrea</t>
  </si>
  <si>
    <t>Informe de Gestión secretaria de educación</t>
  </si>
  <si>
    <t xml:space="preserve">semestral </t>
  </si>
  <si>
    <t>Entidades territoriales con estrategias para la prevención de riesgos sociales en los entornos escolares implementadas</t>
  </si>
  <si>
    <t>Número</t>
  </si>
  <si>
    <t>Mantenimiento</t>
  </si>
  <si>
    <t xml:space="preserve">Secretaria de Bienestar </t>
  </si>
  <si>
    <t>Ambientes de aprendizaje para la educación inicial preescolar, básica y media dotados</t>
  </si>
  <si>
    <t>Ambientes de aprendizaje dotados</t>
  </si>
  <si>
    <t>Incremento</t>
  </si>
  <si>
    <t>Servicio de apoyo a proyectos pedagógicos productivos</t>
  </si>
  <si>
    <t>Cobertura neta en la educación básica</t>
  </si>
  <si>
    <t>Establecimientos educativos beneficiados</t>
  </si>
  <si>
    <t>Infraestructura educativa mantenida</t>
  </si>
  <si>
    <t>Cobertura neta en la educación inicial, preescolar, básica y media</t>
  </si>
  <si>
    <t xml:space="preserve">Contratos realizados, fotografías </t>
  </si>
  <si>
    <t>Sedes mantenidas</t>
  </si>
  <si>
    <t>Estudios de preinversión</t>
  </si>
  <si>
    <t>Estudios o diseños realizados</t>
  </si>
  <si>
    <t>Servicio de orientación vocacional</t>
  </si>
  <si>
    <t>Estudiantes vinculados a procesos de orientación vocacional</t>
  </si>
  <si>
    <t>Servicio de apoyo para el fortalecimiento de escuelas de padres</t>
  </si>
  <si>
    <t>Tasa de deserción intra-anual de educación preescolar, básica y media</t>
  </si>
  <si>
    <t xml:space="preserve">Anual </t>
  </si>
  <si>
    <t>Escuelas de padres apoyadas</t>
  </si>
  <si>
    <t>Servicio de gestión de riesgos y desastres en establecimientos educativos</t>
  </si>
  <si>
    <t>Establecimientos educativos con acciones de gestión del riesgo implementadas</t>
  </si>
  <si>
    <t>Servicio educativo de promoción del bilingüismo para docentes</t>
  </si>
  <si>
    <t>Docentes beneficiados con estrategias de promoción del bilingüismo</t>
  </si>
  <si>
    <t>Documentos de planeación</t>
  </si>
  <si>
    <t>Documentos de planeación para la educación inicial, preescolar, básica y media emitidos</t>
  </si>
  <si>
    <t>Servicio de divulgación para la educación inicial, preescolar, básica y media</t>
  </si>
  <si>
    <t xml:space="preserve">Procesos de socialización de lineamientos, política y normativa para la educación inicial, preescolar, básica y media realizados </t>
  </si>
  <si>
    <t>Servicio de evaluación de la permanencia en la educación inicial, preescolar, básica y media</t>
  </si>
  <si>
    <t>Documentos sobre evaluación de permanencia en la educación elaborados</t>
  </si>
  <si>
    <t>Servicio de monitoreo y seguimiento a la gestión del sector educativo</t>
  </si>
  <si>
    <t>Entidades territoriales con seguimiento y evaluación a la gestión</t>
  </si>
  <si>
    <t>Servicio de fomento para el acceso a la educación inicial, preescolar, básica y media.</t>
  </si>
  <si>
    <t xml:space="preserve">Cobertura bruta en la educación básica </t>
  </si>
  <si>
    <t xml:space="preserve">Personas beneficiadas con estrategias de fomento para el acceso a la educación inicial, preescolar, básica y media. </t>
  </si>
  <si>
    <t>Servicio de información para la gestión de la educación inicial y preescolar en condiciones de calidad</t>
  </si>
  <si>
    <t>Cobertura bruta en la educación preescolar</t>
  </si>
  <si>
    <t>Sistemas de reporte de información operando</t>
  </si>
  <si>
    <t>Servicio de apoyo a la permanencia con alimentación escolar</t>
  </si>
  <si>
    <t>Cobertura bruta en la educación inicial, preescolar, básica y media</t>
  </si>
  <si>
    <t>Raciones contratadas</t>
  </si>
  <si>
    <t>Servicio de apoyo a la permanencia con transporte escolar</t>
  </si>
  <si>
    <t>Beneficiarios de transporte escolar</t>
  </si>
  <si>
    <t>Servicio educación formal por modelos educativos flexibles</t>
  </si>
  <si>
    <t>Beneficiarios atendidos con modelos educativos flexibles</t>
  </si>
  <si>
    <t>Servicio de alfabetización</t>
  </si>
  <si>
    <t>Tasa de analfabetismo para población de 15 años y más</t>
  </si>
  <si>
    <t xml:space="preserve">Personas beneficiarias con modelos de alfabetización </t>
  </si>
  <si>
    <t xml:space="preserve">Disminución </t>
  </si>
  <si>
    <t>Servicio de fomento para la permanencia en programas de educación formal</t>
  </si>
  <si>
    <t>Personas beneficiarias de estrategias de permanencia</t>
  </si>
  <si>
    <t>Servicio educativos de promoción del bilingüismo</t>
  </si>
  <si>
    <t>Cobertura neta en la educación media</t>
  </si>
  <si>
    <t>Estudiantes beneficiados con estrategias de promoción del bilingüismo</t>
  </si>
  <si>
    <t>Servicio de atención integral para la primera infancia</t>
  </si>
  <si>
    <t>Instituciones educativas oficiales que implementan el nivel preescolar en el marco de la atención integral</t>
  </si>
  <si>
    <t>Servicios de apoyo a la implementación de modelos de innovación educativa</t>
  </si>
  <si>
    <t xml:space="preserve">Cobertura bruta en la educación inicial </t>
  </si>
  <si>
    <t xml:space="preserve">Establecimientos educativos apoyados para la  implementación de modelos de innovación educativa </t>
  </si>
  <si>
    <t>Servicios conexos a la prestación del servicio educativo oficial</t>
  </si>
  <si>
    <t xml:space="preserve">Docentes beneficiados </t>
  </si>
  <si>
    <t>Servicios de gestión del riesgo físico en estudiantes y docentes</t>
  </si>
  <si>
    <t>Coberturas obtenidas</t>
  </si>
  <si>
    <t>Servicio de educación informal</t>
  </si>
  <si>
    <t>Personas beneficiadas con procesos de formación informal</t>
  </si>
  <si>
    <t>Servicios de atención psicosocial a estudiantes y docentes</t>
  </si>
  <si>
    <t xml:space="preserve">Personas atendidas </t>
  </si>
  <si>
    <t>2.2.1.2</t>
  </si>
  <si>
    <t>Estudiantes vamos a la U</t>
  </si>
  <si>
    <t>Servicio de fomento para el acceso a la educación superior o terciaria</t>
  </si>
  <si>
    <t>Tasa de cobertura en educación superior</t>
  </si>
  <si>
    <t>Beneficiarios de estrategias o programas de  fomento para el acceso a la educación superior o terciaria</t>
  </si>
  <si>
    <t>Servicio de apoyo financiero para el acceso y permanencia a la educación superior o terciaria</t>
  </si>
  <si>
    <t>Beneficiarios de estrategias o programas de  apoyo financiero para el acceso y permanencia en la educación superior  o terciaria</t>
  </si>
  <si>
    <t>Servicio de articulación entre la educación superior o terciaria y el sector productivo.</t>
  </si>
  <si>
    <t xml:space="preserve">Programas y proyectos de educación o investigación articulados con el sector productivo </t>
  </si>
  <si>
    <t>Servicio de divulgación para la educación superior o terciaria</t>
  </si>
  <si>
    <t>Estrategias  divulgación implementadas</t>
  </si>
  <si>
    <t>2.2.2</t>
  </si>
  <si>
    <t>Salud</t>
  </si>
  <si>
    <t>1.2</t>
  </si>
  <si>
    <t>Fortalecer la prestación primaria de los servicios de salud en la ESE y desarrollar conjuntamente estrategias para la descentralización y humanización de la atención, principalmente en los servicios de promoción y prevención, salud oral y control del riesgo de contagio de enfermedades. Incrementando la cobertura, acceso, calidad, eficiencia y efectividad de los programas en salud a fin de disminuir las desigualdades sociales y generar condiciones óptimas de bienestar físico, mental, emocional y psicosocial en la población angelopolitana. Así mismo, realizar constante seguimiento y control a las entidades prestadoras de servicios de salud EPS para el cumplimiento de sus obligaciones con el sistema de seguridad social en salud del municipio.</t>
  </si>
  <si>
    <t>2.2.2.1</t>
  </si>
  <si>
    <t>Creemos en Angelópolis con calidad en la prestación de servicios de salud</t>
  </si>
  <si>
    <t>Servicio de información de vigilancia epidemiológica</t>
  </si>
  <si>
    <t>Porcentaje de población afiliada al sistema de salud</t>
  </si>
  <si>
    <t xml:space="preserve">Informe secretaria de salud y bienestar social, contratos realizados, fotografías </t>
  </si>
  <si>
    <t xml:space="preserve">Eventos de interés en salud pública vigilados </t>
  </si>
  <si>
    <t>Servicio de promoción social para poblaciones vulnerables</t>
  </si>
  <si>
    <t xml:space="preserve">Certificado de afiliación, informe de afiliación grupal </t>
  </si>
  <si>
    <t>Personas atendida en acciones de promoción social  para poblaciones vulnerables</t>
  </si>
  <si>
    <t>Servicio de información de la planeación, ejecución, monitoreo y evaluación del Plan de Intervenciones Colectivas</t>
  </si>
  <si>
    <t>Informes efectivamente requeridos y empleados con respecto a la planeación, ejecución, monitoreo y evaluación del Plan de Intervenciones Colectivas.</t>
  </si>
  <si>
    <t>Servicio de divulgación y comunicación de estrategias de salud y promoción social</t>
  </si>
  <si>
    <t>Campañas de promoción y prevención producidas</t>
  </si>
  <si>
    <t>Servicio de promoción de modos, condiciones y estilos de vida saludables</t>
  </si>
  <si>
    <t>Campañas de promoción de modos, condiciones y estilos de vida saludables implementadas</t>
  </si>
  <si>
    <t>Servicio de promoción en temas de hábitat saludable</t>
  </si>
  <si>
    <t>Campañas de promoción en temas de hábitat saludable implementadas</t>
  </si>
  <si>
    <t>Servicio de promoción en temas seguridad y salud en el trabajo</t>
  </si>
  <si>
    <t>Campañas de promoción en temas seguridad y salud en el trabajo implementadas</t>
  </si>
  <si>
    <t>Servicio de apoyo para la dotación hospitalaria</t>
  </si>
  <si>
    <t>Sedes dotadas</t>
  </si>
  <si>
    <t>Servicio de atención en salud a la población</t>
  </si>
  <si>
    <t>Personas atendidas con servicio de salud</t>
  </si>
  <si>
    <t>Servicio de promoción de afiliaciones al régimen contributivo del Sistema General de Seguridad Social de las personas con capacidad de pago</t>
  </si>
  <si>
    <t>Nuevos cotizantes afiliados al régimen contributivo</t>
  </si>
  <si>
    <t>Personas con capacidad de pago afiliadas</t>
  </si>
  <si>
    <t>Hospitales de primer nivel de atención adecuados</t>
  </si>
  <si>
    <t>2.2.2.2</t>
  </si>
  <si>
    <t>Creemos en Angelópolis con Salud Pública</t>
  </si>
  <si>
    <t xml:space="preserve">Servicio de educación informal en temas de salud pública </t>
  </si>
  <si>
    <t>Porcentaje de menores de 1 año con tercera dosis de pentavalente</t>
  </si>
  <si>
    <t>Personas capacitadas</t>
  </si>
  <si>
    <t>Morgues construidas y dotadas</t>
  </si>
  <si>
    <t>Tasa de mortalidad</t>
  </si>
  <si>
    <t>Servicios de promoción de la salud  y prevención de riesgos asociados a condiciones no transmisibles</t>
  </si>
  <si>
    <t>Tasa de mortalidad en menores de 5 años (ajustada)</t>
  </si>
  <si>
    <t>Campañas de promoción de la salud  y prevención de riesgos asociados a condiciones no transmisibles implementadas</t>
  </si>
  <si>
    <t>Servicio de gestión del riesgo en temas de consumo de sustancias psicoactivas</t>
  </si>
  <si>
    <t>Campañas de gestión del riesgo en temas de consumo de sustancias psicoactivas implementadas</t>
  </si>
  <si>
    <t xml:space="preserve">Servicio de gestión del riesgo en temas de salud sexual y reproductiva </t>
  </si>
  <si>
    <t>Razón de mortalidad materna en población rural dispersa (por
cada 100.000 nacidos vivos)</t>
  </si>
  <si>
    <t>Campañas de gestión del riesgo en temas de salud sexual y reproductiva implementadas</t>
  </si>
  <si>
    <t>Servicio de gestión del riesgo para abordar situaciones de salud relacionadas con condiciones ambientales</t>
  </si>
  <si>
    <t>Campañas de gestión del riesgo para abordar situaciones de salud relacionadas con condiciones ambientales implementadas</t>
  </si>
  <si>
    <t>Servicio de gestión del riesgo para abordar situaciones prevalentes de origen laboral</t>
  </si>
  <si>
    <t>Campañas de gestión del riesgo para abordar situaciones prevalentes de origen laboral implementadas</t>
  </si>
  <si>
    <t>Servicio de gestión del riesgo para enfermedades emergentes, reemergentes y desatendidas</t>
  </si>
  <si>
    <t>Campañas de gestión del riesgo para enfermedades emergentes, reemergentes y desatendidas implementadas</t>
  </si>
  <si>
    <t>Servicio de gestión del riesgo para enfermedades inmunoprevenibles</t>
  </si>
  <si>
    <t>Incidencia de tuberculosis</t>
  </si>
  <si>
    <t>Campañas de gestión del riesgo para enfermedades inmunoprevenibles  implementadas</t>
  </si>
  <si>
    <t xml:space="preserve">Servicio de gestión del riesgo en temas de trastornos mentales </t>
  </si>
  <si>
    <t>Campañas de gestión del riesgo en temas de trastornos mentales implementadas</t>
  </si>
  <si>
    <t>2.2.2.3</t>
  </si>
  <si>
    <t>Creemos en Angelópolis con Inspección, vigilancia y control</t>
  </si>
  <si>
    <t>Servicio dé apoyo financiero para dotar el servicios de salud conforme con estándares de habilitación</t>
  </si>
  <si>
    <t>Dotación de conformidad con estándares de habilitación</t>
  </si>
  <si>
    <t>Servicio de gestión de peticiones, quejas, reclamos y denuncias</t>
  </si>
  <si>
    <t xml:space="preserve"> Preguntas Quejas Reclamos y Denuncias Gestionadas</t>
  </si>
  <si>
    <t>Servicio de inspección, vigilancia y control</t>
  </si>
  <si>
    <t>visitas realizadas</t>
  </si>
  <si>
    <t>Servicio de información para la gestión de la inspección, vigilancia y control sanitario</t>
  </si>
  <si>
    <t>Usuarios del sistema</t>
  </si>
  <si>
    <t>2.2.3</t>
  </si>
  <si>
    <t>Agua Potables y Saneamiento Básico</t>
  </si>
  <si>
    <t>1.3</t>
  </si>
  <si>
    <t>Optimizar la prestación de los servicios públicos domiciliarios en cobertura y calidad estableciendo una estructura tarifaria acorde con la estratificación.</t>
  </si>
  <si>
    <t>2.2.3.1.1</t>
  </si>
  <si>
    <t>Gestión del agua potable, segura y alcantarillado con eficiencia y calidad para todos</t>
  </si>
  <si>
    <t>Servicio de apoyo financiero para subsidios al consumo en los servicios públicos domiciliarios</t>
  </si>
  <si>
    <t xml:space="preserve">Continuidad del servicio urbano de agua (hr/día) </t>
  </si>
  <si>
    <t>Pineda Vélez María Cristina - Usme Osorio Luis David</t>
  </si>
  <si>
    <t xml:space="preserve">Informe secretaria de planeación, contratos realizados, fotografías </t>
  </si>
  <si>
    <t>Usuarios beneficiados con subsidios al consumo</t>
  </si>
  <si>
    <t xml:space="preserve">Secretaria de Planeación - Unidad de servicios Públicos </t>
  </si>
  <si>
    <t>Documentos de planeación elaborados</t>
  </si>
  <si>
    <t>Servicio de apoyo financiero a los planes, programas y proyectos de Agua Potable y Saneamiento Básico</t>
  </si>
  <si>
    <t>Proyectos de acueducto, alcantarillado y aseo apoyados financieramente</t>
  </si>
  <si>
    <t>Servicio de Aseo</t>
  </si>
  <si>
    <t>Porcentaje de población con sistema de tratamiento de aguas
residuales</t>
  </si>
  <si>
    <t>Usuarios con acceso al servicio de aseo</t>
  </si>
  <si>
    <t>Servicio de Alcantarillado</t>
  </si>
  <si>
    <t>Aguas residuales urbanas tratadas</t>
  </si>
  <si>
    <t>Usuarios conectados a la red de servicio de alcantarillado</t>
  </si>
  <si>
    <t>Servicio de Acueducto</t>
  </si>
  <si>
    <t>Continuidad del servicio urbano de agua (hr/día)</t>
  </si>
  <si>
    <t>Usuarios conectados a la red de servicio de acueducto</t>
  </si>
  <si>
    <t>Servicio de apoyo financiero en tratamiento de aguas residuales</t>
  </si>
  <si>
    <t>Proyectos apoyados financieramente</t>
  </si>
  <si>
    <t>Unidades sanitarias con saneamiento básico construidas</t>
  </si>
  <si>
    <t>Municipios con sitios de disposición adecuada de residuos
sólidos</t>
  </si>
  <si>
    <t>Pineda Vélez María Cristina</t>
  </si>
  <si>
    <t xml:space="preserve">Viviendas beneficiadas con la construcción de  unidades sanitarias </t>
  </si>
  <si>
    <t>Servicios de apoyo financiero para la ejecución de proyectos de acueductos y alcantarillado</t>
  </si>
  <si>
    <t>Proyectos de acueducto y alcantarillado en área urbana financiados</t>
  </si>
  <si>
    <t>Servicios de divulgación para el manejo de residuos solidos</t>
  </si>
  <si>
    <t>Residuos sólidos municipales aprovechados</t>
  </si>
  <si>
    <t>Eventos de divulgación en temas regulatorios realizados</t>
  </si>
  <si>
    <t>Servicios de implementación del Plan de Gestión Integral de Residuos Solidos PGIRS</t>
  </si>
  <si>
    <t>Plan de Gestión Integral de Residuos Solidos implementado</t>
  </si>
  <si>
    <t>Alcantarillados optimizados</t>
  </si>
  <si>
    <t>Alcantarillados construidos</t>
  </si>
  <si>
    <t>Acueductos construidos</t>
  </si>
  <si>
    <t>Acueductos optimizados</t>
  </si>
  <si>
    <t>2.2.4</t>
  </si>
  <si>
    <t>Cultura</t>
  </si>
  <si>
    <t>1.4</t>
  </si>
  <si>
    <t>Promover y masificar las actividades multiculturales motivando a la comunidad para dar continuidad al legado histórico del municipio y la protección de su patrimonio material e inmaterial;  creando espacios {promoción y realización de actividades culturales) para las expresiones artísticas, literarias, gastronómicas, y demás, que contribuyan a recuperar la identidad con pertenencia por nuestras raíces Angelopolitanas, que fortalezcan el tejido social y promuevan la sana convivencia, el respeto a la diversidad y multiculturalidad, y así construir juntos una sociedad incluyente y en Paz</t>
  </si>
  <si>
    <t>2.2.4.1</t>
  </si>
  <si>
    <t>Creemos en Angelópolis con riqueza artística, creativa y cultural</t>
  </si>
  <si>
    <t>Servicios de circulación artística y cultural</t>
  </si>
  <si>
    <t>Acceso de la población colombiana a espacios culturales</t>
  </si>
  <si>
    <t>Parra Sánchez Teresa del Socorro</t>
  </si>
  <si>
    <t>Informe de gestión, secretaria de cultura, Contratos realizados, fotografías.</t>
  </si>
  <si>
    <t>Contenidos culturales en circulación</t>
  </si>
  <si>
    <t>Servicio de fomento para el acceso de la oferta cultural</t>
  </si>
  <si>
    <t>Personas beneficiadas</t>
  </si>
  <si>
    <t>Servicio de apoyo para la organización y la participación del sector artístico, cultural y la ciudadanía</t>
  </si>
  <si>
    <t>Crecimiento real de los últimos cuatro años del valor agregado
de los sectores de la economía naranja</t>
  </si>
  <si>
    <t>Encuentros realizados</t>
  </si>
  <si>
    <t>Consejos apoyados</t>
  </si>
  <si>
    <t>Servicios de promoción de actividades culturales</t>
  </si>
  <si>
    <t>Eventos de promoción de actividades culturales realizados</t>
  </si>
  <si>
    <t>Servicio de mantenimiento de infraestructura cultural</t>
  </si>
  <si>
    <t>Infraestructura cultural intervenida</t>
  </si>
  <si>
    <t>Estudios y diseños de infraestructura cultural</t>
  </si>
  <si>
    <t>Estudios y diseños elaborados</t>
  </si>
  <si>
    <t>Escuelas de música adecuadas y dotadas</t>
  </si>
  <si>
    <t>Salas de danza adecuadas y dotadas</t>
  </si>
  <si>
    <t>Servicio de acceso a materiales de lectura</t>
  </si>
  <si>
    <t xml:space="preserve">Promedio de libros leídos al año por la población colombiana
de 12 años y más </t>
  </si>
  <si>
    <t>Materiales de lectura disponibles en bibliotecas públicas y espacios no convencionales</t>
  </si>
  <si>
    <t>Servicios bibliotecarios</t>
  </si>
  <si>
    <t>Promedio de libros leídos al año por la población colombiana
entre 5 a 11 años</t>
  </si>
  <si>
    <t>Usuarios atendidos</t>
  </si>
  <si>
    <t>Servicio de educación informal al sector artístico y cultural</t>
  </si>
  <si>
    <t xml:space="preserve">Empresas culturales creadas </t>
  </si>
  <si>
    <t>2.2.4.2</t>
  </si>
  <si>
    <t>Creemos en Angelópolis con identidad cultural y patrimonio</t>
  </si>
  <si>
    <t>Servicio de salvaguardia al patrimonio inmaterial</t>
  </si>
  <si>
    <t>Gestión, protección y salvaguardia del patrimonio cultural colombiano</t>
  </si>
  <si>
    <t>Procesos de salvaguardia efectiva del patrimonio inmaterial realizados</t>
  </si>
  <si>
    <t>2.2.5</t>
  </si>
  <si>
    <t>Deporte y Recreación</t>
  </si>
  <si>
    <t>1.5</t>
  </si>
  <si>
    <t>Promover la participación de los angelopolitanos y angelopolitanas en los programas y actividades de carácter recreativo y deportivo, como instrumento de integración de los sectores rural y urbano, que prevengan las enfermedades físicas y mentales, promuevan el desarrollo integral del individuo y de sus capacidades y permitan el aprovechamiento adecuado del tiempo libre a través del uso y disfrute de los espacios públicos recreo-deportivos, teniendo en cuenta las características poblacionales y los diferentes grupos etáreos.</t>
  </si>
  <si>
    <t>2.2.5.1</t>
  </si>
  <si>
    <t>Promoción deportiva y recreativa como constructores de paz y tejido social</t>
  </si>
  <si>
    <t>Servicio de promoción de la actividad física, la recreación y el deporte</t>
  </si>
  <si>
    <t>Personas con factores de riesgo de enfermedades crónicas no
transmisibles asociadas a la inactividad física</t>
  </si>
  <si>
    <t xml:space="preserve">Informe de gestión secretaria de deporte y recreación, contratos realizados, fotografías </t>
  </si>
  <si>
    <t>Personas que acceden a servicios deportivos, recreativos y de actividad física</t>
  </si>
  <si>
    <t>Servicio de apoyo a la actividad física, la recreación y el deporte</t>
  </si>
  <si>
    <t>Municipio con al menos una disciplina en escuelas deportiva</t>
  </si>
  <si>
    <t>Servicio de mantenimiento a la infraestructura deportiva</t>
  </si>
  <si>
    <t>Infraestructura deportiva mantenida</t>
  </si>
  <si>
    <t>Servicio de Escuelas Deportivas</t>
  </si>
  <si>
    <t>Población que realiza actividad física en su tiempo libre</t>
  </si>
  <si>
    <t>Niños, niñas, adolescentes y jóvenes inscritos en Escuelas Deportivas</t>
  </si>
  <si>
    <t>Estudios y diseños de infraestructura recreo-deportiva</t>
  </si>
  <si>
    <t>Servicio de organización de eventos deportivos comunitarios</t>
  </si>
  <si>
    <t>Eventos deportivos comunitarios realizados</t>
  </si>
  <si>
    <t>2.2.5.2</t>
  </si>
  <si>
    <t>Desarrollo de talentos</t>
  </si>
  <si>
    <t>4302058</t>
  </si>
  <si>
    <t>Gimnasios mantenidos</t>
  </si>
  <si>
    <t xml:space="preserve">Deportistas que participan en eventos deportivos de alto
rendimiento </t>
  </si>
  <si>
    <t>4302062</t>
  </si>
  <si>
    <t>Deportistas que superan el ranking departamental</t>
  </si>
  <si>
    <t>Capacitaciones realizada</t>
  </si>
  <si>
    <t>2.2.6</t>
  </si>
  <si>
    <t>Grupos Vulnerables</t>
  </si>
  <si>
    <t>1.6</t>
  </si>
  <si>
    <t>Contribuir para que las personas en situación de vulnerabilidad, puedan subsanar las condiciones de exclusión, pobreza, inequidad y de violencia a las que están expuestas, a través de la asistencia social y los beneficiarios dispuestos por el estado para brindar alternativas que favorezcan la mejora de su calidad de vida.</t>
  </si>
  <si>
    <t>2.2.6.1</t>
  </si>
  <si>
    <t>Atención, asistencia y reparación integral a las víctimas</t>
  </si>
  <si>
    <t>Documentos de diagnóstico y/o caracterización del daño colectivo</t>
  </si>
  <si>
    <t xml:space="preserve">Víctimas que han superado la condición de vulnerabilidad </t>
  </si>
  <si>
    <t xml:space="preserve">Informe Secretaria de Bienestar social </t>
  </si>
  <si>
    <t>Documento elaborado</t>
  </si>
  <si>
    <t>Secretaria de Salud y Bienestar Social</t>
  </si>
  <si>
    <t>Servicio de orientación y comunicación a las víctimas</t>
  </si>
  <si>
    <t>Víctimas indemnizadas.</t>
  </si>
  <si>
    <t xml:space="preserve">Informe unidad de victimas </t>
  </si>
  <si>
    <t>Solicitudes tramitadas</t>
  </si>
  <si>
    <t>Servicio de ayuda y atención humanitaria</t>
  </si>
  <si>
    <t>Sujetos colectivos víctimas que han sido reparados</t>
  </si>
  <si>
    <t>Personas con asistencia humanitaria</t>
  </si>
  <si>
    <t>Servicio de alojamiento temporal</t>
  </si>
  <si>
    <t>Víctimas que han superado sus carencias en subsistencia
mínima</t>
  </si>
  <si>
    <t>Hogares acompañados en Servicio de alojamiento temporal</t>
  </si>
  <si>
    <t>Servicios de implementación de medidas de satisfacción y acompañamiento a las víctimas del conflicto armado</t>
  </si>
  <si>
    <t>Víctimas retornadas, reubicadas o integradas localmente</t>
  </si>
  <si>
    <t>Víctimas reconocidas, recordadas y dignificadas por el Estado.</t>
  </si>
  <si>
    <t>Servicio de apoyo para la seguridad alimentaria</t>
  </si>
  <si>
    <t>Hogares apoyados para seguridad alimentaria</t>
  </si>
  <si>
    <t>Servicio de divulgación y socialización para la implementación del proceso de reparación colectiva</t>
  </si>
  <si>
    <t>Comités de impulso conformados</t>
  </si>
  <si>
    <t>Servicio de apoyo para la generación de ingresos</t>
  </si>
  <si>
    <t>Hogares con asistencia técnica para la generación de ingresos</t>
  </si>
  <si>
    <t>Servicio de acompañamiento comunitario a los hogares en riesgo de desplazamiento, retornados o reubicados</t>
  </si>
  <si>
    <t>Víctimas reparadas administrativamente</t>
  </si>
  <si>
    <t>Hogares apoyados con procesos de acompañamiento comunitario</t>
  </si>
  <si>
    <t>2.2.6.2</t>
  </si>
  <si>
    <t>Desarrollo Integral de Niños, Niñas, Adolescentes, Juventud y sus Familias</t>
  </si>
  <si>
    <t>Servicio de atención integral a la primera infancia</t>
  </si>
  <si>
    <t>Índice de derechos de la niñez en Colombia</t>
  </si>
  <si>
    <t>Builes Cadavid Andrómaca</t>
  </si>
  <si>
    <t xml:space="preserve">Informe de atención - Comisaria de familia </t>
  </si>
  <si>
    <t>Niños y niñas atendidos en Servicio integrales</t>
  </si>
  <si>
    <t>Comisaria de Familia</t>
  </si>
  <si>
    <t>Servicio de educación informal a los agentes educativos</t>
  </si>
  <si>
    <t>Niños y niñas menores de cinco años recuperados
nutricionalmente</t>
  </si>
  <si>
    <t>Agentes educativos cualificados</t>
  </si>
  <si>
    <t>Edificaciones de atención a la primera infancia dotadas</t>
  </si>
  <si>
    <t>Edificaciones  de atención a la primera infancia dotadas</t>
  </si>
  <si>
    <t>Edificaciones de atención a la primera infancia remodeladas</t>
  </si>
  <si>
    <t>Edificaciones  de atención a la primera infancia remodeladas</t>
  </si>
  <si>
    <t>Servicio de divulgación para la promoción y prevención de los derechos de los niños, niñas y adolescentes</t>
  </si>
  <si>
    <t xml:space="preserve">Eventos de divulgación realizados </t>
  </si>
  <si>
    <t>Servicio de protección para el restablecimiento de derechos de niños, niñas, adolescentes y jóvenes</t>
  </si>
  <si>
    <t>Niños, niñas, adolescentes y jóvenes atendidos con servicio de protección para el restablecimiento de derechos</t>
  </si>
  <si>
    <t>2.2.6.3</t>
  </si>
  <si>
    <t>Inclusión social y productiva para la población en situación de vulnerabilidad</t>
  </si>
  <si>
    <t xml:space="preserve">Orientados a facilitar la inserción de la población vulnerable y desplazada al mercado de trabajo, mediante el fortalecimiento de capacidades y el acompañamiento para la superación de algunas barreras que tiene la población para conseguir trabajo.    </t>
  </si>
  <si>
    <t xml:space="preserve">Desigualdad (coeficiente de GINI) </t>
  </si>
  <si>
    <t>Personas inscritas</t>
  </si>
  <si>
    <t>Orientada a generar oportunidades y desarrollar capacidades para la creación y/o desarrollo de proyectos productivos, que se conviertan en un medio para la generación de ingresos.</t>
  </si>
  <si>
    <t>Hogares que superan la condición de déficit cualitativo de
vivienda</t>
  </si>
  <si>
    <t>Proyectos productivos formulados</t>
  </si>
  <si>
    <t>Consiste en acompañamiento a las personas vulnerables para desarrollar habilidades que les permitan desempeñarse en su entorno social.</t>
  </si>
  <si>
    <t>Pobreza extrema rural</t>
  </si>
  <si>
    <t xml:space="preserve">Personas asistidas en temas  de desarrollo de habilidades no cognitivas </t>
  </si>
  <si>
    <t>Orientados  a conseguir que la población vulnerable tenga una vinculación laboral formal.</t>
  </si>
  <si>
    <t>Personas vinculadas a empleo formal para población vulnerable</t>
  </si>
  <si>
    <t>Incluye el desarrollo de acciones mediante las cuales se busca fortalecer la capacidad de autogestión y el tejido social en los hogares que se encuentran en situación de pobreza y en las comunidades focalizadas, para mejorar sus condiciones de vida. Tiene componentes de acompañamiento familiar y comunitario y de gestión de oferta institucional.</t>
  </si>
  <si>
    <t>Hogares con acompañamiento familiar</t>
  </si>
  <si>
    <t>Corresponde a las acciones de acompañamiento técnico para promover la producción de alimentos para el autoconsumo, mejorar los niveles de nutrición de la población y la satisfacción de sus necesidades alimentarias, para que sirvan de fundamento a procesos de generación productiva, en el marco de la estrategia Red de Seguridad Alimentaria y Nutrición, RESA.</t>
  </si>
  <si>
    <t>Hogares asistidos técnicamente</t>
  </si>
  <si>
    <t>Incluye el desarrollo de acciones encaminadas a generar dinámicas de atención conjunta, articulada y eficiente entre las instituciones del estado hacia la población vulnerable.</t>
  </si>
  <si>
    <t>Beneficiarios potenciales para quienes se gestiona la oferta social</t>
  </si>
  <si>
    <t>Mediante los cuales se realiza educación nutricional y alimentaria a las familias, con el objeto de lograr el cambio favorable de los hábitos, costumbres, tradiciones, creencias y prácticas de la comunidad sobre aspectos de nutrición y alimentación.</t>
  </si>
  <si>
    <t>Hogares asistidos técnicamente para el mejoramiento de hábitos alimenticios</t>
  </si>
  <si>
    <t xml:space="preserve">Corresponde a la entrega de recursos en especie para generación de huertas, cría de animales y pesca artesanal para el autoconsumo de hogares en situación de vulnerabilidad social. </t>
  </si>
  <si>
    <t>Unidades productivas para el autoconsumo instaladas</t>
  </si>
  <si>
    <t>Corresponde a la entrega de recursos en especie o monetarios mediante incentivos dirigidos a generar las condiciones para el fortalecimiento de las unidades productivas colectivas.</t>
  </si>
  <si>
    <t>Unidades productivas colectivas fortalecidas</t>
  </si>
  <si>
    <t>Corresponde a la formación y acompañamiento dirigidos a fortalecer las capacidades empresariales, organizacionales y productivas, tendientes al fortalecimiento de unidades productivas colectivas.</t>
  </si>
  <si>
    <t>Unidades productivas colectivas con asistencia técnica</t>
  </si>
  <si>
    <t>2.2.6.4</t>
  </si>
  <si>
    <t>Protección de derechos e inclusión social a la población con Discapacidad</t>
  </si>
  <si>
    <t>Servicios de atención integral a población en condición de discapacidad</t>
  </si>
  <si>
    <t>Índice de pobreza multidimensional (IPM)</t>
  </si>
  <si>
    <t xml:space="preserve">Personas atendidas con servicios integrales </t>
  </si>
  <si>
    <t>2.2.6.5</t>
  </si>
  <si>
    <t>Creemos en Angelópolis con envejecimiento y vejez digna</t>
  </si>
  <si>
    <t>Centros de protección social de día para el adulto mayor dotados</t>
  </si>
  <si>
    <t>Adultos mayores en situación de pobreza</t>
  </si>
  <si>
    <t>Centros de día para el adulto mayor dotados</t>
  </si>
  <si>
    <t>Servicios de atención y protección integral al adulto mayor</t>
  </si>
  <si>
    <t>Adultos mayores que mejoran su calidad de vida</t>
  </si>
  <si>
    <t xml:space="preserve">Adultos mayores atendidos con servicios integrales </t>
  </si>
  <si>
    <t>Servicios de educación informal a los cuidadores del adulto mayor</t>
  </si>
  <si>
    <t>Cuidadores cualificados</t>
  </si>
  <si>
    <t>2.2.7</t>
  </si>
  <si>
    <t>Vivienda</t>
  </si>
  <si>
    <t>1.7</t>
  </si>
  <si>
    <t xml:space="preserve">Favorecer el desarrollo humano en condiciones de igualdad y equidad mediante la reducción del déficit cualitativo y cuantitativo de vivienda de las familias de Angelópolis, gestionando y entregando subsidios de vivienda nueva, mejorando y adecuando viviendas urbanas y rurales de la población vulnerable en condiciones especiales a fin de priorizar y mejorar los derechos y la equidad </t>
  </si>
  <si>
    <t>2.2.7.1</t>
  </si>
  <si>
    <t>Hábitat y vivienda digna, saludable y segura</t>
  </si>
  <si>
    <t>Déficit de vivienda cuantitativo</t>
  </si>
  <si>
    <t xml:space="preserve">Secretaria de Planeación </t>
  </si>
  <si>
    <t>Servicio de saneamiento y titulación de bienes fiscales</t>
  </si>
  <si>
    <t>Bienes fiscales saneados y titulados</t>
  </si>
  <si>
    <t>Viviendas de Interés Prioritario urbanas construidas</t>
  </si>
  <si>
    <t xml:space="preserve">Déficit de vivienda cualitativo </t>
  </si>
  <si>
    <t>Viviendas de Interés Prioritario urbanas mejoradas</t>
  </si>
  <si>
    <t>Hogares con cohabitación</t>
  </si>
  <si>
    <t>Estudios de pre inversión e inversión</t>
  </si>
  <si>
    <t>Hogares con hacinamiento crítico</t>
  </si>
  <si>
    <t xml:space="preserve">Estudios o diseños realizados </t>
  </si>
  <si>
    <t>Viviendas de interés social rural construidas</t>
  </si>
  <si>
    <t>Viviendas de interés social rural mejoradas</t>
  </si>
  <si>
    <t>Viviendas de Interés Social Rural mejoradas</t>
  </si>
  <si>
    <t>2.2.8</t>
  </si>
  <si>
    <t>Servicios públicos diferentes APSB</t>
  </si>
  <si>
    <t>1.8</t>
  </si>
  <si>
    <t>Procurar junto a los operadores de los servicios públicos de electricidad, gas domiciliario y comunicaciones, la mejora de la calidad y la cobertura de estos servicios para garantizar a la comunidad bienestar y más oportunidades de desarrollo socio-económico; garantizando la eficiencia en la prestación de los servicios y estableciendo una estructura tarifaria acorde a la estratificación.</t>
  </si>
  <si>
    <t>2.2.8.1</t>
  </si>
  <si>
    <t>Más Servicios públicos con eficiencia y calidad</t>
  </si>
  <si>
    <t>Redes de distribución de gas combustible construidas</t>
  </si>
  <si>
    <t>Consumo de gas natural para uso residencial</t>
  </si>
  <si>
    <t>Usme Osorio Luis David</t>
  </si>
  <si>
    <t xml:space="preserve">Informe unidad de servicios Públicos </t>
  </si>
  <si>
    <t>Kilómetros</t>
  </si>
  <si>
    <t xml:space="preserve">Unidad de servicios Públicos </t>
  </si>
  <si>
    <t>Redes domiciliarias de gas combustible instaladas</t>
  </si>
  <si>
    <t>Viviendas conectadas a la red local de gas combustible</t>
  </si>
  <si>
    <t>Redes de alumbrado público con mantenimiento</t>
  </si>
  <si>
    <t xml:space="preserve">Alumbrado público mejorado </t>
  </si>
  <si>
    <t xml:space="preserve">Metros </t>
  </si>
  <si>
    <t>Unidades de generación fotovoltaica de energía eléctrica instaladas</t>
  </si>
  <si>
    <t>Servicio de acceso Zonas Wifi</t>
  </si>
  <si>
    <t>Hogares con acceso a internet</t>
  </si>
  <si>
    <t>Zonas Wifi en áreas urbanas con redes terrestres instaladas</t>
  </si>
  <si>
    <t>Servicio de educación informal en uso básico de tecnologías de la información y las comunicaciones</t>
  </si>
  <si>
    <t>Personas de la comunidad capacitadas en uso básico de tecnologías de la información y las comunicaciones.</t>
  </si>
  <si>
    <t>Servicio de apoyo en tecnologías de la información y las comunicaciones para la educación básica, primaria y secundaria</t>
  </si>
  <si>
    <t>Estudiantes de sedes educativas oficiales beneficiados con el servicio de apoyo en tecnologías de la información y las comunicaciones para la educación</t>
  </si>
  <si>
    <t>Creemos en Angelópolis Emprendedor, Productivo y con Competitividad</t>
  </si>
  <si>
    <t>2.3.1</t>
  </si>
  <si>
    <t>Agropecuario</t>
  </si>
  <si>
    <t>2.1</t>
  </si>
  <si>
    <t>Aumentar la productividad, la capacidad agrícola y competitividad del sector agropecuario y minero mediante acciones, políticas, planes, proyectos, consensos y acuerdos que incluyan la dimensión ambiental y regulen su explotación y a través de la interrelación y articulación con el sector público, privado, no gubernamental y la academia; incrementando los ingresos de los pequeños y medianos productores mediante la implementación de sistemas de producción sostenibles, la diversidad genética y el apoyo a la asociatividad con el ánimo de prevenir restricciones y distorsiones de comercio en los mercados agrícolas y control de mercados de productos alimenticios.</t>
  </si>
  <si>
    <t xml:space="preserve">2.3.1.1 </t>
  </si>
  <si>
    <t>Inclusión productiva de pequeños productores rurales</t>
  </si>
  <si>
    <t>Servicio de asistencia técnica agropecuaria dirigida a pequeños productores</t>
  </si>
  <si>
    <t>Participación de pequeños productores en cadenas de
transformación agroindustria</t>
  </si>
  <si>
    <t>Tobón Zapata Helda Francisca - Londoño Saldarriaga Alberto Aníbal</t>
  </si>
  <si>
    <t>Pequeños productores rurales asistidos técnicamente</t>
  </si>
  <si>
    <t>Servicio de apoyo para el fomento de la asociatividad</t>
  </si>
  <si>
    <t>Asociaciones apoyadas</t>
  </si>
  <si>
    <t>Servicio de apoyo para el fomento organizativo de la Agricultura Campesina, Familiar y Comunitaria</t>
  </si>
  <si>
    <t>Productores agropecuarios apoyados</t>
  </si>
  <si>
    <t>Servicio de acompañamiento productivo y empresarial</t>
  </si>
  <si>
    <t xml:space="preserve">Participación de pequeños productores en mercados formales
(compras públicas, agricultura por contrato, etc.) </t>
  </si>
  <si>
    <t>Unidades productivas beneficiadas</t>
  </si>
  <si>
    <t>Servicio de apoyo en la formulación y estructuración de proyectos</t>
  </si>
  <si>
    <t>Proyectos estructurados</t>
  </si>
  <si>
    <t>Servicio de divulgación</t>
  </si>
  <si>
    <t>Estrategias de divulgación implementadas</t>
  </si>
  <si>
    <t>Servicio de Apoyo para la formulación de proyectos agropecuarios</t>
  </si>
  <si>
    <t>Proyectos formulados</t>
  </si>
  <si>
    <t>Servicio de acompañamiento integral</t>
  </si>
  <si>
    <t>Familias beneficiadas con acompañamiento integral</t>
  </si>
  <si>
    <t>Servicio de atención a brotes de enfermedades en animales</t>
  </si>
  <si>
    <t>Brotes de enfermedades animales controlados</t>
  </si>
  <si>
    <t>Servicios de vacunación para especies animales de interés agropecuario</t>
  </si>
  <si>
    <t>Animales vacunados</t>
  </si>
  <si>
    <t>2.3.1.2</t>
  </si>
  <si>
    <t>Asistencia técnica integral e Infraestructura productiva y comercial</t>
  </si>
  <si>
    <t>Servicios de control de parásitos para especies de interés agropecuario</t>
  </si>
  <si>
    <t>Animales atendidos</t>
  </si>
  <si>
    <t>Servicio de prevención y control de enfermedades</t>
  </si>
  <si>
    <t>Focos de enfermedades animales controlados</t>
  </si>
  <si>
    <t>Documentos de lineamientos técnicos</t>
  </si>
  <si>
    <t>Documentos de lineamientos técnicos elaborados</t>
  </si>
  <si>
    <t>Servicio de asistencia técnica agropecuaria</t>
  </si>
  <si>
    <t>Productores atendidos con asistencia técnica agropecuaria</t>
  </si>
  <si>
    <t>Servicio de extensión agropecuaria</t>
  </si>
  <si>
    <t>Productores atendidos con servicio de extensión agropecuaria</t>
  </si>
  <si>
    <t>Infraestructura para la transformación de productos agropecuarios adecuada</t>
  </si>
  <si>
    <t>Servicio de procesamiento de caña panelera</t>
  </si>
  <si>
    <t>Trapiches paneleros con servicio de procesamiento de caña. (agroindustria panelera)</t>
  </si>
  <si>
    <t xml:space="preserve">Estudios de preinversión realizados </t>
  </si>
  <si>
    <t>2.3.2</t>
  </si>
  <si>
    <t>Transporte</t>
  </si>
  <si>
    <t>2.2</t>
  </si>
  <si>
    <t>Garantizar el acceso a un desplazamiento oportuno, seguro y eficaz, de la población urbana y rural del municipio, mejorando las condiciones de movilidad y logrando una mayor calidad en el nivel del servicio público y vial de transporte permitiendo un tránsito ágil y seguro, en el marco de una cultura ciudadana.</t>
  </si>
  <si>
    <t>2.3.2.1</t>
  </si>
  <si>
    <t>Movilidad confiable y eficiente</t>
  </si>
  <si>
    <t>Vía secundaria mejorada</t>
  </si>
  <si>
    <t>Red vial secundaria en buen estado</t>
  </si>
  <si>
    <t>Puente construido en vía secundaria</t>
  </si>
  <si>
    <t>Puente construido en vía secundaria existente</t>
  </si>
  <si>
    <t>Vía secundaria rehabilitada</t>
  </si>
  <si>
    <t xml:space="preserve">Vía secundaria rehabilitada </t>
  </si>
  <si>
    <t>Puente de vía secundaria rehabilitado</t>
  </si>
  <si>
    <t xml:space="preserve">Puente de vía secundaria rehabilitado </t>
  </si>
  <si>
    <t>Placa huella construida</t>
  </si>
  <si>
    <t xml:space="preserve">Vías regionales con niveles de servicio adecuados </t>
  </si>
  <si>
    <t>Vía terciaria mejorada</t>
  </si>
  <si>
    <t>Metros lineales</t>
  </si>
  <si>
    <t>Puente construido en vía terciaria</t>
  </si>
  <si>
    <t>Red vial terciaria en buen estado</t>
  </si>
  <si>
    <t>Puente construido en vía terciaria existente</t>
  </si>
  <si>
    <t>Vía terciaria rehabilitada</t>
  </si>
  <si>
    <t xml:space="preserve">Vía terciaria rehabilitada </t>
  </si>
  <si>
    <t>Puente de la red vial terciaria rehabilitado</t>
  </si>
  <si>
    <t xml:space="preserve">Puentes de la red terciaria rehabilitados </t>
  </si>
  <si>
    <t>Caminos ancestrales con mantenimiento</t>
  </si>
  <si>
    <t>Red vial urbana en buen estado</t>
  </si>
  <si>
    <t xml:space="preserve">Caminos ancestrales con mantenimiento </t>
  </si>
  <si>
    <t>Puente en caminos ancestrales</t>
  </si>
  <si>
    <t xml:space="preserve">Puente construido en caminos ancestrales </t>
  </si>
  <si>
    <t>Documentos de planeación realizados</t>
  </si>
  <si>
    <t>Vía terciaria con mantenimiento periódico o rutinario</t>
  </si>
  <si>
    <t xml:space="preserve">Vía terciaria con mantenimiento </t>
  </si>
  <si>
    <t>Vía urbana rehabilitada</t>
  </si>
  <si>
    <t xml:space="preserve">Vía urbana rehabilitada </t>
  </si>
  <si>
    <t>Estudios de preinversión para la red vial regional</t>
  </si>
  <si>
    <t>Estudios de preinversión realizados</t>
  </si>
  <si>
    <t>2.3.2.2</t>
  </si>
  <si>
    <t>Movilidad segura y servicios de transporte</t>
  </si>
  <si>
    <t>Andenes de la red urbana construidos</t>
  </si>
  <si>
    <t>Fallecidos en siniestros viales</t>
  </si>
  <si>
    <t>Andenes construidos</t>
  </si>
  <si>
    <t>Andenes de la red urbana rehabilitados</t>
  </si>
  <si>
    <t xml:space="preserve">Andenes rehabilitados </t>
  </si>
  <si>
    <t>Servicio de promoción y difusión para la seguridad de transporte</t>
  </si>
  <si>
    <t>Viajes realizados diariamente en sistemas de transporte público
organizados</t>
  </si>
  <si>
    <t>Estrategias implementadas</t>
  </si>
  <si>
    <t>2.3.3</t>
  </si>
  <si>
    <t>Promoción del desarrollo</t>
  </si>
  <si>
    <t>2.3</t>
  </si>
  <si>
    <t>Promover el emprendimiento, turismo, industria y comercio, generando capacidades y habilidades para poner en marcha la innovación social empresarial y la generación de empleo digno; generando condiciones para el desarrollo económico y el aumento de la competitividad de los sectores sociales y productivos del Municipio que lo demanden.</t>
  </si>
  <si>
    <t>2.3.3.1</t>
  </si>
  <si>
    <t>Creemos en Angelópolis con desarrollo productivo y ambientalmente sostenible del sector minero</t>
  </si>
  <si>
    <t>Servicio de educación para el trabajo en actividades mineras</t>
  </si>
  <si>
    <t>Índice de accidentes mineros</t>
  </si>
  <si>
    <t>Gladys Cecilia Campo Agudelo</t>
  </si>
  <si>
    <t xml:space="preserve">Informe de capacitaciones o charlas realizadas </t>
  </si>
  <si>
    <t>Capacitaciones realizadas</t>
  </si>
  <si>
    <t xml:space="preserve">Secretaria de Gobierno </t>
  </si>
  <si>
    <t>Servicio de atención de emergencias mineras</t>
  </si>
  <si>
    <t>Informe secretaria de Gobierno</t>
  </si>
  <si>
    <t>Emergencias mineras atendidas</t>
  </si>
  <si>
    <t>Servicio de asistencia técnica para la reconversión socio laboral de personas dedicadas a la minería</t>
  </si>
  <si>
    <t>Índice de mejores prácticas de potencial mineral</t>
  </si>
  <si>
    <t>Personas asistidas técnicamente</t>
  </si>
  <si>
    <t>Servicio de asistencia técnica para la regularización de las actividades mineras</t>
  </si>
  <si>
    <t>Unidades productivas mineras beneficiarias de asistencia técnica para regularización</t>
  </si>
  <si>
    <t>Servicio de asistencia técnica en el manejo socio ambiental en las actividades mineras</t>
  </si>
  <si>
    <t>Servicio de asistencia técnica en actividades de explotación minera de pequeña y mediana escala</t>
  </si>
  <si>
    <t>Unidades de producción minera asistidas técnicamente</t>
  </si>
  <si>
    <t>2.3.3.2</t>
  </si>
  <si>
    <t>TIC</t>
  </si>
  <si>
    <t>Servicios de Información para la implementación de la Estrategia de Gobierno digital</t>
  </si>
  <si>
    <t>Índice de desarrollo del gobierno electrónico</t>
  </si>
  <si>
    <t>Herramientas tecnológicas de Gobierno digital  implementadas</t>
  </si>
  <si>
    <t>Servicio de promoción para la apropiación de la Estrategia de Gobierno digital</t>
  </si>
  <si>
    <t>Eventos de promoción de la Estrategia de Gobierno digital realizados</t>
  </si>
  <si>
    <t>Servicio de educación informal para la implementación de la Estrategia de Gobierno digital</t>
  </si>
  <si>
    <t>Personas capacitadas para la implementación de la Estrategia de Gobierno digital</t>
  </si>
  <si>
    <t>Servicio de gestión de alianzas para promover la formación en Gobierno Digital</t>
  </si>
  <si>
    <t>Alianzas (convenios, actividades dinamizadoras, acuerdos de servicio, etc.) gestionadas para promover la formación en Gobierno digital</t>
  </si>
  <si>
    <t>Servicio de monitoreo y evaluación a la implementación de la Estrategia de Gobierno digital</t>
  </si>
  <si>
    <t>Informes de monitoreo y seguimiento a la implementación de la Estrategia de Gobierno digital realizados</t>
  </si>
  <si>
    <t>Servicio de difusión para generar competencias en Tecnologías de la Información y las Comunicaciones</t>
  </si>
  <si>
    <t>Eventos de difusión para  generar competencias TIC realizados</t>
  </si>
  <si>
    <t>Servicio de difusión para promover el uso de internet</t>
  </si>
  <si>
    <t>Eventos de difusión para promover el uso de internet realizados</t>
  </si>
  <si>
    <t xml:space="preserve">2.3.3.3 </t>
  </si>
  <si>
    <t>Industria y Turismo con sabor a Pueblo</t>
  </si>
  <si>
    <t>Servicio de asistencia técnica para mejorar la competitividad de los sectores productivos</t>
  </si>
  <si>
    <t>Puntaje índice de competitividad</t>
  </si>
  <si>
    <t xml:space="preserve">Proyectos de alto impacto asistidos para el fortalecimiento de cadenas productivas </t>
  </si>
  <si>
    <t>Servicio de asistencia técnica y acompañamiento productivo y empresarial</t>
  </si>
  <si>
    <t>Servicio de asistencia técnica para la actividad artesanal</t>
  </si>
  <si>
    <t xml:space="preserve">Personas asistidas técnicamente </t>
  </si>
  <si>
    <t>Servicio de promoción turística</t>
  </si>
  <si>
    <t>Población ocupada en la industria turística</t>
  </si>
  <si>
    <t>Campañas realizadas</t>
  </si>
  <si>
    <t>Sendero turístico mantenido</t>
  </si>
  <si>
    <t>Senderos mantenidos</t>
  </si>
  <si>
    <t>Sistema lineal teleférico turístico construido</t>
  </si>
  <si>
    <t>Sistema lineal teleférico construido</t>
  </si>
  <si>
    <t>Cursos ofrecidos</t>
  </si>
  <si>
    <t>2.3.3.4</t>
  </si>
  <si>
    <t>Cultura del emprendimiento, el trabajo y la competitividad</t>
  </si>
  <si>
    <t>Servicio de promoción para el emprendimiento</t>
  </si>
  <si>
    <t>Productividad empresarial</t>
  </si>
  <si>
    <t>Acciones de promoción y difusión realizadas</t>
  </si>
  <si>
    <t>Servicio de gestión para el emprendimiento solidario</t>
  </si>
  <si>
    <t>Emprendimientos solidarios dinamizados</t>
  </si>
  <si>
    <t>Servicio de educación informal para la prevención integral del trabajo infantil</t>
  </si>
  <si>
    <t>Tasa de informalidad laboral</t>
  </si>
  <si>
    <t>Servicio de educación informal en Inspección, Vigilancia y Control en normas laborales y de seguridad social y de salud en el trabajo</t>
  </si>
  <si>
    <t>Servicio de asistencia técnica para la generación y formalización de empresa</t>
  </si>
  <si>
    <t>Índice nacional de competitividad (departamentos)</t>
  </si>
  <si>
    <t>Planes de negocio formulados</t>
  </si>
  <si>
    <t>Servicios de identificación y formulación de planes de Emprendimiento</t>
  </si>
  <si>
    <t>Unidades productivas creadas por población víctima del desplazamiento por la violencia</t>
  </si>
  <si>
    <t>Servicio de asistencia técnica para la generación y formalización del empleo</t>
  </si>
  <si>
    <t>Personas egresadas de formación tecnológica, técnica y profesional
vinculadas laboralmente Número 0 2019 4
Programas Asociados Cód</t>
  </si>
  <si>
    <t>Servicio de divulgación para la aplicación del enfoque de género</t>
  </si>
  <si>
    <t>Personas sensibilizadas</t>
  </si>
  <si>
    <t>Servicio de prevención del trabajo infantil y protección del adolescente trabajador</t>
  </si>
  <si>
    <t>Servicio de promoción y divulgación para generación y formalización del empleo</t>
  </si>
  <si>
    <t>Acciones realizadas</t>
  </si>
  <si>
    <t>Servicio de asistencia técnica para la equidad de Género</t>
  </si>
  <si>
    <t>Empresas asistidas técnicamente</t>
  </si>
  <si>
    <t>Servicio de formación informal para el emprendimiento rural</t>
  </si>
  <si>
    <t>Unidades Productivas Rurales creadas</t>
  </si>
  <si>
    <t>Servicio de educación informal para el talento humano</t>
  </si>
  <si>
    <t>2.3.3.5</t>
  </si>
  <si>
    <t>Cultura de la Innovación y la Investigación</t>
  </si>
  <si>
    <t>Servicio de apoyo para el desarrollo tecnológico y la innovación</t>
  </si>
  <si>
    <t>Porcentaje de colombianos que tienen apropiación alta y
muy alta de la ciencia y la tecnología</t>
  </si>
  <si>
    <t>Proyectos financiados para el desarrollo tecnológico y la innovación</t>
  </si>
  <si>
    <t>Servicio de apoyo para la transferencia de conocimiento y tecnología</t>
  </si>
  <si>
    <t xml:space="preserve">Organizaciones beneficiadas a través de la estrategia de gestión de la I+D+i  </t>
  </si>
  <si>
    <t>Servicio de apoyo financiero para el fomento de vocaciones científicas en CTeI</t>
  </si>
  <si>
    <t>Número de niños y jóvenes con vocaciones científicas fortalecidas</t>
  </si>
  <si>
    <t>Servicio para el fortalecimiento de capacidades institucionales para el fomento de vocación científica</t>
  </si>
  <si>
    <t>Estrategias de fortalecimiento de capacidades institucionales en vocaciones científicas implementadas</t>
  </si>
  <si>
    <t>Servicio de apoyo financiero para el fortalecimiento de capacidades institucionales pará el fomento de vocación científica</t>
  </si>
  <si>
    <t>Estrategias de apoyo financiero al fortalecimiento de capacidades institucionales implementadas</t>
  </si>
  <si>
    <t>Creemos en Angelópolis Sostenible, con Innovación verde, Resiliente y con Gestión del Riesgo</t>
  </si>
  <si>
    <t>2.4.1</t>
  </si>
  <si>
    <t>Ambiental</t>
  </si>
  <si>
    <t>3.1</t>
  </si>
  <si>
    <t>Mejorar la relación ser humano, medio ambiente y su entorno, mediante la recuperación, conservación y preservación integralmente del ecosistema, con gestión, educación ambiental, mantenimiento, restauración y protección de las áreas de interés hídrico. Además, se organizarán, recuperarán y protegerán las fuentes del recurso hídrico en coordinación con CORANTIOQUIA y la participación de organizaciones ambientales y comunidades afectadas para fortalecer su capacidad de oferta de servicios ambientales sostenibles orientados al bienestar de toda la comunidad</t>
  </si>
  <si>
    <t>2.4.1.1</t>
  </si>
  <si>
    <t>Creemos en Angelópolis Sostenible y territorialmente ordenado</t>
  </si>
  <si>
    <t>Servicio de asistencia técnica para la consolidación de negocios verdes</t>
  </si>
  <si>
    <t>Participación de la producción agrícola que cumple con criterios de crecimiento
verde</t>
  </si>
  <si>
    <t>Tobón Zapata Helda Francisca</t>
  </si>
  <si>
    <t xml:space="preserve">Negocios verdes consolidados </t>
  </si>
  <si>
    <t>Servicio de seguimiento y evaluación de los programas de recolección de residuos posconsumo</t>
  </si>
  <si>
    <t>Programas de recolección de residuos posconsumo evaluados</t>
  </si>
  <si>
    <t>Documentos de lineamientos técnicos para promover la gestión sostenible del suelo</t>
  </si>
  <si>
    <t>Área deforestada en la entidad territorial</t>
  </si>
  <si>
    <t>Documentos de lineamientos técnicos para promover la gestión sostenible del suelo elaborados</t>
  </si>
  <si>
    <t>Servicio de reforestación de ecosistemas</t>
  </si>
  <si>
    <t>Áreas en proceso de restauración</t>
  </si>
  <si>
    <t>Plantaciones forestales realizadas</t>
  </si>
  <si>
    <t>Hectáreas</t>
  </si>
  <si>
    <t>Servicio de educación informal en el marco de la conservación de la biodiversidad y los Servicios ecostémicos</t>
  </si>
  <si>
    <t>Área de bosque estable de la entidad territorial</t>
  </si>
  <si>
    <t>Infraestructura ecoturística construida</t>
  </si>
  <si>
    <t xml:space="preserve">Infraestructura ecoturística construida </t>
  </si>
  <si>
    <t>Servicio de asistencia técnica para la protección de la fauna y flora silvestre</t>
  </si>
  <si>
    <t>Entidades asistidas</t>
  </si>
  <si>
    <t>Servicio de asistencia técnica relacionado con calidad, uso y planificación del recurso hídrico</t>
  </si>
  <si>
    <t>Talleres realizados</t>
  </si>
  <si>
    <t>Servicio de caracterización de la calidad del agua</t>
  </si>
  <si>
    <t>Usuarios del recurso hídrico con programas de uso eficiente y ahorro de agua
(PUEAA) implementados</t>
  </si>
  <si>
    <t>Documento con análisis de la calidad del recurso hídrico</t>
  </si>
  <si>
    <t>Servicio de seguimiento a los procesos de ordenación y manejo de cuencas hidrográficas</t>
  </si>
  <si>
    <t>Reportes de avance de la formulación e implementación de los procesos de Ordenación y Manejo Cuencas</t>
  </si>
  <si>
    <t>Servicio de apoyo financiero a emprendimientos</t>
  </si>
  <si>
    <t xml:space="preserve">Emprendimientos apoyados </t>
  </si>
  <si>
    <t>Servicio de protección del conocimiento tradicional</t>
  </si>
  <si>
    <t>Documentos de protección del conocimiento tradicional realizados</t>
  </si>
  <si>
    <t>Servicio de educación para el trabajo en cultura y participación para la gestión ambiental y territorial</t>
  </si>
  <si>
    <t>Personas formadas en cultura y participación para la gestión ambiental y territorial</t>
  </si>
  <si>
    <t>Servicio de divulgación y socialización ambiental en el marco del ordenamiento ambiental territorial</t>
  </si>
  <si>
    <t>Obras de infraestructura para mitigación y atención a desastres</t>
  </si>
  <si>
    <t xml:space="preserve">Obras de infraestructura para mitigación y atención a desastres realizadas </t>
  </si>
  <si>
    <t>2.4.1.2</t>
  </si>
  <si>
    <t>Gestión del cambio climático para un desarrollo bajo en carbono y resiliente al clima</t>
  </si>
  <si>
    <t>Servicio de rehabilitación de ecosistemas con especies forestales dendroenergeticas</t>
  </si>
  <si>
    <t>Planes de desarrollo territorial que involucran estrategias de
gestión del cambio climático</t>
  </si>
  <si>
    <t>Plantaciones forestales Dendroenergeticas establecidas</t>
  </si>
  <si>
    <t>Servicio de educación informal en gestión del cambio climático para un desarrollo bajo en carbono y resiliente al clima</t>
  </si>
  <si>
    <t>Personas capacitadas en gestión del cambio climático</t>
  </si>
  <si>
    <t>Servicio de divulgación de la información en gestión del cambio climático para un desarrollo bajo en carbono y resiliente al clima</t>
  </si>
  <si>
    <t xml:space="preserve">Campañas de información en gestión de cambio climático realizadas </t>
  </si>
  <si>
    <t>Documentos de planeación para la gestión del cambio climático y un desarrollo bajo en carbono y resiliente al clima</t>
  </si>
  <si>
    <t>Documentos de planeación con la propuesta de acciones de mitigación y adaptación al cambio climático diseñados</t>
  </si>
  <si>
    <t>Estufas ecoeficientes</t>
  </si>
  <si>
    <t>Estufas ecoeficientes instaladas y en operación</t>
  </si>
  <si>
    <t>Servicio de producción de plántulas en viveros</t>
  </si>
  <si>
    <t>Plántulas producidas</t>
  </si>
  <si>
    <t>Servicio de asistencia técnica para la implementación de las estrategias educativo ambientales y de participación</t>
  </si>
  <si>
    <t xml:space="preserve">Estrategias educativo ambientales y de participación implementadas </t>
  </si>
  <si>
    <t>Servicio de divulgación de la información de la política nacional de educación ambiental y participación</t>
  </si>
  <si>
    <t>Campañas de educación ambiental y participación implementadas</t>
  </si>
  <si>
    <t>2.4.2</t>
  </si>
  <si>
    <t>Atención y Prevención de desastres (Gestión del riesgo)</t>
  </si>
  <si>
    <t>3.2</t>
  </si>
  <si>
    <t>Conocer de las amenazas y riesgos a fin de mitigarlos  ejecutando planes, programas y proyectos para su mitigación y para el potencial manejo,  permitiendo atender problemáticas sobre el uso del suelo y ocupación del territorio municipal, sobre todo en relación con la adecuada localización de la población y de infraestructuras de movilidad y transporte y de servicios públicos y de equipamientos frente a amenazas naturales y socio- naturales, esto de manera articulada con lo definido en el respectivo Esquema de Ordenamiento Territorial EOT y en  el Plan Municipal de Gestión del Riesgo.</t>
  </si>
  <si>
    <t>2.4.2.1</t>
  </si>
  <si>
    <t>Angelópolis Conoce, Reduce y Maneja el Riesgo de desastres</t>
  </si>
  <si>
    <t>Servicios de implementación del plan de gestión del riesgo de desastres y estrategia para la respuesta a emergencias</t>
  </si>
  <si>
    <t>Tasa de personas afectadas a causa de eventos recurrentes</t>
  </si>
  <si>
    <t>Plan de gestión del riesgo de desastres y estrategia para la respuesta a emergencias implementados</t>
  </si>
  <si>
    <t>Servicio de atención a emergencias y desastres</t>
  </si>
  <si>
    <t>Tasa de bomberos por habitante</t>
  </si>
  <si>
    <t>Emergencias y desastres atendidas</t>
  </si>
  <si>
    <t>Tasa de reasentamiento</t>
  </si>
  <si>
    <t>Creemos en Angelópolis Institucional, Buen Gobierno, Seguridad y con Participación Ciudadana</t>
  </si>
  <si>
    <t>2.5.1</t>
  </si>
  <si>
    <t>Fortalecimiento Institucional</t>
  </si>
  <si>
    <t>4.1</t>
  </si>
  <si>
    <t>Establecer canales de comunicación efectivos entre la Administración municipal y todos los organismos públicos y privados y su comunidad en general y realizar acciones encaminadas a fortalecer la imagen institucional mediante el manejo de los recursos públicos con transparente y responsabilidad; mejorando la capacidad administrativa del municipio garantizando confianza, transparencia, celeridad, eficiencia y seguridad para sus habitantes.</t>
  </si>
  <si>
    <t>2.5.1.1</t>
  </si>
  <si>
    <t>Creemos en Angelópolis con gestión pública efectiva y transparente</t>
  </si>
  <si>
    <t>0301001</t>
  </si>
  <si>
    <t xml:space="preserve">Predios gestionados catastralmente </t>
  </si>
  <si>
    <t xml:space="preserve">Documentos presentados </t>
  </si>
  <si>
    <t>030100103</t>
  </si>
  <si>
    <t>Documento de plan de desarrollo territorial elaborado</t>
  </si>
  <si>
    <t>0301027</t>
  </si>
  <si>
    <t>Servicio de asistencia técnica</t>
  </si>
  <si>
    <t>030102702</t>
  </si>
  <si>
    <t>Entidades apoyadas a través del servicio de asistencia técnica para la formulación, estructuración y gestión de proyectos de inversión</t>
  </si>
  <si>
    <t>0301028</t>
  </si>
  <si>
    <t>Servicio de seguimiento a la inversión pública</t>
  </si>
  <si>
    <t>030102800</t>
  </si>
  <si>
    <t>Documentos de seguimiento a la inversión pública</t>
  </si>
  <si>
    <t>0301029</t>
  </si>
  <si>
    <t>Base de datos para la focalización del gasto público</t>
  </si>
  <si>
    <t>030102902</t>
  </si>
  <si>
    <t>Sistemas de información implementados</t>
  </si>
  <si>
    <t>0304002</t>
  </si>
  <si>
    <t>Documentos de lineamientos técnicos en compras y contratación elaborados</t>
  </si>
  <si>
    <t>0304009</t>
  </si>
  <si>
    <t>Servicio de información para la compra pública</t>
  </si>
  <si>
    <t>Disponibilidad del servicio</t>
  </si>
  <si>
    <t>Porcentaje</t>
  </si>
  <si>
    <t>0404001</t>
  </si>
  <si>
    <t>Servicio de actualización catastral</t>
  </si>
  <si>
    <t>Informe catastral</t>
  </si>
  <si>
    <t>040400100</t>
  </si>
  <si>
    <t>Predios catastralmente actualizados</t>
  </si>
  <si>
    <t>0404002</t>
  </si>
  <si>
    <t>Servicio de conservación catastral</t>
  </si>
  <si>
    <t>040400200</t>
  </si>
  <si>
    <t>Mutaciones catastrales realizadas</t>
  </si>
  <si>
    <t>0404004</t>
  </si>
  <si>
    <t>Servicio de Información Catastral</t>
  </si>
  <si>
    <t>040400403</t>
  </si>
  <si>
    <t>Mutaciones realizadas</t>
  </si>
  <si>
    <t>0404007</t>
  </si>
  <si>
    <t>Servicio de avalúos </t>
  </si>
  <si>
    <t xml:space="preserve">Informe secretaria de Gobierno </t>
  </si>
  <si>
    <t>040400700</t>
  </si>
  <si>
    <t>Avalúos realizados</t>
  </si>
  <si>
    <t>0504002</t>
  </si>
  <si>
    <t>Servicio de evaluación del desempeño laboral</t>
  </si>
  <si>
    <t>050400200</t>
  </si>
  <si>
    <t>Instrumentos de evaluación del desempeño laboral implementados</t>
  </si>
  <si>
    <t>0505037</t>
  </si>
  <si>
    <t>Sistema de Control Interno</t>
  </si>
  <si>
    <t>050503700</t>
  </si>
  <si>
    <t>Entidades con sistema de control interno implementado y fortalecido</t>
  </si>
  <si>
    <t>0505008</t>
  </si>
  <si>
    <t>Servicio de Asistencia Técnica en la gestión y administración estratégica de Personal</t>
  </si>
  <si>
    <t>050500801</t>
  </si>
  <si>
    <t>Entidades territoriales asesoradas en la gestión y administración estratégica de personal</t>
  </si>
  <si>
    <t>1301005</t>
  </si>
  <si>
    <t>Servicio de divulgación en materia fiscal y financiera</t>
  </si>
  <si>
    <t>130100500</t>
  </si>
  <si>
    <t xml:space="preserve">Asesorías y capacitaciones realizadas </t>
  </si>
  <si>
    <t>1301007</t>
  </si>
  <si>
    <t>Servicios de información y gestión misionales fortalecidos</t>
  </si>
  <si>
    <t>130100700</t>
  </si>
  <si>
    <t xml:space="preserve">Soluciones informáticas implementadas </t>
  </si>
  <si>
    <t>2.5.1.2</t>
  </si>
  <si>
    <t>Ordenamiento territorial y desarrollo urbano</t>
  </si>
  <si>
    <t>Servicio de apoyo financiero en planes de desarrollo urbano y ordenamiento territorial</t>
  </si>
  <si>
    <t>Índice de Gini</t>
  </si>
  <si>
    <t>Planes de desarrollo urbano y ordenamiento territorial financiados</t>
  </si>
  <si>
    <t>2.5.2</t>
  </si>
  <si>
    <t>Equipamiento</t>
  </si>
  <si>
    <t>4.2</t>
  </si>
  <si>
    <t>Disponer de una infraestructura administrativa y bienes de uso público de propiedad del municipio adecuados para la prestación de servicios con calidad y eficiencia</t>
  </si>
  <si>
    <t>2.5.2.1</t>
  </si>
  <si>
    <t>Espacio público y equipamiento municipal real</t>
  </si>
  <si>
    <t>Espacio público adecuado</t>
  </si>
  <si>
    <t>Informe secretaria de Gobierno, contratos realizados y ejecutados, fotografías.</t>
  </si>
  <si>
    <t>Metro cuadrado</t>
  </si>
  <si>
    <t>Parques mantenidos</t>
  </si>
  <si>
    <t>Parques mejorados</t>
  </si>
  <si>
    <t>Zonas verdes mantenidas</t>
  </si>
  <si>
    <t xml:space="preserve">2.5.3 </t>
  </si>
  <si>
    <t>Justicia y Seguridad</t>
  </si>
  <si>
    <t>4.3</t>
  </si>
  <si>
    <t>Mejorar la capacidad de reacción y respuesta de los entes de seguridad en las situaciones de alteración del orden público y en la protección de la vida, honra y bienes de la comunidad Angelopolitana</t>
  </si>
  <si>
    <t>2.5.3.1</t>
  </si>
  <si>
    <t>Promoción al acceso a la justicia</t>
  </si>
  <si>
    <t>Servicio de educación informal en temas de acceso a la justicia</t>
  </si>
  <si>
    <t xml:space="preserve">Índice de violaciones a DD.HH </t>
  </si>
  <si>
    <t>Servicio de promoción del acceso a la justicia</t>
  </si>
  <si>
    <t>Índice de acceso efectivo a la justicia</t>
  </si>
  <si>
    <t>Estrategias de acceso a la justicia desarrolladas</t>
  </si>
  <si>
    <t>2.5.3.2</t>
  </si>
  <si>
    <t>Promoción de los métodos de resolución de conflictos</t>
  </si>
  <si>
    <t>Servicio de divulgación para promover los métodos de resolución de conflictos</t>
  </si>
  <si>
    <t>Casos resueltos a través de los métodos de resolución de
conflictos</t>
  </si>
  <si>
    <t>Piezas comunicativas elaboradas y difundidas</t>
  </si>
  <si>
    <t>Servicio de apoyo financiero para la atención de actividades de seguridad y orden público</t>
  </si>
  <si>
    <t>índices de conflicto en Colombia</t>
  </si>
  <si>
    <t>Organismos de seguridad apoyados financieramente</t>
  </si>
  <si>
    <t>2.5.3.3</t>
  </si>
  <si>
    <t>Fortalecimiento de la convivencia y la seguridad ciudadana</t>
  </si>
  <si>
    <t>Servicio de promoción de convivencia y no repetición</t>
  </si>
  <si>
    <t>Índice de convivencia ciudadana</t>
  </si>
  <si>
    <t>Iniciativas para la promoción de la convivencia implementadas</t>
  </si>
  <si>
    <t>Comisarías de familia dotadas</t>
  </si>
  <si>
    <t>Índice de goce efectivo del derecho</t>
  </si>
  <si>
    <t>Comisarías de familia dotada</t>
  </si>
  <si>
    <t>Servicio de prevención a violaciones de derechos humanos</t>
  </si>
  <si>
    <t>Misiones humanitarias realizadas</t>
  </si>
  <si>
    <t>2.5.4</t>
  </si>
  <si>
    <t>Desarrollo Comunitario</t>
  </si>
  <si>
    <t>4.4</t>
  </si>
  <si>
    <t>Fortalecer las diferentes organizaciones sociales de base que representen los intereses de las comunidades a través de la generación de acciones de capacitación, de apoyo a la organización y de suministro de información para que los ciudadanos y las ciudadanas participen en la toma de decisiones y en el control de lo público.</t>
  </si>
  <si>
    <t>2.5.4.1</t>
  </si>
  <si>
    <t>Desarrollo comunitario, participativo y gobernanza colaborativa</t>
  </si>
  <si>
    <t>Servicio de promoción a la participación ciudadana</t>
  </si>
  <si>
    <t>Iniciativas para la promoción de la participación ciudadana implementada</t>
  </si>
  <si>
    <t>Salón comunal construido y dotado</t>
  </si>
  <si>
    <t>Salones comunales construidos y dotados</t>
  </si>
  <si>
    <t>Salón comunal adecuado</t>
  </si>
  <si>
    <t>Nivel de participación no electoral</t>
  </si>
  <si>
    <t>Salones comunales adecuados</t>
  </si>
  <si>
    <t>Salón comunal dotado</t>
  </si>
  <si>
    <t>Salones comunales dotados</t>
  </si>
  <si>
    <t>2.5.5</t>
  </si>
  <si>
    <t>Centros de Reclusión</t>
  </si>
  <si>
    <t>4.5</t>
  </si>
  <si>
    <t>Garantizar la promoción, protección, rehabilitación social y el respeto a los Derechos Humanos</t>
  </si>
  <si>
    <t>2.5.5.1</t>
  </si>
  <si>
    <t>Reclusión con respeto de los derechos humanos</t>
  </si>
  <si>
    <t>Servicio de bienestar a la población privada de libertad</t>
  </si>
  <si>
    <t>Índice de violaciones a DDHH</t>
  </si>
  <si>
    <t>Personas privadas de la libertad con Servicio de bienestar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</si>
</sst>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"/>
    <numFmt numFmtId="165" formatCode="&quot;$&quot;\ #,##0"/>
    <numFmt numFmtId="166" formatCode="&quot;$&quot;\ #,##0.0"/>
    <numFmt numFmtId="167" formatCode="&quot;$&quot;\ #,##0.00"/>
    <numFmt numFmtId="168" formatCode="0.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indexed="64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justify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justify" vertical="center" wrapText="1"/>
    </xf>
    <xf numFmtId="0" fontId="3" fillId="0" borderId="2" xfId="0" applyFont="1" applyFill="1" applyBorder="1" applyAlignment="1">
      <alignment horizontal="justify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6" fontId="3" fillId="0" borderId="2" xfId="0" applyNumberFormat="1" applyFont="1" applyFill="1" applyBorder="1" applyAlignment="1">
      <alignment horizontal="center" vertical="center" wrapText="1"/>
    </xf>
    <xf numFmtId="167" fontId="3" fillId="0" borderId="2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Fill="1" applyBorder="1" applyAlignment="1">
      <alignment horizontal="center" vertical="center" wrapText="1"/>
    </xf>
    <xf numFmtId="166" fontId="3" fillId="0" borderId="3" xfId="0" applyNumberFormat="1" applyFont="1" applyFill="1" applyBorder="1" applyAlignment="1">
      <alignment horizontal="center" vertical="center" wrapText="1"/>
    </xf>
    <xf numFmtId="3" fontId="3" fillId="0" borderId="2" xfId="1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167" fontId="3" fillId="0" borderId="0" xfId="0" applyNumberFormat="1" applyFont="1" applyFill="1" applyAlignment="1">
      <alignment vertical="center" wrapText="1"/>
    </xf>
    <xf numFmtId="0" fontId="4" fillId="0" borderId="2" xfId="0" applyFont="1" applyFill="1" applyBorder="1" applyAlignment="1">
      <alignment horizontal="justify" vertical="center"/>
    </xf>
    <xf numFmtId="0" fontId="4" fillId="0" borderId="3" xfId="0" applyFont="1" applyFill="1" applyBorder="1" applyAlignment="1">
      <alignment horizontal="justify" vertical="center"/>
    </xf>
    <xf numFmtId="1" fontId="4" fillId="0" borderId="3" xfId="0" applyNumberFormat="1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/>
    </xf>
    <xf numFmtId="168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justify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168" fontId="4" fillId="0" borderId="3" xfId="0" applyNumberFormat="1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168" fontId="3" fillId="0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justify" vertical="center"/>
    </xf>
    <xf numFmtId="49" fontId="4" fillId="0" borderId="2" xfId="0" applyNumberFormat="1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justify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justify"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justify" vertical="center" wrapText="1"/>
    </xf>
    <xf numFmtId="0" fontId="4" fillId="0" borderId="6" xfId="0" applyFont="1" applyFill="1" applyBorder="1" applyAlignment="1">
      <alignment horizontal="justify" vertical="center"/>
    </xf>
    <xf numFmtId="1" fontId="3" fillId="0" borderId="6" xfId="0" applyNumberFormat="1" applyFont="1" applyFill="1" applyBorder="1" applyAlignment="1">
      <alignment horizontal="center" vertical="center"/>
    </xf>
    <xf numFmtId="3" fontId="3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65" fontId="3" fillId="0" borderId="6" xfId="0" applyNumberFormat="1" applyFont="1" applyFill="1" applyBorder="1" applyAlignment="1">
      <alignment horizontal="center" vertical="center" wrapText="1"/>
    </xf>
    <xf numFmtId="166" fontId="3" fillId="0" borderId="6" xfId="0" applyNumberFormat="1" applyFont="1" applyFill="1" applyBorder="1" applyAlignment="1">
      <alignment horizontal="center" vertical="center" wrapText="1"/>
    </xf>
    <xf numFmtId="167" fontId="3" fillId="0" borderId="6" xfId="0" applyNumberFormat="1" applyFont="1" applyFill="1" applyBorder="1" applyAlignment="1">
      <alignment horizontal="center" vertical="center" wrapText="1"/>
    </xf>
    <xf numFmtId="167" fontId="3" fillId="0" borderId="7" xfId="0" applyNumberFormat="1" applyFont="1" applyFill="1" applyBorder="1" applyAlignment="1">
      <alignment horizontal="center" vertical="center" wrapText="1"/>
    </xf>
    <xf numFmtId="167" fontId="3" fillId="0" borderId="8" xfId="0" applyNumberFormat="1" applyFont="1" applyFill="1" applyBorder="1" applyAlignment="1">
      <alignment horizontal="center" vertical="center" wrapText="1"/>
    </xf>
    <xf numFmtId="165" fontId="5" fillId="0" borderId="6" xfId="0" applyNumberFormat="1" applyFont="1" applyFill="1" applyBorder="1" applyAlignment="1">
      <alignment horizontal="center" vertical="center" wrapText="1"/>
    </xf>
    <xf numFmtId="3" fontId="3" fillId="0" borderId="9" xfId="0" applyNumberFormat="1" applyFont="1" applyFill="1" applyBorder="1"/>
    <xf numFmtId="0" fontId="3" fillId="0" borderId="0" xfId="0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justify" vertical="center" wrapText="1"/>
    </xf>
    <xf numFmtId="0" fontId="3" fillId="0" borderId="0" xfId="0" applyFont="1" applyFill="1" applyAlignment="1">
      <alignment horizontal="justify" vertical="center" wrapText="1"/>
    </xf>
    <xf numFmtId="1" fontId="3" fillId="0" borderId="0" xfId="0" applyNumberFormat="1" applyFont="1" applyFill="1" applyAlignment="1">
      <alignment horizontal="center" vertical="center" wrapText="1"/>
    </xf>
    <xf numFmtId="3" fontId="3" fillId="0" borderId="0" xfId="0" applyNumberFormat="1" applyFont="1" applyFill="1" applyAlignment="1">
      <alignment horizontal="center" vertical="center" wrapText="1"/>
    </xf>
    <xf numFmtId="165" fontId="3" fillId="0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Normal 2" xfId="1"/>
  </cellStyles>
  <dxfs count="1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7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6" formatCode="&quot;$&quot;\ #,##0.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5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4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4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4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64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0" formatCode="@"/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0" formatCode="@"/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thin">
          <color auto="1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border outline="0">
        <right style="thin">
          <color auto="1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ALENTINA/Downloads/Matriz%20eficacia%20Angelopolis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Plurianual de inversiones"/>
      <sheetName val="TD2020"/>
      <sheetName val="TD2021"/>
      <sheetName val="TD2022"/>
      <sheetName val="TD2023"/>
      <sheetName val="PlanPlurianualInversiones PPI"/>
      <sheetName val="POAI 2020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PlanIndicativo" displayName="PlanIndicativo" ref="A1:BW270" totalsRowCount="1" headerRowDxfId="154" dataDxfId="153" totalsRowDxfId="152" tableBorderDxfId="151" totalsRowBorderDxfId="150">
  <autoFilter ref="A1:BW269"/>
  <tableColumns count="75">
    <tableColumn id="2" name="Código_x000a_ LE" dataDxfId="148" totalsRowDxfId="149"/>
    <tableColumn id="3" name="LE" dataDxfId="146" totalsRowDxfId="147"/>
    <tableColumn id="4" name="Código_x000a_ Sector" dataDxfId="144" totalsRowDxfId="145"/>
    <tableColumn id="5" name="Sector PDM" dataDxfId="142" totalsRowDxfId="143"/>
    <tableColumn id="58" name="Código_x000a_Obj.Sector" dataDxfId="140" totalsRowDxfId="141"/>
    <tableColumn id="52" name="Objetivo Sectorial" dataDxfId="138" totalsRowDxfId="139"/>
    <tableColumn id="6" name="Código_x000a_Programa" dataDxfId="136" totalsRowDxfId="137"/>
    <tableColumn id="7" name="Programa" dataDxfId="134" totalsRowDxfId="135"/>
    <tableColumn id="9" name="Código_x000a_Meta Producto" dataDxfId="132" totalsRowDxfId="133"/>
    <tableColumn id="10" name=" Nombre Metas de Producto_x000a_MP" dataDxfId="130" totalsRowDxfId="131"/>
    <tableColumn id="14" name="Metas resultado / Bienestar " dataDxfId="128" totalsRowDxfId="129"/>
    <tableColumn id="8" name="Funcionario Responsable " dataDxfId="126" totalsRowDxfId="127"/>
    <tableColumn id="13" name="Fuentes de verificación " dataDxfId="124" totalsRowDxfId="125"/>
    <tableColumn id="18" name="Periodicidad de medición " dataDxfId="122" totalsRowDxfId="123"/>
    <tableColumn id="1" name="ponderación " dataDxfId="120" totalsRowDxfId="121"/>
    <tableColumn id="12" name="Código Indicador  _x000a_Producto" dataDxfId="118" totalsRowDxfId="119"/>
    <tableColumn id="69" name="Nombre del Indicador de Producto" dataDxfId="116" totalsRowDxfId="117"/>
    <tableColumn id="94" name="Unidad_x000a_ Indicador de Producto" dataDxfId="114" totalsRowDxfId="115"/>
    <tableColumn id="15" name="Tipo de Indicador" dataDxfId="112" totalsRowDxfId="113"/>
    <tableColumn id="16" name="Línea Base" dataDxfId="110" totalsRowDxfId="111"/>
    <tableColumn id="17" name="Valor Meta P_x000a_ esperada al Cuatrienio" dataDxfId="108" totalsRowDxfId="109"/>
    <tableColumn id="75" name="Valor Meta P _x000a_esperada 2020" dataDxfId="106" totalsRowDxfId="107"/>
    <tableColumn id="74" name="Valor Meta P_x000a_esperada 2021" dataDxfId="104" totalsRowDxfId="105"/>
    <tableColumn id="68" name="Valor Meta P_x000a_esperada 2022" dataDxfId="102" totalsRowDxfId="103"/>
    <tableColumn id="67" name="Valor Meta P_x000a_esperada 2023" dataDxfId="100" totalsRowDxfId="101"/>
    <tableColumn id="100" name="Ingresos Corrientes de Libre Destinación - ICLD (2020)" totalsRowFunction="sum" dataDxfId="98" totalsRowDxfId="99"/>
    <tableColumn id="101" name="Ingresos Corrientes de Destinación Específica - ICDE (2020)" totalsRowFunction="sum" dataDxfId="96" totalsRowDxfId="97"/>
    <tableColumn id="102" name="SGP Educación (2020)" totalsRowFunction="sum" dataDxfId="94" totalsRowDxfId="95"/>
    <tableColumn id="103" name="SGP Salud (2020)" totalsRowFunction="sum" dataDxfId="92" totalsRowDxfId="93"/>
    <tableColumn id="99" name="SGP Agua Potable y Saneamiento Básico (2020)" totalsRowFunction="sum" dataDxfId="90" totalsRowDxfId="91"/>
    <tableColumn id="98" name="SGP Propósito General (2020)" totalsRowFunction="sum" dataDxfId="88" totalsRowDxfId="89"/>
    <tableColumn id="104" name="SGP Asignaciones Especiales (2020)" totalsRowFunction="sum" dataDxfId="86" totalsRowDxfId="87"/>
    <tableColumn id="97" name="Sistema General de Regalías - SGR (2020)" totalsRowFunction="sum" dataDxfId="84" totalsRowDxfId="85"/>
    <tableColumn id="96" name="Cofinanciación (2020)" totalsRowFunction="sum" dataDxfId="82" totalsRowDxfId="83"/>
    <tableColumn id="95" name="Crédito (2020)" totalsRowFunction="sum" dataDxfId="80" totalsRowDxfId="81"/>
    <tableColumn id="90" name="Otros (2020)" totalsRowFunction="sum" dataDxfId="78" totalsRowDxfId="79"/>
    <tableColumn id="105" name="Total (2020)" totalsRowFunction="sum" dataDxfId="76" totalsRowDxfId="77">
      <calculatedColumnFormula>SUM(PlanIndicativo[[#This Row],[Ingresos Corrientes de Libre Destinación - ICLD (2020)]:[Otros (2020)]])</calculatedColumnFormula>
    </tableColumn>
    <tableColumn id="19" name="Ingresos Corrientes de Libre Destinación - ICLD (2021)" totalsRowFunction="sum" dataDxfId="74" totalsRowDxfId="75"/>
    <tableColumn id="20" name="Ingresos Corrientes de Destinación Específica - ICDE (2021)" totalsRowFunction="sum" dataDxfId="72" totalsRowDxfId="73"/>
    <tableColumn id="21" name="SGP Educación (2021)" totalsRowFunction="sum" dataDxfId="70" totalsRowDxfId="71"/>
    <tableColumn id="22" name="SGP Salud (2021)" totalsRowFunction="sum" dataDxfId="68" totalsRowDxfId="69"/>
    <tableColumn id="23" name="SGP Agua Potable y Saneamiento Básico (2021)" totalsRowFunction="sum" dataDxfId="66" totalsRowDxfId="67"/>
    <tableColumn id="24" name="SGP Propósito General (2021)" totalsRowFunction="sum" dataDxfId="64" totalsRowDxfId="65"/>
    <tableColumn id="25" name="SGP Asignaciones Especiales  (2021)" totalsRowFunction="sum" dataDxfId="62" totalsRowDxfId="63"/>
    <tableColumn id="26" name="Sistema General de Regalías - SGR (2021)" totalsRowFunction="sum" dataDxfId="60" totalsRowDxfId="61"/>
    <tableColumn id="27" name="Cofinanciación  (2021)" totalsRowFunction="sum" dataDxfId="58" totalsRowDxfId="59"/>
    <tableColumn id="28" name="Crédito (2021)" totalsRowFunction="sum" dataDxfId="56" totalsRowDxfId="57"/>
    <tableColumn id="29" name="Otros  (2021)" totalsRowFunction="sum" dataDxfId="54" totalsRowDxfId="55"/>
    <tableColumn id="30" name="Total  (2021)" totalsRowFunction="sum" dataDxfId="52" totalsRowDxfId="53">
      <calculatedColumnFormula>SUM(PlanIndicativo[[#This Row],[Ingresos Corrientes de Libre Destinación - ICLD (2021)]:[Otros  (2021)]])</calculatedColumnFormula>
    </tableColumn>
    <tableColumn id="31" name="Ingresos Corrientes de Libre Destinación - ICLD (2022)" totalsRowFunction="sum" dataDxfId="50" totalsRowDxfId="51"/>
    <tableColumn id="32" name="Ingresos Corrientes de Destinación Específica - ICDE (2022)" totalsRowFunction="sum" dataDxfId="48" totalsRowDxfId="49"/>
    <tableColumn id="33" name="SGP Educación (2022)" totalsRowFunction="sum" dataDxfId="46" totalsRowDxfId="47"/>
    <tableColumn id="34" name="SGP Salud (2022)" totalsRowFunction="sum" dataDxfId="44" totalsRowDxfId="45"/>
    <tableColumn id="35" name="SGP Agua Potable y Saneamiento Básico (2022)" totalsRowFunction="sum" dataDxfId="42" totalsRowDxfId="43"/>
    <tableColumn id="36" name="SGP Propósito General (2022)" totalsRowFunction="sum" dataDxfId="40" totalsRowDxfId="41"/>
    <tableColumn id="37" name="SGP Asignaciones Especiales (2022)" totalsRowFunction="sum" dataDxfId="38" totalsRowDxfId="39"/>
    <tableColumn id="38" name="Sistema General de Regalías - SGR (2022)" totalsRowFunction="sum" dataDxfId="36" totalsRowDxfId="37"/>
    <tableColumn id="39" name="Cofinanciación (2022)" totalsRowFunction="sum" dataDxfId="34" totalsRowDxfId="35"/>
    <tableColumn id="40" name="Crédito (2022)" totalsRowFunction="sum" dataDxfId="32" totalsRowDxfId="33"/>
    <tableColumn id="41" name="Otros   (2022)" totalsRowFunction="sum" dataDxfId="30" totalsRowDxfId="31"/>
    <tableColumn id="42" name="Total  (2022)" totalsRowFunction="sum" dataDxfId="28" totalsRowDxfId="29">
      <calculatedColumnFormula>SUM(PlanIndicativo[[#This Row],[Ingresos Corrientes de Libre Destinación - ICLD (2022)]:[Otros   (2022)]])</calculatedColumnFormula>
    </tableColumn>
    <tableColumn id="43" name="Ingresos Corrientes de Libre Destinación - ICLD (2023)" totalsRowFunction="sum" dataDxfId="26" totalsRowDxfId="27"/>
    <tableColumn id="44" name="Ingresos Corrientes de Destinación Específica - ICDE (2023)" totalsRowFunction="sum" dataDxfId="24" totalsRowDxfId="25"/>
    <tableColumn id="45" name="SGP Educación (2023)" totalsRowFunction="sum" dataDxfId="22" totalsRowDxfId="23"/>
    <tableColumn id="46" name="SGP Salud (2023)" totalsRowFunction="sum" dataDxfId="20" totalsRowDxfId="21"/>
    <tableColumn id="47" name="SGP Agua Potable y Saneamiento Básico (2023)" totalsRowFunction="sum" dataDxfId="18" totalsRowDxfId="19"/>
    <tableColumn id="48" name="SGP Propósito General  (2023)" totalsRowFunction="sum" dataDxfId="16" totalsRowDxfId="17"/>
    <tableColumn id="49" name="SGP Asignaciones Especiales (2023)" totalsRowFunction="sum" dataDxfId="14" totalsRowDxfId="15"/>
    <tableColumn id="50" name="Sistema General de Regalías - SGR (2023)" totalsRowFunction="sum" dataDxfId="12" totalsRowDxfId="13"/>
    <tableColumn id="51" name="Cofinanciación (2023)" totalsRowFunction="sum" dataDxfId="10" totalsRowDxfId="11"/>
    <tableColumn id="83" name="Crédito (2023)" totalsRowFunction="sum" dataDxfId="8" totalsRowDxfId="9"/>
    <tableColumn id="82" name="Otros (2023)" totalsRowFunction="sum" dataDxfId="6" totalsRowDxfId="7"/>
    <tableColumn id="81" name="Total (2023)" totalsRowFunction="sum" dataDxfId="4" totalsRowDxfId="5">
      <calculatedColumnFormula>SUM(PlanIndicativo[[#This Row],[Ingresos Corrientes de Libre Destinación - ICLD (2023)]:[Otros (2023)]])</calculatedColumnFormula>
    </tableColumn>
    <tableColumn id="108" name="TOTAL CUATRIENIO" totalsRowFunction="sum" dataDxfId="2" totalsRowDxfId="3">
      <calculatedColumnFormula>+PlanIndicativo[[#This Row],[Total (2020)]]+PlanIndicativo[[#This Row],[Total  (2021)]]+PlanIndicativo[[#This Row],[Total  (2022)]]+PlanIndicativo[[#This Row],[Total (2023)]]</calculatedColumnFormula>
    </tableColumn>
    <tableColumn id="76" name="Secretaría/Dirección/Ente Descentralizado_x000a_Responsable_x000a_ (Fuente de Información)" dataDxfId="0" totalsRow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CA273"/>
  <sheetViews>
    <sheetView tabSelected="1" zoomScale="80" zoomScaleNormal="80" zoomScalePageLayoutView="150" workbookViewId="0">
      <pane ySplit="1" topLeftCell="A2" activePane="bottomLeft" state="frozen"/>
      <selection pane="bottomLeft" activeCell="K2" sqref="K2"/>
    </sheetView>
  </sheetViews>
  <sheetFormatPr baseColWidth="10" defaultColWidth="10.875" defaultRowHeight="21" customHeight="1" x14ac:dyDescent="0.25"/>
  <cols>
    <col min="1" max="1" width="9.5" style="69" customWidth="1"/>
    <col min="2" max="2" width="34.5" style="69" bestFit="1" customWidth="1"/>
    <col min="3" max="3" width="7.5" style="69" customWidth="1"/>
    <col min="4" max="4" width="11.125" style="69" customWidth="1"/>
    <col min="5" max="5" width="10.25" style="69" customWidth="1"/>
    <col min="6" max="6" width="50.625" style="70" hidden="1" customWidth="1"/>
    <col min="7" max="7" width="8.625" style="69" customWidth="1"/>
    <col min="8" max="8" width="18.875" style="69" customWidth="1"/>
    <col min="9" max="9" width="9.375" style="69" customWidth="1"/>
    <col min="10" max="11" width="23.25" style="71" customWidth="1"/>
    <col min="12" max="12" width="18.875" style="71" customWidth="1"/>
    <col min="13" max="14" width="16.25" style="71" customWidth="1"/>
    <col min="15" max="15" width="10.25" style="71" customWidth="1"/>
    <col min="16" max="16" width="11" style="69" customWidth="1"/>
    <col min="17" max="18" width="16.75" style="69" customWidth="1"/>
    <col min="19" max="19" width="12.25" style="69" customWidth="1"/>
    <col min="20" max="20" width="8.125" style="72" customWidth="1"/>
    <col min="21" max="21" width="16.625" style="73" customWidth="1"/>
    <col min="22" max="25" width="14" style="69" customWidth="1"/>
    <col min="26" max="26" width="16.625" style="69" customWidth="1"/>
    <col min="27" max="27" width="15.5" style="69" customWidth="1"/>
    <col min="28" max="37" width="12.75" style="69" customWidth="1"/>
    <col min="38" max="38" width="16" style="23" customWidth="1"/>
    <col min="39" max="40" width="13.125" style="23" customWidth="1"/>
    <col min="41" max="41" width="14.25" style="23" customWidth="1"/>
    <col min="42" max="42" width="11.875" style="23" customWidth="1"/>
    <col min="43" max="43" width="12.5" style="23" customWidth="1"/>
    <col min="44" max="44" width="13.875" style="23" customWidth="1"/>
    <col min="45" max="45" width="14.75" style="23" customWidth="1"/>
    <col min="46" max="46" width="21.125" style="23" customWidth="1"/>
    <col min="47" max="47" width="15.5" style="23" customWidth="1"/>
    <col min="48" max="48" width="16.25" style="23" customWidth="1"/>
    <col min="49" max="49" width="14.25" style="23" customWidth="1"/>
    <col min="50" max="50" width="19.75" style="23" customWidth="1"/>
    <col min="51" max="51" width="10.75" style="23" customWidth="1"/>
    <col min="52" max="52" width="13.875" style="23" customWidth="1"/>
    <col min="53" max="53" width="17.5" style="23" customWidth="1"/>
    <col min="54" max="54" width="20.25" style="23" customWidth="1"/>
    <col min="55" max="55" width="23.375" style="23" customWidth="1"/>
    <col min="56" max="56" width="19.75" style="23" customWidth="1"/>
    <col min="57" max="57" width="14.5" style="23" customWidth="1"/>
    <col min="58" max="58" width="16.75" style="23" customWidth="1"/>
    <col min="59" max="59" width="9.875" style="23" customWidth="1"/>
    <col min="60" max="60" width="13.875" style="23" customWidth="1"/>
    <col min="61" max="61" width="18.25" style="23" customWidth="1"/>
    <col min="62" max="62" width="21.125" style="23" customWidth="1"/>
    <col min="63" max="63" width="16.125" style="23" customWidth="1"/>
    <col min="64" max="64" width="14.625" style="23" customWidth="1"/>
    <col min="65" max="65" width="13.875" style="23" customWidth="1"/>
    <col min="66" max="66" width="14.25" style="23" customWidth="1"/>
    <col min="67" max="67" width="14.375" style="23" customWidth="1"/>
    <col min="68" max="68" width="11.5" style="23" customWidth="1"/>
    <col min="69" max="70" width="16.125" style="23" customWidth="1"/>
    <col min="71" max="71" width="16" style="23" customWidth="1"/>
    <col min="72" max="72" width="16.125" style="23" customWidth="1"/>
    <col min="73" max="73" width="17.875" style="23" customWidth="1"/>
    <col min="74" max="74" width="16.125" style="23" customWidth="1"/>
    <col min="75" max="75" width="18.375" style="23" customWidth="1"/>
    <col min="76" max="76" width="15.625" style="23" customWidth="1"/>
    <col min="77" max="16384" width="10.875" style="23"/>
  </cols>
  <sheetData>
    <row r="1" spans="1:77" s="6" customFormat="1" ht="2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5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</row>
    <row r="2" spans="1:77" ht="21" customHeight="1" x14ac:dyDescent="0.25">
      <c r="A2" s="7">
        <v>1</v>
      </c>
      <c r="B2" s="8" t="s">
        <v>75</v>
      </c>
      <c r="C2" s="7" t="s">
        <v>76</v>
      </c>
      <c r="D2" s="7" t="s">
        <v>77</v>
      </c>
      <c r="E2" s="7" t="s">
        <v>78</v>
      </c>
      <c r="F2" s="8" t="s">
        <v>79</v>
      </c>
      <c r="G2" s="7" t="s">
        <v>80</v>
      </c>
      <c r="H2" s="8" t="s">
        <v>81</v>
      </c>
      <c r="I2" s="9">
        <v>2201054</v>
      </c>
      <c r="J2" s="10" t="s">
        <v>82</v>
      </c>
      <c r="K2" s="10" t="s">
        <v>83</v>
      </c>
      <c r="L2" s="10" t="s">
        <v>84</v>
      </c>
      <c r="M2" s="10" t="s">
        <v>85</v>
      </c>
      <c r="N2" s="10" t="s">
        <v>86</v>
      </c>
      <c r="O2" s="10">
        <v>4</v>
      </c>
      <c r="P2" s="9">
        <v>220105400</v>
      </c>
      <c r="Q2" s="11" t="s">
        <v>87</v>
      </c>
      <c r="R2" s="12" t="s">
        <v>88</v>
      </c>
      <c r="S2" s="13" t="s">
        <v>89</v>
      </c>
      <c r="T2" s="14">
        <v>0</v>
      </c>
      <c r="U2" s="15">
        <v>1</v>
      </c>
      <c r="V2" s="16">
        <v>1</v>
      </c>
      <c r="W2" s="16">
        <v>1</v>
      </c>
      <c r="X2" s="16">
        <v>1</v>
      </c>
      <c r="Y2" s="16">
        <v>1</v>
      </c>
      <c r="Z2" s="17">
        <f t="shared" ref="Z2:Z32" si="0">44693000/30</f>
        <v>1489766.6666666667</v>
      </c>
      <c r="AA2" s="18">
        <v>0</v>
      </c>
      <c r="AB2" s="18">
        <f>167592917/31</f>
        <v>5406223.1290322579</v>
      </c>
      <c r="AC2" s="18">
        <v>0</v>
      </c>
      <c r="AD2" s="18">
        <v>0</v>
      </c>
      <c r="AE2" s="18">
        <f t="shared" ref="AE2:AE32" si="1">142607479/30</f>
        <v>4753582.6333333338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f>SUM(PlanIndicativo[[#This Row],[Ingresos Corrientes de Libre Destinación - ICLD (2020)]:[Otros (2020)]])</f>
        <v>11649572.429032259</v>
      </c>
      <c r="AL2" s="17">
        <f t="shared" ref="AL2:AL32" si="2">44693000/30</f>
        <v>1489766.6666666667</v>
      </c>
      <c r="AM2" s="18">
        <v>0</v>
      </c>
      <c r="AN2" s="18">
        <f>167592917/31</f>
        <v>5406223.1290322579</v>
      </c>
      <c r="AO2" s="18">
        <v>0</v>
      </c>
      <c r="AP2" s="18">
        <v>0</v>
      </c>
      <c r="AQ2" s="18">
        <f t="shared" ref="AQ2:AQ32" si="3">142607479/30</f>
        <v>4753582.6333333338</v>
      </c>
      <c r="AR2" s="18">
        <v>0</v>
      </c>
      <c r="AS2" s="18">
        <v>0</v>
      </c>
      <c r="AT2" s="18">
        <v>0</v>
      </c>
      <c r="AU2" s="18">
        <v>0</v>
      </c>
      <c r="AV2" s="18">
        <v>0</v>
      </c>
      <c r="AW2" s="19">
        <f>SUM(PlanIndicativo[[#This Row],[Ingresos Corrientes de Libre Destinación - ICLD (2021)]:[Otros  (2021)]])</f>
        <v>11649572.429032259</v>
      </c>
      <c r="AX2" s="17">
        <f t="shared" ref="AX2:AX32" si="4">44693000/30</f>
        <v>1489766.6666666667</v>
      </c>
      <c r="AY2" s="18">
        <v>0</v>
      </c>
      <c r="AZ2" s="18">
        <f>167592917/31</f>
        <v>5406223.1290322579</v>
      </c>
      <c r="BA2" s="18">
        <v>0</v>
      </c>
      <c r="BB2" s="18">
        <v>0</v>
      </c>
      <c r="BC2" s="18">
        <f t="shared" ref="BC2:BC32" si="5">142607479/30</f>
        <v>4753582.6333333338</v>
      </c>
      <c r="BD2" s="18">
        <v>0</v>
      </c>
      <c r="BE2" s="18">
        <v>0</v>
      </c>
      <c r="BF2" s="18">
        <v>0</v>
      </c>
      <c r="BG2" s="18">
        <v>0</v>
      </c>
      <c r="BH2" s="18">
        <v>0</v>
      </c>
      <c r="BI2" s="20">
        <f>SUM(PlanIndicativo[[#This Row],[Ingresos Corrientes de Libre Destinación - ICLD (2022)]:[Otros   (2022)]])</f>
        <v>11649572.429032259</v>
      </c>
      <c r="BJ2" s="17">
        <f t="shared" ref="BJ2:BJ32" si="6">44693000/30</f>
        <v>1489766.6666666667</v>
      </c>
      <c r="BK2" s="18">
        <v>0</v>
      </c>
      <c r="BL2" s="18">
        <f>167592917/31</f>
        <v>5406223.1290322579</v>
      </c>
      <c r="BM2" s="18">
        <v>0</v>
      </c>
      <c r="BN2" s="18">
        <v>0</v>
      </c>
      <c r="BO2" s="18">
        <f t="shared" ref="BO2:BO32" si="7">142607479/30</f>
        <v>4753582.6333333338</v>
      </c>
      <c r="BP2" s="18">
        <v>0</v>
      </c>
      <c r="BQ2" s="18">
        <v>0</v>
      </c>
      <c r="BR2" s="18">
        <v>0</v>
      </c>
      <c r="BS2" s="18">
        <v>0</v>
      </c>
      <c r="BT2" s="18">
        <v>0</v>
      </c>
      <c r="BU2" s="21">
        <f>SUM(PlanIndicativo[[#This Row],[Ingresos Corrientes de Libre Destinación - ICLD (2023)]:[Otros (2023)]])</f>
        <v>11649572.429032259</v>
      </c>
      <c r="BV2" s="21">
        <f>+PlanIndicativo[[#This Row],[Total (2020)]]+PlanIndicativo[[#This Row],[Total  (2021)]]+PlanIndicativo[[#This Row],[Total  (2022)]]+PlanIndicativo[[#This Row],[Total (2023)]]</f>
        <v>46598289.716129035</v>
      </c>
      <c r="BW2" s="22" t="s">
        <v>90</v>
      </c>
      <c r="BY2" s="24"/>
    </row>
    <row r="3" spans="1:77" ht="21" customHeight="1" x14ac:dyDescent="0.25">
      <c r="A3" s="7">
        <v>1</v>
      </c>
      <c r="B3" s="8" t="s">
        <v>75</v>
      </c>
      <c r="C3" s="7" t="s">
        <v>76</v>
      </c>
      <c r="D3" s="7" t="s">
        <v>77</v>
      </c>
      <c r="E3" s="7" t="s">
        <v>78</v>
      </c>
      <c r="F3" s="8" t="s">
        <v>79</v>
      </c>
      <c r="G3" s="7" t="s">
        <v>80</v>
      </c>
      <c r="H3" s="8" t="s">
        <v>81</v>
      </c>
      <c r="I3" s="9">
        <v>2201070</v>
      </c>
      <c r="J3" s="11" t="s">
        <v>91</v>
      </c>
      <c r="K3" s="11" t="s">
        <v>83</v>
      </c>
      <c r="L3" s="10" t="s">
        <v>84</v>
      </c>
      <c r="M3" s="10" t="s">
        <v>85</v>
      </c>
      <c r="N3" s="10" t="s">
        <v>86</v>
      </c>
      <c r="O3" s="11">
        <v>3</v>
      </c>
      <c r="P3" s="9">
        <v>220107000</v>
      </c>
      <c r="Q3" s="11" t="s">
        <v>92</v>
      </c>
      <c r="R3" s="12" t="s">
        <v>88</v>
      </c>
      <c r="S3" s="13" t="s">
        <v>93</v>
      </c>
      <c r="T3" s="14">
        <v>4</v>
      </c>
      <c r="U3" s="15">
        <v>8</v>
      </c>
      <c r="V3" s="16">
        <v>2</v>
      </c>
      <c r="W3" s="16">
        <v>2</v>
      </c>
      <c r="X3" s="16">
        <v>2</v>
      </c>
      <c r="Y3" s="16">
        <v>2</v>
      </c>
      <c r="Z3" s="17">
        <f>44693000/30*2</f>
        <v>2979533.3333333335</v>
      </c>
      <c r="AA3" s="17">
        <v>0</v>
      </c>
      <c r="AB3" s="17">
        <f>(167592917/31)*2*2</f>
        <v>21624892.516129032</v>
      </c>
      <c r="AC3" s="17">
        <v>0</v>
      </c>
      <c r="AD3" s="17">
        <v>0</v>
      </c>
      <c r="AE3" s="17">
        <f>142607479/30*2</f>
        <v>9507165.2666666675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  <c r="AK3" s="18">
        <f>SUM(PlanIndicativo[[#This Row],[Ingresos Corrientes de Libre Destinación - ICLD (2020)]:[Otros (2020)]])</f>
        <v>34111591.116129033</v>
      </c>
      <c r="AL3" s="17">
        <f>44693000/30*2</f>
        <v>2979533.3333333335</v>
      </c>
      <c r="AM3" s="17">
        <v>0</v>
      </c>
      <c r="AN3" s="17">
        <f>(167592917/31)*2*2</f>
        <v>21624892.516129032</v>
      </c>
      <c r="AO3" s="17">
        <v>0</v>
      </c>
      <c r="AP3" s="17">
        <v>0</v>
      </c>
      <c r="AQ3" s="17">
        <f>142607479/30*2</f>
        <v>9507165.2666666675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9">
        <f>SUM(PlanIndicativo[[#This Row],[Ingresos Corrientes de Libre Destinación - ICLD (2021)]:[Otros  (2021)]])</f>
        <v>34111591.116129033</v>
      </c>
      <c r="AX3" s="17">
        <f t="shared" si="4"/>
        <v>1489766.6666666667</v>
      </c>
      <c r="AY3" s="17">
        <v>0</v>
      </c>
      <c r="AZ3" s="17">
        <f>(167592917/31)*2</f>
        <v>10812446.258064516</v>
      </c>
      <c r="BA3" s="17">
        <v>0</v>
      </c>
      <c r="BB3" s="17">
        <v>0</v>
      </c>
      <c r="BC3" s="17">
        <f t="shared" si="5"/>
        <v>4753582.6333333338</v>
      </c>
      <c r="BD3" s="17">
        <v>0</v>
      </c>
      <c r="BE3" s="17">
        <v>0</v>
      </c>
      <c r="BF3" s="17">
        <v>0</v>
      </c>
      <c r="BG3" s="17">
        <v>0</v>
      </c>
      <c r="BH3" s="17">
        <v>0</v>
      </c>
      <c r="BI3" s="20">
        <f>SUM(PlanIndicativo[[#This Row],[Ingresos Corrientes de Libre Destinación - ICLD (2022)]:[Otros   (2022)]])</f>
        <v>17055795.558064517</v>
      </c>
      <c r="BJ3" s="17">
        <f t="shared" si="6"/>
        <v>1489766.6666666667</v>
      </c>
      <c r="BK3" s="17">
        <v>0</v>
      </c>
      <c r="BL3" s="17">
        <f>(167592917/31)*2</f>
        <v>10812446.258064516</v>
      </c>
      <c r="BM3" s="17">
        <v>0</v>
      </c>
      <c r="BN3" s="17">
        <v>0</v>
      </c>
      <c r="BO3" s="17">
        <f t="shared" si="7"/>
        <v>4753582.6333333338</v>
      </c>
      <c r="BP3" s="17">
        <v>0</v>
      </c>
      <c r="BQ3" s="17">
        <v>0</v>
      </c>
      <c r="BR3" s="17">
        <v>0</v>
      </c>
      <c r="BS3" s="17">
        <v>0</v>
      </c>
      <c r="BT3" s="17">
        <v>0</v>
      </c>
      <c r="BU3" s="21">
        <f>SUM(PlanIndicativo[[#This Row],[Ingresos Corrientes de Libre Destinación - ICLD (2023)]:[Otros (2023)]])</f>
        <v>17055795.558064517</v>
      </c>
      <c r="BV3" s="21">
        <f>+PlanIndicativo[[#This Row],[Total (2020)]]+PlanIndicativo[[#This Row],[Total  (2021)]]+PlanIndicativo[[#This Row],[Total  (2022)]]+PlanIndicativo[[#This Row],[Total (2023)]]</f>
        <v>102334773.34838711</v>
      </c>
      <c r="BW3" s="22" t="s">
        <v>90</v>
      </c>
    </row>
    <row r="4" spans="1:77" ht="21" customHeight="1" x14ac:dyDescent="0.25">
      <c r="A4" s="7">
        <v>1</v>
      </c>
      <c r="B4" s="8" t="s">
        <v>75</v>
      </c>
      <c r="C4" s="7" t="s">
        <v>76</v>
      </c>
      <c r="D4" s="7" t="s">
        <v>77</v>
      </c>
      <c r="E4" s="7" t="s">
        <v>78</v>
      </c>
      <c r="F4" s="8" t="s">
        <v>79</v>
      </c>
      <c r="G4" s="7" t="s">
        <v>80</v>
      </c>
      <c r="H4" s="8" t="s">
        <v>81</v>
      </c>
      <c r="I4" s="9">
        <v>2201061</v>
      </c>
      <c r="J4" s="11" t="s">
        <v>94</v>
      </c>
      <c r="K4" s="11" t="s">
        <v>95</v>
      </c>
      <c r="L4" s="10" t="s">
        <v>84</v>
      </c>
      <c r="M4" s="10" t="s">
        <v>85</v>
      </c>
      <c r="N4" s="10" t="s">
        <v>86</v>
      </c>
      <c r="O4" s="11">
        <v>5</v>
      </c>
      <c r="P4" s="9">
        <v>220106100</v>
      </c>
      <c r="Q4" s="11" t="s">
        <v>96</v>
      </c>
      <c r="R4" s="12" t="s">
        <v>88</v>
      </c>
      <c r="S4" s="13" t="s">
        <v>93</v>
      </c>
      <c r="T4" s="14">
        <v>0</v>
      </c>
      <c r="U4" s="15">
        <v>2</v>
      </c>
      <c r="V4" s="16">
        <v>0</v>
      </c>
      <c r="W4" s="16">
        <v>0</v>
      </c>
      <c r="X4" s="16">
        <v>0</v>
      </c>
      <c r="Y4" s="16">
        <v>0</v>
      </c>
      <c r="Z4" s="17">
        <v>0</v>
      </c>
      <c r="AA4" s="17">
        <v>0</v>
      </c>
      <c r="AB4" s="18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8">
        <f>SUM(PlanIndicativo[[#This Row],[Ingresos Corrientes de Libre Destinación - ICLD (2020)]:[Otros (2020)]])</f>
        <v>0</v>
      </c>
      <c r="AL4" s="17">
        <v>0</v>
      </c>
      <c r="AM4" s="17">
        <v>0</v>
      </c>
      <c r="AN4" s="18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9">
        <f>SUM(PlanIndicativo[[#This Row],[Ingresos Corrientes de Libre Destinación - ICLD (2021)]:[Otros  (2021)]])</f>
        <v>0</v>
      </c>
      <c r="AX4" s="17">
        <f t="shared" si="4"/>
        <v>1489766.6666666667</v>
      </c>
      <c r="AY4" s="17">
        <v>0</v>
      </c>
      <c r="AZ4" s="18">
        <f t="shared" ref="AZ4:AZ16" si="8">167592917/31</f>
        <v>5406223.1290322579</v>
      </c>
      <c r="BA4" s="17">
        <v>0</v>
      </c>
      <c r="BB4" s="17">
        <v>0</v>
      </c>
      <c r="BC4" s="17">
        <f t="shared" si="5"/>
        <v>4753582.6333333338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20">
        <f>SUM(PlanIndicativo[[#This Row],[Ingresos Corrientes de Libre Destinación - ICLD (2022)]:[Otros   (2022)]])</f>
        <v>11649572.429032259</v>
      </c>
      <c r="BJ4" s="17">
        <f t="shared" si="6"/>
        <v>1489766.6666666667</v>
      </c>
      <c r="BK4" s="17">
        <v>0</v>
      </c>
      <c r="BL4" s="18">
        <f t="shared" ref="BL4:BL16" si="9">167592917/31</f>
        <v>5406223.1290322579</v>
      </c>
      <c r="BM4" s="17">
        <v>0</v>
      </c>
      <c r="BN4" s="17">
        <v>0</v>
      </c>
      <c r="BO4" s="17">
        <f t="shared" si="7"/>
        <v>4753582.6333333338</v>
      </c>
      <c r="BP4" s="17">
        <v>0</v>
      </c>
      <c r="BQ4" s="17">
        <v>0</v>
      </c>
      <c r="BR4" s="17">
        <v>0</v>
      </c>
      <c r="BS4" s="17">
        <v>0</v>
      </c>
      <c r="BT4" s="17">
        <v>0</v>
      </c>
      <c r="BU4" s="21">
        <f>SUM(PlanIndicativo[[#This Row],[Ingresos Corrientes de Libre Destinación - ICLD (2023)]:[Otros (2023)]])</f>
        <v>11649572.429032259</v>
      </c>
      <c r="BV4" s="21">
        <f>+PlanIndicativo[[#This Row],[Total (2020)]]+PlanIndicativo[[#This Row],[Total  (2021)]]+PlanIndicativo[[#This Row],[Total  (2022)]]+PlanIndicativo[[#This Row],[Total (2023)]]</f>
        <v>23299144.858064517</v>
      </c>
      <c r="BW4" s="22" t="s">
        <v>90</v>
      </c>
    </row>
    <row r="5" spans="1:77" ht="21" customHeight="1" x14ac:dyDescent="0.25">
      <c r="A5" s="7">
        <v>1</v>
      </c>
      <c r="B5" s="8" t="s">
        <v>75</v>
      </c>
      <c r="C5" s="7" t="s">
        <v>76</v>
      </c>
      <c r="D5" s="7" t="s">
        <v>77</v>
      </c>
      <c r="E5" s="7" t="s">
        <v>78</v>
      </c>
      <c r="F5" s="8" t="s">
        <v>79</v>
      </c>
      <c r="G5" s="7" t="s">
        <v>80</v>
      </c>
      <c r="H5" s="8" t="s">
        <v>81</v>
      </c>
      <c r="I5" s="9">
        <v>2201062</v>
      </c>
      <c r="J5" s="11" t="s">
        <v>97</v>
      </c>
      <c r="K5" s="11" t="s">
        <v>98</v>
      </c>
      <c r="L5" s="10" t="s">
        <v>84</v>
      </c>
      <c r="M5" s="11" t="s">
        <v>99</v>
      </c>
      <c r="N5" s="10" t="s">
        <v>86</v>
      </c>
      <c r="O5" s="11">
        <v>4</v>
      </c>
      <c r="P5" s="9">
        <v>220106200</v>
      </c>
      <c r="Q5" s="11" t="s">
        <v>100</v>
      </c>
      <c r="R5" s="12" t="s">
        <v>88</v>
      </c>
      <c r="S5" s="13" t="s">
        <v>93</v>
      </c>
      <c r="T5" s="14">
        <v>5</v>
      </c>
      <c r="U5" s="15">
        <v>6</v>
      </c>
      <c r="V5" s="16">
        <v>1</v>
      </c>
      <c r="W5" s="16">
        <v>2</v>
      </c>
      <c r="X5" s="16">
        <v>2</v>
      </c>
      <c r="Y5" s="16">
        <v>1</v>
      </c>
      <c r="Z5" s="17">
        <f>44693000/30*2</f>
        <v>2979533.3333333335</v>
      </c>
      <c r="AA5" s="17">
        <v>0</v>
      </c>
      <c r="AB5" s="18">
        <f>167592917/31*2</f>
        <v>10812446.258064516</v>
      </c>
      <c r="AC5" s="17">
        <v>0</v>
      </c>
      <c r="AD5" s="17">
        <v>0</v>
      </c>
      <c r="AE5" s="17">
        <f>142607479/30*2</f>
        <v>9507165.2666666675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8">
        <f>SUM(PlanIndicativo[[#This Row],[Ingresos Corrientes de Libre Destinación - ICLD (2020)]:[Otros (2020)]])</f>
        <v>23299144.858064517</v>
      </c>
      <c r="AL5" s="17">
        <f t="shared" si="2"/>
        <v>1489766.6666666667</v>
      </c>
      <c r="AM5" s="17">
        <v>0</v>
      </c>
      <c r="AN5" s="18">
        <f t="shared" ref="AN5:AN16" si="10">167592917/31</f>
        <v>5406223.1290322579</v>
      </c>
      <c r="AO5" s="17">
        <v>0</v>
      </c>
      <c r="AP5" s="17">
        <v>0</v>
      </c>
      <c r="AQ5" s="17">
        <f t="shared" si="3"/>
        <v>4753582.6333333338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9">
        <f>SUM(PlanIndicativo[[#This Row],[Ingresos Corrientes de Libre Destinación - ICLD (2021)]:[Otros  (2021)]])</f>
        <v>11649572.429032259</v>
      </c>
      <c r="AX5" s="17">
        <f t="shared" si="4"/>
        <v>1489766.6666666667</v>
      </c>
      <c r="AY5" s="17">
        <v>0</v>
      </c>
      <c r="AZ5" s="18">
        <f t="shared" si="8"/>
        <v>5406223.1290322579</v>
      </c>
      <c r="BA5" s="17">
        <v>0</v>
      </c>
      <c r="BB5" s="17">
        <v>0</v>
      </c>
      <c r="BC5" s="17">
        <f t="shared" si="5"/>
        <v>4753582.6333333338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20">
        <f>SUM(PlanIndicativo[[#This Row],[Ingresos Corrientes de Libre Destinación - ICLD (2022)]:[Otros   (2022)]])</f>
        <v>11649572.429032259</v>
      </c>
      <c r="BJ5" s="17">
        <f t="shared" si="6"/>
        <v>1489766.6666666667</v>
      </c>
      <c r="BK5" s="17">
        <v>0</v>
      </c>
      <c r="BL5" s="18">
        <f t="shared" si="9"/>
        <v>5406223.1290322579</v>
      </c>
      <c r="BM5" s="17">
        <v>0</v>
      </c>
      <c r="BN5" s="17">
        <v>0</v>
      </c>
      <c r="BO5" s="17">
        <f t="shared" si="7"/>
        <v>4753582.6333333338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21">
        <f>SUM(PlanIndicativo[[#This Row],[Ingresos Corrientes de Libre Destinación - ICLD (2023)]:[Otros (2023)]])</f>
        <v>11649572.429032259</v>
      </c>
      <c r="BV5" s="21">
        <f>+PlanIndicativo[[#This Row],[Total (2020)]]+PlanIndicativo[[#This Row],[Total  (2021)]]+PlanIndicativo[[#This Row],[Total  (2022)]]+PlanIndicativo[[#This Row],[Total (2023)]]</f>
        <v>58247862.145161293</v>
      </c>
      <c r="BW5" s="22" t="s">
        <v>90</v>
      </c>
    </row>
    <row r="6" spans="1:77" ht="21" customHeight="1" x14ac:dyDescent="0.25">
      <c r="A6" s="7">
        <v>1</v>
      </c>
      <c r="B6" s="8" t="s">
        <v>75</v>
      </c>
      <c r="C6" s="7" t="s">
        <v>76</v>
      </c>
      <c r="D6" s="7" t="s">
        <v>77</v>
      </c>
      <c r="E6" s="7" t="s">
        <v>78</v>
      </c>
      <c r="F6" s="8" t="s">
        <v>79</v>
      </c>
      <c r="G6" s="7" t="s">
        <v>80</v>
      </c>
      <c r="H6" s="8" t="s">
        <v>81</v>
      </c>
      <c r="I6" s="9">
        <v>2201063</v>
      </c>
      <c r="J6" s="11" t="s">
        <v>101</v>
      </c>
      <c r="K6" s="11" t="s">
        <v>98</v>
      </c>
      <c r="L6" s="10" t="s">
        <v>84</v>
      </c>
      <c r="M6" s="11" t="s">
        <v>85</v>
      </c>
      <c r="N6" s="10" t="s">
        <v>86</v>
      </c>
      <c r="O6" s="11">
        <v>2</v>
      </c>
      <c r="P6" s="9">
        <v>220106300</v>
      </c>
      <c r="Q6" s="11" t="s">
        <v>102</v>
      </c>
      <c r="R6" s="12" t="s">
        <v>88</v>
      </c>
      <c r="S6" s="13" t="s">
        <v>93</v>
      </c>
      <c r="T6" s="14">
        <v>1</v>
      </c>
      <c r="U6" s="15">
        <v>1</v>
      </c>
      <c r="V6" s="16">
        <v>0</v>
      </c>
      <c r="W6" s="16">
        <v>1</v>
      </c>
      <c r="X6" s="16">
        <v>0</v>
      </c>
      <c r="Y6" s="16">
        <v>0</v>
      </c>
      <c r="Z6" s="17">
        <v>0</v>
      </c>
      <c r="AA6" s="17">
        <v>0</v>
      </c>
      <c r="AB6" s="18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8">
        <f>SUM(PlanIndicativo[[#This Row],[Ingresos Corrientes de Libre Destinación - ICLD (2020)]:[Otros (2020)]])</f>
        <v>0</v>
      </c>
      <c r="AL6" s="17">
        <f t="shared" si="2"/>
        <v>1489766.6666666667</v>
      </c>
      <c r="AM6" s="17">
        <v>0</v>
      </c>
      <c r="AN6" s="18">
        <f t="shared" si="10"/>
        <v>5406223.1290322579</v>
      </c>
      <c r="AO6" s="17">
        <v>0</v>
      </c>
      <c r="AP6" s="17">
        <v>0</v>
      </c>
      <c r="AQ6" s="17">
        <f t="shared" si="3"/>
        <v>4753582.6333333338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9">
        <f>SUM(PlanIndicativo[[#This Row],[Ingresos Corrientes de Libre Destinación - ICLD (2021)]:[Otros  (2021)]])</f>
        <v>11649572.429032259</v>
      </c>
      <c r="AX6" s="17">
        <f t="shared" si="4"/>
        <v>1489766.6666666667</v>
      </c>
      <c r="AY6" s="17">
        <v>0</v>
      </c>
      <c r="AZ6" s="18">
        <f t="shared" si="8"/>
        <v>5406223.1290322579</v>
      </c>
      <c r="BA6" s="17">
        <v>0</v>
      </c>
      <c r="BB6" s="17">
        <v>0</v>
      </c>
      <c r="BC6" s="17">
        <f t="shared" si="5"/>
        <v>4753582.6333333338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20">
        <f>SUM(PlanIndicativo[[#This Row],[Ingresos Corrientes de Libre Destinación - ICLD (2022)]:[Otros   (2022)]])</f>
        <v>11649572.429032259</v>
      </c>
      <c r="BJ6" s="17">
        <f t="shared" si="6"/>
        <v>1489766.6666666667</v>
      </c>
      <c r="BK6" s="17">
        <v>0</v>
      </c>
      <c r="BL6" s="18">
        <f t="shared" si="9"/>
        <v>5406223.1290322579</v>
      </c>
      <c r="BM6" s="17">
        <v>0</v>
      </c>
      <c r="BN6" s="17">
        <v>0</v>
      </c>
      <c r="BO6" s="17">
        <f t="shared" si="7"/>
        <v>4753582.6333333338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21">
        <f>SUM(PlanIndicativo[[#This Row],[Ingresos Corrientes de Libre Destinación - ICLD (2023)]:[Otros (2023)]])</f>
        <v>11649572.429032259</v>
      </c>
      <c r="BV6" s="21">
        <f>+PlanIndicativo[[#This Row],[Total (2020)]]+PlanIndicativo[[#This Row],[Total  (2021)]]+PlanIndicativo[[#This Row],[Total  (2022)]]+PlanIndicativo[[#This Row],[Total (2023)]]</f>
        <v>34948717.287096776</v>
      </c>
      <c r="BW6" s="22" t="s">
        <v>90</v>
      </c>
    </row>
    <row r="7" spans="1:77" ht="21" customHeight="1" x14ac:dyDescent="0.25">
      <c r="A7" s="7">
        <v>1</v>
      </c>
      <c r="B7" s="8" t="s">
        <v>75</v>
      </c>
      <c r="C7" s="7" t="s">
        <v>76</v>
      </c>
      <c r="D7" s="7" t="s">
        <v>77</v>
      </c>
      <c r="E7" s="7" t="s">
        <v>78</v>
      </c>
      <c r="F7" s="8" t="s">
        <v>79</v>
      </c>
      <c r="G7" s="7" t="s">
        <v>80</v>
      </c>
      <c r="H7" s="8" t="s">
        <v>81</v>
      </c>
      <c r="I7" s="9">
        <v>2201066</v>
      </c>
      <c r="J7" s="11" t="s">
        <v>103</v>
      </c>
      <c r="K7" s="11" t="s">
        <v>95</v>
      </c>
      <c r="L7" s="10" t="s">
        <v>84</v>
      </c>
      <c r="M7" s="11" t="s">
        <v>85</v>
      </c>
      <c r="N7" s="10" t="s">
        <v>86</v>
      </c>
      <c r="O7" s="11">
        <v>2</v>
      </c>
      <c r="P7" s="9">
        <v>220106600</v>
      </c>
      <c r="Q7" s="11" t="s">
        <v>104</v>
      </c>
      <c r="R7" s="12" t="s">
        <v>88</v>
      </c>
      <c r="S7" s="13" t="s">
        <v>93</v>
      </c>
      <c r="T7" s="14">
        <v>0</v>
      </c>
      <c r="U7" s="15">
        <v>200</v>
      </c>
      <c r="V7" s="16">
        <v>50</v>
      </c>
      <c r="W7" s="16">
        <v>50</v>
      </c>
      <c r="X7" s="16">
        <v>50</v>
      </c>
      <c r="Y7" s="16">
        <v>50</v>
      </c>
      <c r="Z7" s="17">
        <f t="shared" si="0"/>
        <v>1489766.6666666667</v>
      </c>
      <c r="AA7" s="17">
        <v>0</v>
      </c>
      <c r="AB7" s="18">
        <f t="shared" ref="AB7:AB16" si="11">167592917/31</f>
        <v>5406223.1290322579</v>
      </c>
      <c r="AC7" s="17">
        <v>0</v>
      </c>
      <c r="AD7" s="17">
        <v>0</v>
      </c>
      <c r="AE7" s="17">
        <f t="shared" si="1"/>
        <v>4753582.6333333338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8">
        <f>SUM(PlanIndicativo[[#This Row],[Ingresos Corrientes de Libre Destinación - ICLD (2020)]:[Otros (2020)]])</f>
        <v>11649572.429032259</v>
      </c>
      <c r="AL7" s="17">
        <f t="shared" si="2"/>
        <v>1489766.6666666667</v>
      </c>
      <c r="AM7" s="17">
        <v>0</v>
      </c>
      <c r="AN7" s="18">
        <f t="shared" si="10"/>
        <v>5406223.1290322579</v>
      </c>
      <c r="AO7" s="17">
        <v>0</v>
      </c>
      <c r="AP7" s="17">
        <v>0</v>
      </c>
      <c r="AQ7" s="17">
        <f t="shared" si="3"/>
        <v>4753582.6333333338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9">
        <f>SUM(PlanIndicativo[[#This Row],[Ingresos Corrientes de Libre Destinación - ICLD (2021)]:[Otros  (2021)]])</f>
        <v>11649572.429032259</v>
      </c>
      <c r="AX7" s="17">
        <f t="shared" si="4"/>
        <v>1489766.6666666667</v>
      </c>
      <c r="AY7" s="17">
        <v>0</v>
      </c>
      <c r="AZ7" s="18">
        <f t="shared" si="8"/>
        <v>5406223.1290322579</v>
      </c>
      <c r="BA7" s="17">
        <v>0</v>
      </c>
      <c r="BB7" s="17">
        <v>0</v>
      </c>
      <c r="BC7" s="17">
        <f t="shared" si="5"/>
        <v>4753582.6333333338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20">
        <f>SUM(PlanIndicativo[[#This Row],[Ingresos Corrientes de Libre Destinación - ICLD (2022)]:[Otros   (2022)]])</f>
        <v>11649572.429032259</v>
      </c>
      <c r="BJ7" s="17">
        <f t="shared" si="6"/>
        <v>1489766.6666666667</v>
      </c>
      <c r="BK7" s="17">
        <v>0</v>
      </c>
      <c r="BL7" s="18">
        <f t="shared" si="9"/>
        <v>5406223.1290322579</v>
      </c>
      <c r="BM7" s="17">
        <v>0</v>
      </c>
      <c r="BN7" s="17">
        <v>0</v>
      </c>
      <c r="BO7" s="17">
        <f t="shared" si="7"/>
        <v>4753582.6333333338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21">
        <f>SUM(PlanIndicativo[[#This Row],[Ingresos Corrientes de Libre Destinación - ICLD (2023)]:[Otros (2023)]])</f>
        <v>11649572.429032259</v>
      </c>
      <c r="BV7" s="21">
        <f>+PlanIndicativo[[#This Row],[Total (2020)]]+PlanIndicativo[[#This Row],[Total  (2021)]]+PlanIndicativo[[#This Row],[Total  (2022)]]+PlanIndicativo[[#This Row],[Total (2023)]]</f>
        <v>46598289.716129035</v>
      </c>
      <c r="BW7" s="22" t="s">
        <v>90</v>
      </c>
    </row>
    <row r="8" spans="1:77" ht="21" customHeight="1" x14ac:dyDescent="0.25">
      <c r="A8" s="7">
        <v>1</v>
      </c>
      <c r="B8" s="8" t="s">
        <v>75</v>
      </c>
      <c r="C8" s="7" t="s">
        <v>76</v>
      </c>
      <c r="D8" s="7" t="s">
        <v>77</v>
      </c>
      <c r="E8" s="7" t="s">
        <v>78</v>
      </c>
      <c r="F8" s="8" t="s">
        <v>79</v>
      </c>
      <c r="G8" s="7" t="s">
        <v>80</v>
      </c>
      <c r="H8" s="8" t="s">
        <v>81</v>
      </c>
      <c r="I8" s="9">
        <v>2201067</v>
      </c>
      <c r="J8" s="11" t="s">
        <v>105</v>
      </c>
      <c r="K8" s="11" t="s">
        <v>106</v>
      </c>
      <c r="L8" s="10" t="s">
        <v>84</v>
      </c>
      <c r="M8" s="11" t="s">
        <v>85</v>
      </c>
      <c r="N8" s="11" t="s">
        <v>107</v>
      </c>
      <c r="O8" s="11">
        <v>3</v>
      </c>
      <c r="P8" s="9">
        <v>220106700</v>
      </c>
      <c r="Q8" s="11" t="s">
        <v>108</v>
      </c>
      <c r="R8" s="12" t="s">
        <v>88</v>
      </c>
      <c r="S8" s="13" t="s">
        <v>89</v>
      </c>
      <c r="T8" s="14">
        <v>8</v>
      </c>
      <c r="U8" s="15">
        <v>8</v>
      </c>
      <c r="V8" s="16">
        <v>8</v>
      </c>
      <c r="W8" s="16">
        <v>8</v>
      </c>
      <c r="X8" s="16">
        <v>8</v>
      </c>
      <c r="Y8" s="16">
        <v>8</v>
      </c>
      <c r="Z8" s="17">
        <f t="shared" si="0"/>
        <v>1489766.6666666667</v>
      </c>
      <c r="AA8" s="17">
        <v>0</v>
      </c>
      <c r="AB8" s="18">
        <f t="shared" si="11"/>
        <v>5406223.1290322579</v>
      </c>
      <c r="AC8" s="17">
        <v>0</v>
      </c>
      <c r="AD8" s="17">
        <v>0</v>
      </c>
      <c r="AE8" s="17">
        <f t="shared" si="1"/>
        <v>4753582.6333333338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8">
        <f>SUM(PlanIndicativo[[#This Row],[Ingresos Corrientes de Libre Destinación - ICLD (2020)]:[Otros (2020)]])</f>
        <v>11649572.429032259</v>
      </c>
      <c r="AL8" s="17">
        <f t="shared" si="2"/>
        <v>1489766.6666666667</v>
      </c>
      <c r="AM8" s="17">
        <v>0</v>
      </c>
      <c r="AN8" s="18">
        <f t="shared" si="10"/>
        <v>5406223.1290322579</v>
      </c>
      <c r="AO8" s="17">
        <v>0</v>
      </c>
      <c r="AP8" s="17">
        <v>0</v>
      </c>
      <c r="AQ8" s="17">
        <f t="shared" si="3"/>
        <v>4753582.6333333338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9">
        <f>SUM(PlanIndicativo[[#This Row],[Ingresos Corrientes de Libre Destinación - ICLD (2021)]:[Otros  (2021)]])</f>
        <v>11649572.429032259</v>
      </c>
      <c r="AX8" s="17">
        <f t="shared" si="4"/>
        <v>1489766.6666666667</v>
      </c>
      <c r="AY8" s="17">
        <v>0</v>
      </c>
      <c r="AZ8" s="18">
        <f t="shared" si="8"/>
        <v>5406223.1290322579</v>
      </c>
      <c r="BA8" s="17">
        <v>0</v>
      </c>
      <c r="BB8" s="17">
        <v>0</v>
      </c>
      <c r="BC8" s="17">
        <f t="shared" si="5"/>
        <v>4753582.6333333338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20">
        <f>SUM(PlanIndicativo[[#This Row],[Ingresos Corrientes de Libre Destinación - ICLD (2022)]:[Otros   (2022)]])</f>
        <v>11649572.429032259</v>
      </c>
      <c r="BJ8" s="17">
        <f t="shared" si="6"/>
        <v>1489766.6666666667</v>
      </c>
      <c r="BK8" s="17">
        <v>0</v>
      </c>
      <c r="BL8" s="18">
        <f t="shared" si="9"/>
        <v>5406223.1290322579</v>
      </c>
      <c r="BM8" s="17">
        <v>0</v>
      </c>
      <c r="BN8" s="17">
        <v>0</v>
      </c>
      <c r="BO8" s="17">
        <f t="shared" si="7"/>
        <v>4753582.6333333338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21">
        <f>SUM(PlanIndicativo[[#This Row],[Ingresos Corrientes de Libre Destinación - ICLD (2023)]:[Otros (2023)]])</f>
        <v>11649572.429032259</v>
      </c>
      <c r="BV8" s="21">
        <f>+PlanIndicativo[[#This Row],[Total (2020)]]+PlanIndicativo[[#This Row],[Total  (2021)]]+PlanIndicativo[[#This Row],[Total  (2022)]]+PlanIndicativo[[#This Row],[Total (2023)]]</f>
        <v>46598289.716129035</v>
      </c>
      <c r="BW8" s="22" t="s">
        <v>90</v>
      </c>
    </row>
    <row r="9" spans="1:77" ht="21" customHeight="1" x14ac:dyDescent="0.25">
      <c r="A9" s="7">
        <v>1</v>
      </c>
      <c r="B9" s="8" t="s">
        <v>75</v>
      </c>
      <c r="C9" s="7" t="s">
        <v>76</v>
      </c>
      <c r="D9" s="7" t="s">
        <v>77</v>
      </c>
      <c r="E9" s="7" t="s">
        <v>78</v>
      </c>
      <c r="F9" s="8" t="s">
        <v>79</v>
      </c>
      <c r="G9" s="7" t="s">
        <v>80</v>
      </c>
      <c r="H9" s="8" t="s">
        <v>81</v>
      </c>
      <c r="I9" s="9">
        <v>2201068</v>
      </c>
      <c r="J9" s="11" t="s">
        <v>109</v>
      </c>
      <c r="K9" s="11" t="s">
        <v>98</v>
      </c>
      <c r="L9" s="10" t="s">
        <v>84</v>
      </c>
      <c r="M9" s="11" t="s">
        <v>85</v>
      </c>
      <c r="N9" s="11" t="s">
        <v>107</v>
      </c>
      <c r="O9" s="11">
        <v>4</v>
      </c>
      <c r="P9" s="9">
        <v>220106800</v>
      </c>
      <c r="Q9" s="11" t="s">
        <v>110</v>
      </c>
      <c r="R9" s="12" t="s">
        <v>88</v>
      </c>
      <c r="S9" s="13" t="s">
        <v>89</v>
      </c>
      <c r="T9" s="14">
        <v>2</v>
      </c>
      <c r="U9" s="15">
        <v>2</v>
      </c>
      <c r="V9" s="16">
        <v>2</v>
      </c>
      <c r="W9" s="16">
        <v>2</v>
      </c>
      <c r="X9" s="16">
        <v>2</v>
      </c>
      <c r="Y9" s="16">
        <v>2</v>
      </c>
      <c r="Z9" s="17">
        <f t="shared" si="0"/>
        <v>1489766.6666666667</v>
      </c>
      <c r="AA9" s="17">
        <v>0</v>
      </c>
      <c r="AB9" s="18">
        <f t="shared" si="11"/>
        <v>5406223.1290322579</v>
      </c>
      <c r="AC9" s="17">
        <v>0</v>
      </c>
      <c r="AD9" s="17">
        <v>0</v>
      </c>
      <c r="AE9" s="17">
        <f t="shared" si="1"/>
        <v>4753582.6333333338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8">
        <f>SUM(PlanIndicativo[[#This Row],[Ingresos Corrientes de Libre Destinación - ICLD (2020)]:[Otros (2020)]])</f>
        <v>11649572.429032259</v>
      </c>
      <c r="AL9" s="17">
        <f t="shared" si="2"/>
        <v>1489766.6666666667</v>
      </c>
      <c r="AM9" s="17">
        <v>0</v>
      </c>
      <c r="AN9" s="18">
        <f t="shared" si="10"/>
        <v>5406223.1290322579</v>
      </c>
      <c r="AO9" s="17">
        <v>0</v>
      </c>
      <c r="AP9" s="17">
        <v>0</v>
      </c>
      <c r="AQ9" s="17">
        <f t="shared" si="3"/>
        <v>4753582.6333333338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9">
        <f>SUM(PlanIndicativo[[#This Row],[Ingresos Corrientes de Libre Destinación - ICLD (2021)]:[Otros  (2021)]])</f>
        <v>11649572.429032259</v>
      </c>
      <c r="AX9" s="17">
        <f t="shared" si="4"/>
        <v>1489766.6666666667</v>
      </c>
      <c r="AY9" s="17">
        <v>0</v>
      </c>
      <c r="AZ9" s="18">
        <f t="shared" si="8"/>
        <v>5406223.1290322579</v>
      </c>
      <c r="BA9" s="17">
        <v>0</v>
      </c>
      <c r="BB9" s="17">
        <v>0</v>
      </c>
      <c r="BC9" s="17">
        <f t="shared" si="5"/>
        <v>4753582.6333333338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20">
        <f>SUM(PlanIndicativo[[#This Row],[Ingresos Corrientes de Libre Destinación - ICLD (2022)]:[Otros   (2022)]])</f>
        <v>11649572.429032259</v>
      </c>
      <c r="BJ9" s="17">
        <f t="shared" si="6"/>
        <v>1489766.6666666667</v>
      </c>
      <c r="BK9" s="17">
        <v>0</v>
      </c>
      <c r="BL9" s="18">
        <f t="shared" si="9"/>
        <v>5406223.1290322579</v>
      </c>
      <c r="BM9" s="17">
        <v>0</v>
      </c>
      <c r="BN9" s="17">
        <v>0</v>
      </c>
      <c r="BO9" s="17">
        <f t="shared" si="7"/>
        <v>4753582.6333333338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21">
        <f>SUM(PlanIndicativo[[#This Row],[Ingresos Corrientes de Libre Destinación - ICLD (2023)]:[Otros (2023)]])</f>
        <v>11649572.429032259</v>
      </c>
      <c r="BV9" s="21">
        <f>+PlanIndicativo[[#This Row],[Total (2020)]]+PlanIndicativo[[#This Row],[Total  (2021)]]+PlanIndicativo[[#This Row],[Total  (2022)]]+PlanIndicativo[[#This Row],[Total (2023)]]</f>
        <v>46598289.716129035</v>
      </c>
      <c r="BW9" s="22" t="s">
        <v>90</v>
      </c>
    </row>
    <row r="10" spans="1:77" ht="21" customHeight="1" x14ac:dyDescent="0.25">
      <c r="A10" s="7">
        <v>1</v>
      </c>
      <c r="B10" s="8" t="s">
        <v>75</v>
      </c>
      <c r="C10" s="7" t="s">
        <v>76</v>
      </c>
      <c r="D10" s="7" t="s">
        <v>77</v>
      </c>
      <c r="E10" s="7" t="s">
        <v>78</v>
      </c>
      <c r="F10" s="8" t="s">
        <v>79</v>
      </c>
      <c r="G10" s="7" t="s">
        <v>80</v>
      </c>
      <c r="H10" s="8" t="s">
        <v>81</v>
      </c>
      <c r="I10" s="9">
        <v>2201060</v>
      </c>
      <c r="J10" s="11" t="s">
        <v>111</v>
      </c>
      <c r="K10" s="11" t="s">
        <v>98</v>
      </c>
      <c r="L10" s="10" t="s">
        <v>84</v>
      </c>
      <c r="M10" s="11" t="s">
        <v>85</v>
      </c>
      <c r="N10" s="11" t="s">
        <v>107</v>
      </c>
      <c r="O10" s="11">
        <v>4</v>
      </c>
      <c r="P10" s="9">
        <v>220106000</v>
      </c>
      <c r="Q10" s="11" t="s">
        <v>112</v>
      </c>
      <c r="R10" s="12" t="s">
        <v>88</v>
      </c>
      <c r="S10" s="13" t="s">
        <v>89</v>
      </c>
      <c r="T10" s="14">
        <v>0</v>
      </c>
      <c r="U10" s="15">
        <v>8</v>
      </c>
      <c r="V10" s="16">
        <v>2</v>
      </c>
      <c r="W10" s="16">
        <v>2</v>
      </c>
      <c r="X10" s="16">
        <v>2</v>
      </c>
      <c r="Y10" s="16">
        <v>2</v>
      </c>
      <c r="Z10" s="17">
        <f>44693000/30*2</f>
        <v>2979533.3333333335</v>
      </c>
      <c r="AA10" s="17">
        <v>0</v>
      </c>
      <c r="AB10" s="18">
        <f>167592917/31*2</f>
        <v>10812446.258064516</v>
      </c>
      <c r="AC10" s="17">
        <v>0</v>
      </c>
      <c r="AD10" s="17">
        <v>0</v>
      </c>
      <c r="AE10" s="17">
        <f>142607479/30*2</f>
        <v>9507165.2666666675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8">
        <f>SUM(PlanIndicativo[[#This Row],[Ingresos Corrientes de Libre Destinación - ICLD (2020)]:[Otros (2020)]])</f>
        <v>23299144.858064517</v>
      </c>
      <c r="AL10" s="17">
        <f>44693000/30*2</f>
        <v>2979533.3333333335</v>
      </c>
      <c r="AM10" s="17">
        <v>0</v>
      </c>
      <c r="AN10" s="18">
        <f>167592917/31*2</f>
        <v>10812446.258064516</v>
      </c>
      <c r="AO10" s="17">
        <v>0</v>
      </c>
      <c r="AP10" s="17">
        <v>0</v>
      </c>
      <c r="AQ10" s="17">
        <f>142607479/30*2</f>
        <v>9507165.2666666675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9">
        <f>SUM(PlanIndicativo[[#This Row],[Ingresos Corrientes de Libre Destinación - ICLD (2021)]:[Otros  (2021)]])</f>
        <v>23299144.858064517</v>
      </c>
      <c r="AX10" s="17">
        <f t="shared" si="4"/>
        <v>1489766.6666666667</v>
      </c>
      <c r="AY10" s="17">
        <v>0</v>
      </c>
      <c r="AZ10" s="18">
        <f t="shared" si="8"/>
        <v>5406223.1290322579</v>
      </c>
      <c r="BA10" s="17">
        <v>0</v>
      </c>
      <c r="BB10" s="17">
        <v>0</v>
      </c>
      <c r="BC10" s="17">
        <f t="shared" si="5"/>
        <v>4753582.6333333338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20">
        <f>SUM(PlanIndicativo[[#This Row],[Ingresos Corrientes de Libre Destinación - ICLD (2022)]:[Otros   (2022)]])</f>
        <v>11649572.429032259</v>
      </c>
      <c r="BJ10" s="17">
        <f t="shared" si="6"/>
        <v>1489766.6666666667</v>
      </c>
      <c r="BK10" s="17">
        <v>0</v>
      </c>
      <c r="BL10" s="18">
        <f t="shared" si="9"/>
        <v>5406223.1290322579</v>
      </c>
      <c r="BM10" s="17">
        <v>0</v>
      </c>
      <c r="BN10" s="17">
        <v>0</v>
      </c>
      <c r="BO10" s="17">
        <f t="shared" si="7"/>
        <v>4753582.6333333338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21">
        <f>SUM(PlanIndicativo[[#This Row],[Ingresos Corrientes de Libre Destinación - ICLD (2023)]:[Otros (2023)]])</f>
        <v>11649572.429032259</v>
      </c>
      <c r="BV10" s="21">
        <f>+PlanIndicativo[[#This Row],[Total (2020)]]+PlanIndicativo[[#This Row],[Total  (2021)]]+PlanIndicativo[[#This Row],[Total  (2022)]]+PlanIndicativo[[#This Row],[Total (2023)]]</f>
        <v>69897434.574193552</v>
      </c>
      <c r="BW10" s="22" t="s">
        <v>90</v>
      </c>
    </row>
    <row r="11" spans="1:77" ht="21" customHeight="1" x14ac:dyDescent="0.25">
      <c r="A11" s="7">
        <v>1</v>
      </c>
      <c r="B11" s="8" t="s">
        <v>75</v>
      </c>
      <c r="C11" s="7" t="s">
        <v>76</v>
      </c>
      <c r="D11" s="7" t="s">
        <v>77</v>
      </c>
      <c r="E11" s="7" t="s">
        <v>78</v>
      </c>
      <c r="F11" s="8" t="s">
        <v>79</v>
      </c>
      <c r="G11" s="7" t="s">
        <v>80</v>
      </c>
      <c r="H11" s="8" t="s">
        <v>81</v>
      </c>
      <c r="I11" s="9">
        <v>2201001</v>
      </c>
      <c r="J11" s="11" t="s">
        <v>113</v>
      </c>
      <c r="K11" s="11" t="s">
        <v>98</v>
      </c>
      <c r="L11" s="10" t="s">
        <v>84</v>
      </c>
      <c r="M11" s="11" t="s">
        <v>85</v>
      </c>
      <c r="N11" s="11" t="s">
        <v>107</v>
      </c>
      <c r="O11" s="11">
        <v>2</v>
      </c>
      <c r="P11" s="9">
        <v>220100100</v>
      </c>
      <c r="Q11" s="11" t="s">
        <v>114</v>
      </c>
      <c r="R11" s="12" t="s">
        <v>88</v>
      </c>
      <c r="S11" s="13" t="s">
        <v>93</v>
      </c>
      <c r="T11" s="14">
        <v>1</v>
      </c>
      <c r="U11" s="15">
        <v>1</v>
      </c>
      <c r="V11" s="16">
        <v>0</v>
      </c>
      <c r="W11" s="16">
        <v>0</v>
      </c>
      <c r="X11" s="16">
        <v>0</v>
      </c>
      <c r="Y11" s="16">
        <v>0</v>
      </c>
      <c r="Z11" s="17">
        <v>0</v>
      </c>
      <c r="AA11" s="17">
        <v>0</v>
      </c>
      <c r="AB11" s="18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8">
        <f>SUM(PlanIndicativo[[#This Row],[Ingresos Corrientes de Libre Destinación - ICLD (2020)]:[Otros (2020)]])</f>
        <v>0</v>
      </c>
      <c r="AL11" s="17">
        <v>0</v>
      </c>
      <c r="AM11" s="17">
        <v>0</v>
      </c>
      <c r="AN11" s="18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9">
        <f>SUM(PlanIndicativo[[#This Row],[Ingresos Corrientes de Libre Destinación - ICLD (2021)]:[Otros  (2021)]])</f>
        <v>0</v>
      </c>
      <c r="AX11" s="17">
        <f t="shared" si="4"/>
        <v>1489766.6666666667</v>
      </c>
      <c r="AY11" s="17">
        <v>0</v>
      </c>
      <c r="AZ11" s="18">
        <f t="shared" si="8"/>
        <v>5406223.1290322579</v>
      </c>
      <c r="BA11" s="17">
        <v>0</v>
      </c>
      <c r="BB11" s="17">
        <v>0</v>
      </c>
      <c r="BC11" s="17">
        <f t="shared" si="5"/>
        <v>4753582.6333333338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20">
        <f>SUM(PlanIndicativo[[#This Row],[Ingresos Corrientes de Libre Destinación - ICLD (2022)]:[Otros   (2022)]])</f>
        <v>11649572.429032259</v>
      </c>
      <c r="BJ11" s="17">
        <f t="shared" si="6"/>
        <v>1489766.6666666667</v>
      </c>
      <c r="BK11" s="17">
        <v>0</v>
      </c>
      <c r="BL11" s="18">
        <f t="shared" si="9"/>
        <v>5406223.1290322579</v>
      </c>
      <c r="BM11" s="17">
        <v>0</v>
      </c>
      <c r="BN11" s="17">
        <v>0</v>
      </c>
      <c r="BO11" s="17">
        <f t="shared" si="7"/>
        <v>4753582.6333333338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21">
        <f>SUM(PlanIndicativo[[#This Row],[Ingresos Corrientes de Libre Destinación - ICLD (2023)]:[Otros (2023)]])</f>
        <v>11649572.429032259</v>
      </c>
      <c r="BV11" s="21">
        <f>+PlanIndicativo[[#This Row],[Total (2020)]]+PlanIndicativo[[#This Row],[Total  (2021)]]+PlanIndicativo[[#This Row],[Total  (2022)]]+PlanIndicativo[[#This Row],[Total (2023)]]</f>
        <v>23299144.858064517</v>
      </c>
      <c r="BW11" s="22" t="s">
        <v>90</v>
      </c>
    </row>
    <row r="12" spans="1:77" ht="21" customHeight="1" x14ac:dyDescent="0.25">
      <c r="A12" s="7">
        <v>1</v>
      </c>
      <c r="B12" s="8" t="s">
        <v>75</v>
      </c>
      <c r="C12" s="7" t="s">
        <v>76</v>
      </c>
      <c r="D12" s="7" t="s">
        <v>77</v>
      </c>
      <c r="E12" s="7" t="s">
        <v>78</v>
      </c>
      <c r="F12" s="8" t="s">
        <v>79</v>
      </c>
      <c r="G12" s="7" t="s">
        <v>80</v>
      </c>
      <c r="H12" s="8" t="s">
        <v>81</v>
      </c>
      <c r="I12" s="9">
        <v>2201002</v>
      </c>
      <c r="J12" s="25" t="s">
        <v>115</v>
      </c>
      <c r="K12" s="25" t="s">
        <v>95</v>
      </c>
      <c r="L12" s="10" t="s">
        <v>84</v>
      </c>
      <c r="M12" s="11" t="s">
        <v>85</v>
      </c>
      <c r="N12" s="11" t="s">
        <v>107</v>
      </c>
      <c r="O12" s="25">
        <v>2</v>
      </c>
      <c r="P12" s="9">
        <v>220100200</v>
      </c>
      <c r="Q12" s="25" t="s">
        <v>116</v>
      </c>
      <c r="R12" s="12" t="s">
        <v>88</v>
      </c>
      <c r="S12" s="13" t="s">
        <v>93</v>
      </c>
      <c r="T12" s="14">
        <v>1</v>
      </c>
      <c r="U12" s="15">
        <v>4</v>
      </c>
      <c r="V12" s="16">
        <v>1</v>
      </c>
      <c r="W12" s="16">
        <v>1</v>
      </c>
      <c r="X12" s="16">
        <v>1</v>
      </c>
      <c r="Y12" s="16">
        <v>1</v>
      </c>
      <c r="Z12" s="17">
        <f t="shared" si="0"/>
        <v>1489766.6666666667</v>
      </c>
      <c r="AA12" s="17">
        <v>0</v>
      </c>
      <c r="AB12" s="18">
        <f t="shared" si="11"/>
        <v>5406223.1290322579</v>
      </c>
      <c r="AC12" s="17">
        <v>0</v>
      </c>
      <c r="AD12" s="17">
        <v>0</v>
      </c>
      <c r="AE12" s="17">
        <f t="shared" si="1"/>
        <v>4753582.6333333338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8">
        <f>SUM(PlanIndicativo[[#This Row],[Ingresos Corrientes de Libre Destinación - ICLD (2020)]:[Otros (2020)]])</f>
        <v>11649572.429032259</v>
      </c>
      <c r="AL12" s="17">
        <f t="shared" si="2"/>
        <v>1489766.6666666667</v>
      </c>
      <c r="AM12" s="17">
        <v>0</v>
      </c>
      <c r="AN12" s="18">
        <f t="shared" si="10"/>
        <v>5406223.1290322579</v>
      </c>
      <c r="AO12" s="17">
        <v>0</v>
      </c>
      <c r="AP12" s="17">
        <v>0</v>
      </c>
      <c r="AQ12" s="17">
        <f t="shared" si="3"/>
        <v>4753582.6333333338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9">
        <f>SUM(PlanIndicativo[[#This Row],[Ingresos Corrientes de Libre Destinación - ICLD (2021)]:[Otros  (2021)]])</f>
        <v>11649572.429032259</v>
      </c>
      <c r="AX12" s="17">
        <f t="shared" si="4"/>
        <v>1489766.6666666667</v>
      </c>
      <c r="AY12" s="17">
        <v>0</v>
      </c>
      <c r="AZ12" s="18">
        <f t="shared" si="8"/>
        <v>5406223.1290322579</v>
      </c>
      <c r="BA12" s="17">
        <v>0</v>
      </c>
      <c r="BB12" s="17">
        <v>0</v>
      </c>
      <c r="BC12" s="17">
        <f t="shared" si="5"/>
        <v>4753582.6333333338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20">
        <f>SUM(PlanIndicativo[[#This Row],[Ingresos Corrientes de Libre Destinación - ICLD (2022)]:[Otros   (2022)]])</f>
        <v>11649572.429032259</v>
      </c>
      <c r="BJ12" s="17">
        <f t="shared" si="6"/>
        <v>1489766.6666666667</v>
      </c>
      <c r="BK12" s="17">
        <v>0</v>
      </c>
      <c r="BL12" s="18">
        <f t="shared" si="9"/>
        <v>5406223.1290322579</v>
      </c>
      <c r="BM12" s="17">
        <v>0</v>
      </c>
      <c r="BN12" s="17">
        <v>0</v>
      </c>
      <c r="BO12" s="17">
        <f t="shared" si="7"/>
        <v>4753582.6333333338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21">
        <f>SUM(PlanIndicativo[[#This Row],[Ingresos Corrientes de Libre Destinación - ICLD (2023)]:[Otros (2023)]])</f>
        <v>11649572.429032259</v>
      </c>
      <c r="BV12" s="21">
        <f>+PlanIndicativo[[#This Row],[Total (2020)]]+PlanIndicativo[[#This Row],[Total  (2021)]]+PlanIndicativo[[#This Row],[Total  (2022)]]+PlanIndicativo[[#This Row],[Total (2023)]]</f>
        <v>46598289.716129035</v>
      </c>
      <c r="BW12" s="22" t="s">
        <v>90</v>
      </c>
    </row>
    <row r="13" spans="1:77" ht="21" customHeight="1" x14ac:dyDescent="0.25">
      <c r="A13" s="7">
        <v>1</v>
      </c>
      <c r="B13" s="8" t="s">
        <v>75</v>
      </c>
      <c r="C13" s="7" t="s">
        <v>76</v>
      </c>
      <c r="D13" s="7" t="s">
        <v>77</v>
      </c>
      <c r="E13" s="7" t="s">
        <v>78</v>
      </c>
      <c r="F13" s="8" t="s">
        <v>79</v>
      </c>
      <c r="G13" s="7" t="s">
        <v>80</v>
      </c>
      <c r="H13" s="8" t="s">
        <v>81</v>
      </c>
      <c r="I13" s="9">
        <v>2201012</v>
      </c>
      <c r="J13" s="25" t="s">
        <v>117</v>
      </c>
      <c r="K13" s="25" t="s">
        <v>98</v>
      </c>
      <c r="L13" s="10" t="s">
        <v>84</v>
      </c>
      <c r="M13" s="11" t="s">
        <v>85</v>
      </c>
      <c r="N13" s="11" t="s">
        <v>107</v>
      </c>
      <c r="O13" s="25">
        <v>2</v>
      </c>
      <c r="P13" s="9">
        <v>220101200</v>
      </c>
      <c r="Q13" s="25" t="s">
        <v>118</v>
      </c>
      <c r="R13" s="12" t="s">
        <v>88</v>
      </c>
      <c r="S13" s="13" t="s">
        <v>93</v>
      </c>
      <c r="T13" s="14">
        <v>1</v>
      </c>
      <c r="U13" s="15">
        <v>1</v>
      </c>
      <c r="V13" s="16">
        <v>1</v>
      </c>
      <c r="W13" s="16">
        <v>1</v>
      </c>
      <c r="X13" s="16">
        <v>1</v>
      </c>
      <c r="Y13" s="16">
        <v>1</v>
      </c>
      <c r="Z13" s="17">
        <f t="shared" si="0"/>
        <v>1489766.6666666667</v>
      </c>
      <c r="AA13" s="17">
        <v>0</v>
      </c>
      <c r="AB13" s="18">
        <f t="shared" si="11"/>
        <v>5406223.1290322579</v>
      </c>
      <c r="AC13" s="17">
        <v>0</v>
      </c>
      <c r="AD13" s="17">
        <v>0</v>
      </c>
      <c r="AE13" s="17">
        <f t="shared" si="1"/>
        <v>4753582.6333333338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8">
        <f>SUM(PlanIndicativo[[#This Row],[Ingresos Corrientes de Libre Destinación - ICLD (2020)]:[Otros (2020)]])</f>
        <v>11649572.429032259</v>
      </c>
      <c r="AL13" s="17">
        <f t="shared" si="2"/>
        <v>1489766.6666666667</v>
      </c>
      <c r="AM13" s="17">
        <v>0</v>
      </c>
      <c r="AN13" s="18">
        <f t="shared" si="10"/>
        <v>5406223.1290322579</v>
      </c>
      <c r="AO13" s="17">
        <v>0</v>
      </c>
      <c r="AP13" s="17">
        <v>0</v>
      </c>
      <c r="AQ13" s="17">
        <f t="shared" si="3"/>
        <v>4753582.6333333338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9">
        <f>SUM(PlanIndicativo[[#This Row],[Ingresos Corrientes de Libre Destinación - ICLD (2021)]:[Otros  (2021)]])</f>
        <v>11649572.429032259</v>
      </c>
      <c r="AX13" s="17">
        <f t="shared" si="4"/>
        <v>1489766.6666666667</v>
      </c>
      <c r="AY13" s="17">
        <v>0</v>
      </c>
      <c r="AZ13" s="18">
        <f t="shared" si="8"/>
        <v>5406223.1290322579</v>
      </c>
      <c r="BA13" s="17">
        <v>0</v>
      </c>
      <c r="BB13" s="17">
        <v>0</v>
      </c>
      <c r="BC13" s="17">
        <f t="shared" si="5"/>
        <v>4753582.6333333338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20">
        <f>SUM(PlanIndicativo[[#This Row],[Ingresos Corrientes de Libre Destinación - ICLD (2022)]:[Otros   (2022)]])</f>
        <v>11649572.429032259</v>
      </c>
      <c r="BJ13" s="17">
        <f t="shared" si="6"/>
        <v>1489766.6666666667</v>
      </c>
      <c r="BK13" s="17">
        <v>0</v>
      </c>
      <c r="BL13" s="18">
        <f t="shared" si="9"/>
        <v>5406223.1290322579</v>
      </c>
      <c r="BM13" s="17">
        <v>0</v>
      </c>
      <c r="BN13" s="17">
        <v>0</v>
      </c>
      <c r="BO13" s="17">
        <f t="shared" si="7"/>
        <v>4753582.6333333338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21">
        <f>SUM(PlanIndicativo[[#This Row],[Ingresos Corrientes de Libre Destinación - ICLD (2023)]:[Otros (2023)]])</f>
        <v>11649572.429032259</v>
      </c>
      <c r="BV13" s="21">
        <f>+PlanIndicativo[[#This Row],[Total (2020)]]+PlanIndicativo[[#This Row],[Total  (2021)]]+PlanIndicativo[[#This Row],[Total  (2022)]]+PlanIndicativo[[#This Row],[Total (2023)]]</f>
        <v>46598289.716129035</v>
      </c>
      <c r="BW13" s="22" t="s">
        <v>90</v>
      </c>
    </row>
    <row r="14" spans="1:77" ht="21" customHeight="1" x14ac:dyDescent="0.25">
      <c r="A14" s="7">
        <v>1</v>
      </c>
      <c r="B14" s="8" t="s">
        <v>75</v>
      </c>
      <c r="C14" s="7" t="s">
        <v>76</v>
      </c>
      <c r="D14" s="7" t="s">
        <v>77</v>
      </c>
      <c r="E14" s="7" t="s">
        <v>78</v>
      </c>
      <c r="F14" s="8" t="s">
        <v>79</v>
      </c>
      <c r="G14" s="7" t="s">
        <v>80</v>
      </c>
      <c r="H14" s="8" t="s">
        <v>81</v>
      </c>
      <c r="I14" s="9">
        <v>2201015</v>
      </c>
      <c r="J14" s="25" t="s">
        <v>119</v>
      </c>
      <c r="K14" s="25" t="s">
        <v>98</v>
      </c>
      <c r="L14" s="10" t="s">
        <v>84</v>
      </c>
      <c r="M14" s="11" t="s">
        <v>85</v>
      </c>
      <c r="N14" s="11" t="s">
        <v>107</v>
      </c>
      <c r="O14" s="25">
        <v>4</v>
      </c>
      <c r="P14" s="9">
        <v>220101500</v>
      </c>
      <c r="Q14" s="25" t="s">
        <v>120</v>
      </c>
      <c r="R14" s="12" t="s">
        <v>88</v>
      </c>
      <c r="S14" s="13" t="s">
        <v>93</v>
      </c>
      <c r="T14" s="14">
        <v>1</v>
      </c>
      <c r="U14" s="15">
        <v>1</v>
      </c>
      <c r="V14" s="16">
        <v>1</v>
      </c>
      <c r="W14" s="16">
        <v>1</v>
      </c>
      <c r="X14" s="16">
        <v>1</v>
      </c>
      <c r="Y14" s="16">
        <v>1</v>
      </c>
      <c r="Z14" s="17">
        <f t="shared" si="0"/>
        <v>1489766.6666666667</v>
      </c>
      <c r="AA14" s="17">
        <v>0</v>
      </c>
      <c r="AB14" s="18">
        <f t="shared" si="11"/>
        <v>5406223.1290322579</v>
      </c>
      <c r="AC14" s="17">
        <v>0</v>
      </c>
      <c r="AD14" s="17">
        <v>0</v>
      </c>
      <c r="AE14" s="17">
        <f t="shared" si="1"/>
        <v>4753582.6333333338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8">
        <f>SUM(PlanIndicativo[[#This Row],[Ingresos Corrientes de Libre Destinación - ICLD (2020)]:[Otros (2020)]])</f>
        <v>11649572.429032259</v>
      </c>
      <c r="AL14" s="17">
        <f t="shared" si="2"/>
        <v>1489766.6666666667</v>
      </c>
      <c r="AM14" s="17">
        <v>0</v>
      </c>
      <c r="AN14" s="18">
        <f t="shared" si="10"/>
        <v>5406223.1290322579</v>
      </c>
      <c r="AO14" s="17">
        <v>0</v>
      </c>
      <c r="AP14" s="17">
        <v>0</v>
      </c>
      <c r="AQ14" s="17">
        <f t="shared" si="3"/>
        <v>4753582.6333333338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9">
        <f>SUM(PlanIndicativo[[#This Row],[Ingresos Corrientes de Libre Destinación - ICLD (2021)]:[Otros  (2021)]])</f>
        <v>11649572.429032259</v>
      </c>
      <c r="AX14" s="17">
        <f t="shared" si="4"/>
        <v>1489766.6666666667</v>
      </c>
      <c r="AY14" s="17">
        <v>0</v>
      </c>
      <c r="AZ14" s="18">
        <f t="shared" si="8"/>
        <v>5406223.1290322579</v>
      </c>
      <c r="BA14" s="17">
        <v>0</v>
      </c>
      <c r="BB14" s="17">
        <v>0</v>
      </c>
      <c r="BC14" s="17">
        <f t="shared" si="5"/>
        <v>4753582.6333333338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20">
        <f>SUM(PlanIndicativo[[#This Row],[Ingresos Corrientes de Libre Destinación - ICLD (2022)]:[Otros   (2022)]])</f>
        <v>11649572.429032259</v>
      </c>
      <c r="BJ14" s="17">
        <f t="shared" si="6"/>
        <v>1489766.6666666667</v>
      </c>
      <c r="BK14" s="17">
        <v>0</v>
      </c>
      <c r="BL14" s="18">
        <f t="shared" si="9"/>
        <v>5406223.1290322579</v>
      </c>
      <c r="BM14" s="17">
        <v>0</v>
      </c>
      <c r="BN14" s="17">
        <v>0</v>
      </c>
      <c r="BO14" s="17">
        <f t="shared" si="7"/>
        <v>4753582.6333333338</v>
      </c>
      <c r="BP14" s="17">
        <v>0</v>
      </c>
      <c r="BQ14" s="17">
        <v>0</v>
      </c>
      <c r="BR14" s="17">
        <v>0</v>
      </c>
      <c r="BS14" s="17">
        <v>0</v>
      </c>
      <c r="BT14" s="17">
        <v>0</v>
      </c>
      <c r="BU14" s="21">
        <f>SUM(PlanIndicativo[[#This Row],[Ingresos Corrientes de Libre Destinación - ICLD (2023)]:[Otros (2023)]])</f>
        <v>11649572.429032259</v>
      </c>
      <c r="BV14" s="21">
        <f>+PlanIndicativo[[#This Row],[Total (2020)]]+PlanIndicativo[[#This Row],[Total  (2021)]]+PlanIndicativo[[#This Row],[Total  (2022)]]+PlanIndicativo[[#This Row],[Total (2023)]]</f>
        <v>46598289.716129035</v>
      </c>
      <c r="BW14" s="22" t="s">
        <v>90</v>
      </c>
    </row>
    <row r="15" spans="1:77" ht="21" customHeight="1" x14ac:dyDescent="0.25">
      <c r="A15" s="7">
        <v>1</v>
      </c>
      <c r="B15" s="8" t="s">
        <v>75</v>
      </c>
      <c r="C15" s="7" t="s">
        <v>76</v>
      </c>
      <c r="D15" s="7" t="s">
        <v>77</v>
      </c>
      <c r="E15" s="7" t="s">
        <v>78</v>
      </c>
      <c r="F15" s="8" t="s">
        <v>79</v>
      </c>
      <c r="G15" s="7" t="s">
        <v>80</v>
      </c>
      <c r="H15" s="8" t="s">
        <v>81</v>
      </c>
      <c r="I15" s="9">
        <v>2201017</v>
      </c>
      <c r="J15" s="25" t="s">
        <v>121</v>
      </c>
      <c r="K15" s="25" t="s">
        <v>122</v>
      </c>
      <c r="L15" s="10" t="s">
        <v>84</v>
      </c>
      <c r="M15" s="11" t="s">
        <v>85</v>
      </c>
      <c r="N15" s="11" t="s">
        <v>107</v>
      </c>
      <c r="O15" s="25">
        <v>4</v>
      </c>
      <c r="P15" s="9">
        <v>220101700</v>
      </c>
      <c r="Q15" s="25" t="s">
        <v>123</v>
      </c>
      <c r="R15" s="12" t="s">
        <v>88</v>
      </c>
      <c r="S15" s="13" t="s">
        <v>93</v>
      </c>
      <c r="T15" s="14">
        <v>0</v>
      </c>
      <c r="U15" s="15">
        <v>1200</v>
      </c>
      <c r="V15" s="16">
        <v>400</v>
      </c>
      <c r="W15" s="16">
        <v>400</v>
      </c>
      <c r="X15" s="16">
        <v>400</v>
      </c>
      <c r="Y15" s="16">
        <v>400</v>
      </c>
      <c r="Z15" s="17">
        <f t="shared" si="0"/>
        <v>1489766.6666666667</v>
      </c>
      <c r="AA15" s="17">
        <v>0</v>
      </c>
      <c r="AB15" s="18">
        <f t="shared" si="11"/>
        <v>5406223.1290322579</v>
      </c>
      <c r="AC15" s="17">
        <v>0</v>
      </c>
      <c r="AD15" s="17">
        <v>0</v>
      </c>
      <c r="AE15" s="17">
        <f t="shared" si="1"/>
        <v>4753582.6333333338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8">
        <f>SUM(PlanIndicativo[[#This Row],[Ingresos Corrientes de Libre Destinación - ICLD (2020)]:[Otros (2020)]])</f>
        <v>11649572.429032259</v>
      </c>
      <c r="AL15" s="17">
        <f t="shared" si="2"/>
        <v>1489766.6666666667</v>
      </c>
      <c r="AM15" s="17">
        <v>0</v>
      </c>
      <c r="AN15" s="18">
        <f t="shared" si="10"/>
        <v>5406223.1290322579</v>
      </c>
      <c r="AO15" s="17">
        <v>0</v>
      </c>
      <c r="AP15" s="17">
        <v>0</v>
      </c>
      <c r="AQ15" s="17">
        <f t="shared" si="3"/>
        <v>4753582.6333333338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9">
        <f>SUM(PlanIndicativo[[#This Row],[Ingresos Corrientes de Libre Destinación - ICLD (2021)]:[Otros  (2021)]])</f>
        <v>11649572.429032259</v>
      </c>
      <c r="AX15" s="17">
        <f t="shared" si="4"/>
        <v>1489766.6666666667</v>
      </c>
      <c r="AY15" s="17">
        <v>0</v>
      </c>
      <c r="AZ15" s="18">
        <f t="shared" si="8"/>
        <v>5406223.1290322579</v>
      </c>
      <c r="BA15" s="17">
        <v>0</v>
      </c>
      <c r="BB15" s="17">
        <v>0</v>
      </c>
      <c r="BC15" s="17">
        <f t="shared" si="5"/>
        <v>4753582.6333333338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20">
        <f>SUM(PlanIndicativo[[#This Row],[Ingresos Corrientes de Libre Destinación - ICLD (2022)]:[Otros   (2022)]])</f>
        <v>11649572.429032259</v>
      </c>
      <c r="BJ15" s="17">
        <f t="shared" si="6"/>
        <v>1489766.6666666667</v>
      </c>
      <c r="BK15" s="17">
        <v>0</v>
      </c>
      <c r="BL15" s="18">
        <f t="shared" si="9"/>
        <v>5406223.1290322579</v>
      </c>
      <c r="BM15" s="17">
        <v>0</v>
      </c>
      <c r="BN15" s="17">
        <v>0</v>
      </c>
      <c r="BO15" s="17">
        <f t="shared" si="7"/>
        <v>4753582.6333333338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21">
        <f>SUM(PlanIndicativo[[#This Row],[Ingresos Corrientes de Libre Destinación - ICLD (2023)]:[Otros (2023)]])</f>
        <v>11649572.429032259</v>
      </c>
      <c r="BV15" s="21">
        <f>+PlanIndicativo[[#This Row],[Total (2020)]]+PlanIndicativo[[#This Row],[Total  (2021)]]+PlanIndicativo[[#This Row],[Total  (2022)]]+PlanIndicativo[[#This Row],[Total (2023)]]</f>
        <v>46598289.716129035</v>
      </c>
      <c r="BW15" s="22" t="s">
        <v>90</v>
      </c>
    </row>
    <row r="16" spans="1:77" ht="21" customHeight="1" x14ac:dyDescent="0.25">
      <c r="A16" s="7">
        <v>1</v>
      </c>
      <c r="B16" s="8" t="s">
        <v>75</v>
      </c>
      <c r="C16" s="7" t="s">
        <v>76</v>
      </c>
      <c r="D16" s="7" t="s">
        <v>77</v>
      </c>
      <c r="E16" s="7" t="s">
        <v>78</v>
      </c>
      <c r="F16" s="8" t="s">
        <v>79</v>
      </c>
      <c r="G16" s="7" t="s">
        <v>80</v>
      </c>
      <c r="H16" s="8" t="s">
        <v>81</v>
      </c>
      <c r="I16" s="9">
        <v>2201018</v>
      </c>
      <c r="J16" s="25" t="s">
        <v>124</v>
      </c>
      <c r="K16" s="25" t="s">
        <v>125</v>
      </c>
      <c r="L16" s="10" t="s">
        <v>84</v>
      </c>
      <c r="M16" s="11" t="s">
        <v>85</v>
      </c>
      <c r="N16" s="25" t="s">
        <v>86</v>
      </c>
      <c r="O16" s="25">
        <v>5</v>
      </c>
      <c r="P16" s="9">
        <v>220101800</v>
      </c>
      <c r="Q16" s="25" t="s">
        <v>126</v>
      </c>
      <c r="R16" s="12" t="s">
        <v>88</v>
      </c>
      <c r="S16" s="13" t="s">
        <v>93</v>
      </c>
      <c r="T16" s="14">
        <v>4</v>
      </c>
      <c r="U16" s="15">
        <v>4</v>
      </c>
      <c r="V16" s="16">
        <v>1</v>
      </c>
      <c r="W16" s="16">
        <v>1</v>
      </c>
      <c r="X16" s="16">
        <v>1</v>
      </c>
      <c r="Y16" s="16">
        <v>1</v>
      </c>
      <c r="Z16" s="17">
        <f t="shared" si="0"/>
        <v>1489766.6666666667</v>
      </c>
      <c r="AA16" s="17">
        <v>0</v>
      </c>
      <c r="AB16" s="18">
        <f t="shared" si="11"/>
        <v>5406223.1290322579</v>
      </c>
      <c r="AC16" s="17">
        <v>0</v>
      </c>
      <c r="AD16" s="17">
        <v>0</v>
      </c>
      <c r="AE16" s="17">
        <f t="shared" si="1"/>
        <v>4753582.6333333338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8">
        <f>SUM(PlanIndicativo[[#This Row],[Ingresos Corrientes de Libre Destinación - ICLD (2020)]:[Otros (2020)]])</f>
        <v>11649572.429032259</v>
      </c>
      <c r="AL16" s="17">
        <f t="shared" si="2"/>
        <v>1489766.6666666667</v>
      </c>
      <c r="AM16" s="17">
        <v>0</v>
      </c>
      <c r="AN16" s="18">
        <f t="shared" si="10"/>
        <v>5406223.1290322579</v>
      </c>
      <c r="AO16" s="17">
        <v>0</v>
      </c>
      <c r="AP16" s="17">
        <v>0</v>
      </c>
      <c r="AQ16" s="17">
        <f t="shared" si="3"/>
        <v>4753582.6333333338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9">
        <f>SUM(PlanIndicativo[[#This Row],[Ingresos Corrientes de Libre Destinación - ICLD (2021)]:[Otros  (2021)]])</f>
        <v>11649572.429032259</v>
      </c>
      <c r="AX16" s="17">
        <f t="shared" si="4"/>
        <v>1489766.6666666667</v>
      </c>
      <c r="AY16" s="17">
        <v>0</v>
      </c>
      <c r="AZ16" s="18">
        <f t="shared" si="8"/>
        <v>5406223.1290322579</v>
      </c>
      <c r="BA16" s="17">
        <v>0</v>
      </c>
      <c r="BB16" s="17">
        <v>0</v>
      </c>
      <c r="BC16" s="17">
        <f t="shared" si="5"/>
        <v>4753582.6333333338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20">
        <f>SUM(PlanIndicativo[[#This Row],[Ingresos Corrientes de Libre Destinación - ICLD (2022)]:[Otros   (2022)]])</f>
        <v>11649572.429032259</v>
      </c>
      <c r="BJ16" s="17">
        <f t="shared" si="6"/>
        <v>1489766.6666666667</v>
      </c>
      <c r="BK16" s="17">
        <v>0</v>
      </c>
      <c r="BL16" s="18">
        <f t="shared" si="9"/>
        <v>5406223.1290322579</v>
      </c>
      <c r="BM16" s="17">
        <v>0</v>
      </c>
      <c r="BN16" s="17">
        <v>0</v>
      </c>
      <c r="BO16" s="17">
        <f t="shared" si="7"/>
        <v>4753582.6333333338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21">
        <f>SUM(PlanIndicativo[[#This Row],[Ingresos Corrientes de Libre Destinación - ICLD (2023)]:[Otros (2023)]])</f>
        <v>11649572.429032259</v>
      </c>
      <c r="BV16" s="21">
        <f>+PlanIndicativo[[#This Row],[Total (2020)]]+PlanIndicativo[[#This Row],[Total  (2021)]]+PlanIndicativo[[#This Row],[Total  (2022)]]+PlanIndicativo[[#This Row],[Total (2023)]]</f>
        <v>46598289.716129035</v>
      </c>
      <c r="BW16" s="22" t="s">
        <v>90</v>
      </c>
    </row>
    <row r="17" spans="1:75" ht="21" customHeight="1" x14ac:dyDescent="0.25">
      <c r="A17" s="7">
        <v>1</v>
      </c>
      <c r="B17" s="8" t="s">
        <v>75</v>
      </c>
      <c r="C17" s="7" t="s">
        <v>76</v>
      </c>
      <c r="D17" s="7" t="s">
        <v>77</v>
      </c>
      <c r="E17" s="7" t="s">
        <v>78</v>
      </c>
      <c r="F17" s="8" t="s">
        <v>79</v>
      </c>
      <c r="G17" s="7" t="s">
        <v>80</v>
      </c>
      <c r="H17" s="8" t="s">
        <v>81</v>
      </c>
      <c r="I17" s="9">
        <v>2201028</v>
      </c>
      <c r="J17" s="10" t="s">
        <v>127</v>
      </c>
      <c r="K17" s="10" t="s">
        <v>128</v>
      </c>
      <c r="L17" s="10" t="s">
        <v>84</v>
      </c>
      <c r="M17" s="11" t="s">
        <v>85</v>
      </c>
      <c r="N17" s="25" t="s">
        <v>86</v>
      </c>
      <c r="O17" s="10">
        <v>6</v>
      </c>
      <c r="P17" s="9">
        <v>220102800</v>
      </c>
      <c r="Q17" s="10" t="s">
        <v>129</v>
      </c>
      <c r="R17" s="12" t="s">
        <v>88</v>
      </c>
      <c r="S17" s="13" t="s">
        <v>93</v>
      </c>
      <c r="T17" s="14">
        <v>0</v>
      </c>
      <c r="U17" s="15">
        <v>50592</v>
      </c>
      <c r="V17" s="16">
        <v>16864</v>
      </c>
      <c r="W17" s="16">
        <v>16864</v>
      </c>
      <c r="X17" s="16">
        <v>16864</v>
      </c>
      <c r="Y17" s="16">
        <v>16864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22687238</v>
      </c>
      <c r="AG17" s="17">
        <v>0</v>
      </c>
      <c r="AH17" s="17">
        <v>0</v>
      </c>
      <c r="AI17" s="17">
        <v>0</v>
      </c>
      <c r="AJ17" s="17">
        <v>0</v>
      </c>
      <c r="AK17" s="18">
        <f>SUM(PlanIndicativo[[#This Row],[Ingresos Corrientes de Libre Destinación - ICLD (2020)]:[Otros (2020)]])</f>
        <v>22687238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22687238</v>
      </c>
      <c r="AS17" s="17">
        <v>0</v>
      </c>
      <c r="AT17" s="17">
        <v>0</v>
      </c>
      <c r="AU17" s="17">
        <v>0</v>
      </c>
      <c r="AV17" s="17">
        <v>0</v>
      </c>
      <c r="AW17" s="19">
        <f>SUM(PlanIndicativo[[#This Row],[Ingresos Corrientes de Libre Destinación - ICLD (2021)]:[Otros  (2021)]])</f>
        <v>22687238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22687238</v>
      </c>
      <c r="BE17" s="17">
        <v>0</v>
      </c>
      <c r="BF17" s="17">
        <v>0</v>
      </c>
      <c r="BG17" s="17">
        <v>0</v>
      </c>
      <c r="BH17" s="17">
        <v>0</v>
      </c>
      <c r="BI17" s="20">
        <f>SUM(PlanIndicativo[[#This Row],[Ingresos Corrientes de Libre Destinación - ICLD (2022)]:[Otros   (2022)]])</f>
        <v>22687238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22687238</v>
      </c>
      <c r="BQ17" s="17">
        <v>0</v>
      </c>
      <c r="BR17" s="17">
        <v>0</v>
      </c>
      <c r="BS17" s="17">
        <v>0</v>
      </c>
      <c r="BT17" s="17">
        <v>0</v>
      </c>
      <c r="BU17" s="21">
        <f>SUM(PlanIndicativo[[#This Row],[Ingresos Corrientes de Libre Destinación - ICLD (2023)]:[Otros (2023)]])</f>
        <v>22687238</v>
      </c>
      <c r="BV17" s="21">
        <f>+PlanIndicativo[[#This Row],[Total (2020)]]+PlanIndicativo[[#This Row],[Total  (2021)]]+PlanIndicativo[[#This Row],[Total  (2022)]]+PlanIndicativo[[#This Row],[Total (2023)]]</f>
        <v>90748952</v>
      </c>
      <c r="BW17" s="22" t="s">
        <v>90</v>
      </c>
    </row>
    <row r="18" spans="1:75" ht="21" customHeight="1" x14ac:dyDescent="0.25">
      <c r="A18" s="7">
        <v>1</v>
      </c>
      <c r="B18" s="8" t="s">
        <v>75</v>
      </c>
      <c r="C18" s="7" t="s">
        <v>76</v>
      </c>
      <c r="D18" s="7" t="s">
        <v>77</v>
      </c>
      <c r="E18" s="7" t="s">
        <v>78</v>
      </c>
      <c r="F18" s="8" t="s">
        <v>79</v>
      </c>
      <c r="G18" s="7" t="s">
        <v>80</v>
      </c>
      <c r="H18" s="8" t="s">
        <v>81</v>
      </c>
      <c r="I18" s="9">
        <v>2201029</v>
      </c>
      <c r="J18" s="11" t="s">
        <v>130</v>
      </c>
      <c r="K18" s="11" t="s">
        <v>128</v>
      </c>
      <c r="L18" s="10" t="s">
        <v>84</v>
      </c>
      <c r="M18" s="11" t="s">
        <v>85</v>
      </c>
      <c r="N18" s="25" t="s">
        <v>86</v>
      </c>
      <c r="O18" s="11">
        <v>3</v>
      </c>
      <c r="P18" s="9">
        <v>220102900</v>
      </c>
      <c r="Q18" s="11" t="s">
        <v>131</v>
      </c>
      <c r="R18" s="12" t="s">
        <v>88</v>
      </c>
      <c r="S18" s="13" t="s">
        <v>93</v>
      </c>
      <c r="T18" s="14">
        <v>0</v>
      </c>
      <c r="U18" s="15">
        <v>500</v>
      </c>
      <c r="V18" s="16">
        <v>125</v>
      </c>
      <c r="W18" s="16">
        <v>125</v>
      </c>
      <c r="X18" s="16">
        <v>125</v>
      </c>
      <c r="Y18" s="16">
        <v>125</v>
      </c>
      <c r="Z18" s="17">
        <f t="shared" si="0"/>
        <v>1489766.6666666667</v>
      </c>
      <c r="AA18" s="17">
        <v>0</v>
      </c>
      <c r="AB18" s="18">
        <f t="shared" ref="AB18:AB32" si="12">167592917/31</f>
        <v>5406223.1290322579</v>
      </c>
      <c r="AC18" s="17">
        <v>0</v>
      </c>
      <c r="AD18" s="17">
        <v>0</v>
      </c>
      <c r="AE18" s="17">
        <f t="shared" si="1"/>
        <v>4753582.6333333338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8">
        <f>SUM(PlanIndicativo[[#This Row],[Ingresos Corrientes de Libre Destinación - ICLD (2020)]:[Otros (2020)]])</f>
        <v>11649572.429032259</v>
      </c>
      <c r="AL18" s="17">
        <f t="shared" si="2"/>
        <v>1489766.6666666667</v>
      </c>
      <c r="AM18" s="17">
        <v>0</v>
      </c>
      <c r="AN18" s="18">
        <f t="shared" ref="AN18:AN32" si="13">167592917/31</f>
        <v>5406223.1290322579</v>
      </c>
      <c r="AO18" s="17">
        <v>0</v>
      </c>
      <c r="AP18" s="17">
        <v>0</v>
      </c>
      <c r="AQ18" s="17">
        <f t="shared" si="3"/>
        <v>4753582.6333333338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9">
        <f>SUM(PlanIndicativo[[#This Row],[Ingresos Corrientes de Libre Destinación - ICLD (2021)]:[Otros  (2021)]])</f>
        <v>11649572.429032259</v>
      </c>
      <c r="AX18" s="17">
        <f t="shared" si="4"/>
        <v>1489766.6666666667</v>
      </c>
      <c r="AY18" s="17">
        <v>0</v>
      </c>
      <c r="AZ18" s="18">
        <f t="shared" ref="AZ18:AZ32" si="14">167592917/31</f>
        <v>5406223.1290322579</v>
      </c>
      <c r="BA18" s="17">
        <v>0</v>
      </c>
      <c r="BB18" s="17">
        <v>0</v>
      </c>
      <c r="BC18" s="17">
        <f t="shared" si="5"/>
        <v>4753582.6333333338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20">
        <f>SUM(PlanIndicativo[[#This Row],[Ingresos Corrientes de Libre Destinación - ICLD (2022)]:[Otros   (2022)]])</f>
        <v>11649572.429032259</v>
      </c>
      <c r="BJ18" s="17">
        <f t="shared" si="6"/>
        <v>1489766.6666666667</v>
      </c>
      <c r="BK18" s="17">
        <v>0</v>
      </c>
      <c r="BL18" s="18">
        <f t="shared" ref="BL18:BL32" si="15">167592917/31</f>
        <v>5406223.1290322579</v>
      </c>
      <c r="BM18" s="17">
        <v>0</v>
      </c>
      <c r="BN18" s="17">
        <v>0</v>
      </c>
      <c r="BO18" s="17">
        <f t="shared" si="7"/>
        <v>4753582.6333333338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21">
        <f>SUM(PlanIndicativo[[#This Row],[Ingresos Corrientes de Libre Destinación - ICLD (2023)]:[Otros (2023)]])</f>
        <v>11649572.429032259</v>
      </c>
      <c r="BV18" s="21">
        <f>+PlanIndicativo[[#This Row],[Total (2020)]]+PlanIndicativo[[#This Row],[Total  (2021)]]+PlanIndicativo[[#This Row],[Total  (2022)]]+PlanIndicativo[[#This Row],[Total (2023)]]</f>
        <v>46598289.716129035</v>
      </c>
      <c r="BW18" s="22" t="s">
        <v>90</v>
      </c>
    </row>
    <row r="19" spans="1:75" ht="21" customHeight="1" x14ac:dyDescent="0.25">
      <c r="A19" s="7">
        <v>1</v>
      </c>
      <c r="B19" s="8" t="s">
        <v>75</v>
      </c>
      <c r="C19" s="7" t="s">
        <v>76</v>
      </c>
      <c r="D19" s="7" t="s">
        <v>77</v>
      </c>
      <c r="E19" s="7" t="s">
        <v>78</v>
      </c>
      <c r="F19" s="8" t="s">
        <v>79</v>
      </c>
      <c r="G19" s="7" t="s">
        <v>80</v>
      </c>
      <c r="H19" s="8" t="s">
        <v>81</v>
      </c>
      <c r="I19" s="9">
        <v>2201030</v>
      </c>
      <c r="J19" s="11" t="s">
        <v>132</v>
      </c>
      <c r="K19" s="11" t="s">
        <v>128</v>
      </c>
      <c r="L19" s="10" t="s">
        <v>84</v>
      </c>
      <c r="M19" s="11" t="s">
        <v>85</v>
      </c>
      <c r="N19" s="25" t="s">
        <v>86</v>
      </c>
      <c r="O19" s="11">
        <v>2</v>
      </c>
      <c r="P19" s="9">
        <v>220103000</v>
      </c>
      <c r="Q19" s="11" t="s">
        <v>133</v>
      </c>
      <c r="R19" s="12" t="s">
        <v>88</v>
      </c>
      <c r="S19" s="13" t="s">
        <v>93</v>
      </c>
      <c r="T19" s="14">
        <v>0</v>
      </c>
      <c r="U19" s="15">
        <v>100</v>
      </c>
      <c r="V19" s="16">
        <v>25</v>
      </c>
      <c r="W19" s="16">
        <v>25</v>
      </c>
      <c r="X19" s="16">
        <v>25</v>
      </c>
      <c r="Y19" s="16">
        <v>25</v>
      </c>
      <c r="Z19" s="17">
        <f t="shared" si="0"/>
        <v>1489766.6666666667</v>
      </c>
      <c r="AA19" s="17">
        <v>0</v>
      </c>
      <c r="AB19" s="18">
        <f t="shared" si="12"/>
        <v>5406223.1290322579</v>
      </c>
      <c r="AC19" s="17">
        <v>0</v>
      </c>
      <c r="AD19" s="17">
        <v>0</v>
      </c>
      <c r="AE19" s="17">
        <f t="shared" si="1"/>
        <v>4753582.6333333338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8">
        <f>SUM(PlanIndicativo[[#This Row],[Ingresos Corrientes de Libre Destinación - ICLD (2020)]:[Otros (2020)]])</f>
        <v>11649572.429032259</v>
      </c>
      <c r="AL19" s="17">
        <f t="shared" si="2"/>
        <v>1489766.6666666667</v>
      </c>
      <c r="AM19" s="17">
        <v>0</v>
      </c>
      <c r="AN19" s="18">
        <f t="shared" si="13"/>
        <v>5406223.1290322579</v>
      </c>
      <c r="AO19" s="17">
        <v>0</v>
      </c>
      <c r="AP19" s="17">
        <v>0</v>
      </c>
      <c r="AQ19" s="17">
        <f t="shared" si="3"/>
        <v>4753582.6333333338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9">
        <f>SUM(PlanIndicativo[[#This Row],[Ingresos Corrientes de Libre Destinación - ICLD (2021)]:[Otros  (2021)]])</f>
        <v>11649572.429032259</v>
      </c>
      <c r="AX19" s="17">
        <f t="shared" si="4"/>
        <v>1489766.6666666667</v>
      </c>
      <c r="AY19" s="17">
        <v>0</v>
      </c>
      <c r="AZ19" s="18">
        <f t="shared" si="14"/>
        <v>5406223.1290322579</v>
      </c>
      <c r="BA19" s="17">
        <v>0</v>
      </c>
      <c r="BB19" s="17">
        <v>0</v>
      </c>
      <c r="BC19" s="17">
        <f t="shared" si="5"/>
        <v>4753582.6333333338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20">
        <f>SUM(PlanIndicativo[[#This Row],[Ingresos Corrientes de Libre Destinación - ICLD (2022)]:[Otros   (2022)]])</f>
        <v>11649572.429032259</v>
      </c>
      <c r="BJ19" s="17">
        <f t="shared" si="6"/>
        <v>1489766.6666666667</v>
      </c>
      <c r="BK19" s="17">
        <v>0</v>
      </c>
      <c r="BL19" s="18">
        <f t="shared" si="15"/>
        <v>5406223.1290322579</v>
      </c>
      <c r="BM19" s="17">
        <v>0</v>
      </c>
      <c r="BN19" s="17">
        <v>0</v>
      </c>
      <c r="BO19" s="17">
        <f t="shared" si="7"/>
        <v>4753582.6333333338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21">
        <f>SUM(PlanIndicativo[[#This Row],[Ingresos Corrientes de Libre Destinación - ICLD (2023)]:[Otros (2023)]])</f>
        <v>11649572.429032259</v>
      </c>
      <c r="BV19" s="21">
        <f>+PlanIndicativo[[#This Row],[Total (2020)]]+PlanIndicativo[[#This Row],[Total  (2021)]]+PlanIndicativo[[#This Row],[Total  (2022)]]+PlanIndicativo[[#This Row],[Total (2023)]]</f>
        <v>46598289.716129035</v>
      </c>
      <c r="BW19" s="22" t="s">
        <v>90</v>
      </c>
    </row>
    <row r="20" spans="1:75" ht="21" customHeight="1" x14ac:dyDescent="0.25">
      <c r="A20" s="7">
        <v>1</v>
      </c>
      <c r="B20" s="8" t="s">
        <v>75</v>
      </c>
      <c r="C20" s="7" t="s">
        <v>76</v>
      </c>
      <c r="D20" s="7" t="s">
        <v>77</v>
      </c>
      <c r="E20" s="7" t="s">
        <v>78</v>
      </c>
      <c r="F20" s="8" t="s">
        <v>79</v>
      </c>
      <c r="G20" s="7" t="s">
        <v>80</v>
      </c>
      <c r="H20" s="8" t="s">
        <v>81</v>
      </c>
      <c r="I20" s="9">
        <v>2201032</v>
      </c>
      <c r="J20" s="11" t="s">
        <v>134</v>
      </c>
      <c r="K20" s="11" t="s">
        <v>135</v>
      </c>
      <c r="L20" s="10" t="s">
        <v>84</v>
      </c>
      <c r="M20" s="11" t="s">
        <v>85</v>
      </c>
      <c r="N20" s="25" t="s">
        <v>86</v>
      </c>
      <c r="O20" s="11">
        <v>2</v>
      </c>
      <c r="P20" s="9">
        <v>220103200</v>
      </c>
      <c r="Q20" s="11" t="s">
        <v>136</v>
      </c>
      <c r="R20" s="12" t="s">
        <v>88</v>
      </c>
      <c r="S20" s="13" t="s">
        <v>137</v>
      </c>
      <c r="T20" s="14">
        <v>0</v>
      </c>
      <c r="U20" s="15">
        <v>100</v>
      </c>
      <c r="V20" s="16">
        <v>25</v>
      </c>
      <c r="W20" s="16">
        <v>25</v>
      </c>
      <c r="X20" s="16">
        <v>25</v>
      </c>
      <c r="Y20" s="16">
        <v>25</v>
      </c>
      <c r="Z20" s="17">
        <f t="shared" si="0"/>
        <v>1489766.6666666667</v>
      </c>
      <c r="AA20" s="17">
        <v>0</v>
      </c>
      <c r="AB20" s="18">
        <f t="shared" si="12"/>
        <v>5406223.1290322579</v>
      </c>
      <c r="AC20" s="17">
        <v>0</v>
      </c>
      <c r="AD20" s="17">
        <v>0</v>
      </c>
      <c r="AE20" s="17">
        <f t="shared" si="1"/>
        <v>4753582.6333333338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8">
        <f>SUM(PlanIndicativo[[#This Row],[Ingresos Corrientes de Libre Destinación - ICLD (2020)]:[Otros (2020)]])</f>
        <v>11649572.429032259</v>
      </c>
      <c r="AL20" s="17">
        <f t="shared" si="2"/>
        <v>1489766.6666666667</v>
      </c>
      <c r="AM20" s="17">
        <v>0</v>
      </c>
      <c r="AN20" s="18">
        <f t="shared" si="13"/>
        <v>5406223.1290322579</v>
      </c>
      <c r="AO20" s="17">
        <v>0</v>
      </c>
      <c r="AP20" s="17">
        <v>0</v>
      </c>
      <c r="AQ20" s="17">
        <f t="shared" si="3"/>
        <v>4753582.6333333338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9">
        <f>SUM(PlanIndicativo[[#This Row],[Ingresos Corrientes de Libre Destinación - ICLD (2021)]:[Otros  (2021)]])</f>
        <v>11649572.429032259</v>
      </c>
      <c r="AX20" s="17">
        <f t="shared" si="4"/>
        <v>1489766.6666666667</v>
      </c>
      <c r="AY20" s="17">
        <v>0</v>
      </c>
      <c r="AZ20" s="18">
        <f t="shared" si="14"/>
        <v>5406223.1290322579</v>
      </c>
      <c r="BA20" s="17">
        <v>0</v>
      </c>
      <c r="BB20" s="17">
        <v>0</v>
      </c>
      <c r="BC20" s="17">
        <f t="shared" si="5"/>
        <v>4753582.6333333338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20">
        <f>SUM(PlanIndicativo[[#This Row],[Ingresos Corrientes de Libre Destinación - ICLD (2022)]:[Otros   (2022)]])</f>
        <v>11649572.429032259</v>
      </c>
      <c r="BJ20" s="17">
        <f t="shared" si="6"/>
        <v>1489766.6666666667</v>
      </c>
      <c r="BK20" s="17">
        <v>0</v>
      </c>
      <c r="BL20" s="18">
        <f t="shared" si="15"/>
        <v>5406223.1290322579</v>
      </c>
      <c r="BM20" s="17">
        <v>0</v>
      </c>
      <c r="BN20" s="17">
        <v>0</v>
      </c>
      <c r="BO20" s="17">
        <f t="shared" si="7"/>
        <v>4753582.6333333338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21">
        <f>SUM(PlanIndicativo[[#This Row],[Ingresos Corrientes de Libre Destinación - ICLD (2023)]:[Otros (2023)]])</f>
        <v>11649572.429032259</v>
      </c>
      <c r="BV20" s="21">
        <f>+PlanIndicativo[[#This Row],[Total (2020)]]+PlanIndicativo[[#This Row],[Total  (2021)]]+PlanIndicativo[[#This Row],[Total  (2022)]]+PlanIndicativo[[#This Row],[Total (2023)]]</f>
        <v>46598289.716129035</v>
      </c>
      <c r="BW20" s="22" t="s">
        <v>90</v>
      </c>
    </row>
    <row r="21" spans="1:75" ht="21" customHeight="1" x14ac:dyDescent="0.25">
      <c r="A21" s="7">
        <v>1</v>
      </c>
      <c r="B21" s="8" t="s">
        <v>75</v>
      </c>
      <c r="C21" s="7" t="s">
        <v>76</v>
      </c>
      <c r="D21" s="7" t="s">
        <v>77</v>
      </c>
      <c r="E21" s="7" t="s">
        <v>78</v>
      </c>
      <c r="F21" s="8" t="s">
        <v>79</v>
      </c>
      <c r="G21" s="7" t="s">
        <v>80</v>
      </c>
      <c r="H21" s="8" t="s">
        <v>81</v>
      </c>
      <c r="I21" s="9">
        <v>2201033</v>
      </c>
      <c r="J21" s="11" t="s">
        <v>138</v>
      </c>
      <c r="K21" s="11" t="s">
        <v>128</v>
      </c>
      <c r="L21" s="10" t="s">
        <v>84</v>
      </c>
      <c r="M21" s="11" t="s">
        <v>85</v>
      </c>
      <c r="N21" s="25" t="s">
        <v>86</v>
      </c>
      <c r="O21" s="11">
        <v>4</v>
      </c>
      <c r="P21" s="9">
        <v>220103300</v>
      </c>
      <c r="Q21" s="11" t="s">
        <v>139</v>
      </c>
      <c r="R21" s="12" t="s">
        <v>88</v>
      </c>
      <c r="S21" s="13" t="s">
        <v>93</v>
      </c>
      <c r="T21" s="14">
        <v>0</v>
      </c>
      <c r="U21" s="15">
        <v>500</v>
      </c>
      <c r="V21" s="16">
        <v>125</v>
      </c>
      <c r="W21" s="16">
        <v>125</v>
      </c>
      <c r="X21" s="16">
        <v>125</v>
      </c>
      <c r="Y21" s="16">
        <v>125</v>
      </c>
      <c r="Z21" s="17">
        <f t="shared" si="0"/>
        <v>1489766.6666666667</v>
      </c>
      <c r="AA21" s="17">
        <v>0</v>
      </c>
      <c r="AB21" s="18">
        <f t="shared" si="12"/>
        <v>5406223.1290322579</v>
      </c>
      <c r="AC21" s="17">
        <v>0</v>
      </c>
      <c r="AD21" s="17">
        <v>0</v>
      </c>
      <c r="AE21" s="17">
        <f t="shared" si="1"/>
        <v>4753582.6333333338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8">
        <f>SUM(PlanIndicativo[[#This Row],[Ingresos Corrientes de Libre Destinación - ICLD (2020)]:[Otros (2020)]])</f>
        <v>11649572.429032259</v>
      </c>
      <c r="AL21" s="17">
        <f t="shared" si="2"/>
        <v>1489766.6666666667</v>
      </c>
      <c r="AM21" s="17">
        <v>0</v>
      </c>
      <c r="AN21" s="18">
        <f t="shared" si="13"/>
        <v>5406223.1290322579</v>
      </c>
      <c r="AO21" s="17">
        <v>0</v>
      </c>
      <c r="AP21" s="17">
        <v>0</v>
      </c>
      <c r="AQ21" s="17">
        <f t="shared" si="3"/>
        <v>4753582.6333333338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9">
        <f>SUM(PlanIndicativo[[#This Row],[Ingresos Corrientes de Libre Destinación - ICLD (2021)]:[Otros  (2021)]])</f>
        <v>11649572.429032259</v>
      </c>
      <c r="AX21" s="17">
        <f t="shared" si="4"/>
        <v>1489766.6666666667</v>
      </c>
      <c r="AY21" s="17">
        <v>0</v>
      </c>
      <c r="AZ21" s="18">
        <f t="shared" si="14"/>
        <v>5406223.1290322579</v>
      </c>
      <c r="BA21" s="17">
        <v>0</v>
      </c>
      <c r="BB21" s="17">
        <v>0</v>
      </c>
      <c r="BC21" s="17">
        <f t="shared" si="5"/>
        <v>4753582.6333333338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20">
        <f>SUM(PlanIndicativo[[#This Row],[Ingresos Corrientes de Libre Destinación - ICLD (2022)]:[Otros   (2022)]])</f>
        <v>11649572.429032259</v>
      </c>
      <c r="BJ21" s="17">
        <f t="shared" si="6"/>
        <v>1489766.6666666667</v>
      </c>
      <c r="BK21" s="17">
        <v>0</v>
      </c>
      <c r="BL21" s="18">
        <f t="shared" si="15"/>
        <v>5406223.1290322579</v>
      </c>
      <c r="BM21" s="17">
        <v>0</v>
      </c>
      <c r="BN21" s="17">
        <v>0</v>
      </c>
      <c r="BO21" s="17">
        <f t="shared" si="7"/>
        <v>4753582.6333333338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21">
        <f>SUM(PlanIndicativo[[#This Row],[Ingresos Corrientes de Libre Destinación - ICLD (2023)]:[Otros (2023)]])</f>
        <v>11649572.429032259</v>
      </c>
      <c r="BV21" s="21">
        <f>+PlanIndicativo[[#This Row],[Total (2020)]]+PlanIndicativo[[#This Row],[Total  (2021)]]+PlanIndicativo[[#This Row],[Total  (2022)]]+PlanIndicativo[[#This Row],[Total (2023)]]</f>
        <v>46598289.716129035</v>
      </c>
      <c r="BW21" s="22" t="s">
        <v>90</v>
      </c>
    </row>
    <row r="22" spans="1:75" ht="21" customHeight="1" x14ac:dyDescent="0.25">
      <c r="A22" s="7">
        <v>1</v>
      </c>
      <c r="B22" s="8" t="s">
        <v>75</v>
      </c>
      <c r="C22" s="7" t="s">
        <v>76</v>
      </c>
      <c r="D22" s="7" t="s">
        <v>77</v>
      </c>
      <c r="E22" s="7" t="s">
        <v>78</v>
      </c>
      <c r="F22" s="8" t="s">
        <v>79</v>
      </c>
      <c r="G22" s="7" t="s">
        <v>80</v>
      </c>
      <c r="H22" s="8" t="s">
        <v>81</v>
      </c>
      <c r="I22" s="9">
        <v>2201034</v>
      </c>
      <c r="J22" s="11" t="s">
        <v>140</v>
      </c>
      <c r="K22" s="11" t="s">
        <v>141</v>
      </c>
      <c r="L22" s="10" t="s">
        <v>84</v>
      </c>
      <c r="M22" s="11" t="s">
        <v>85</v>
      </c>
      <c r="N22" s="25" t="s">
        <v>86</v>
      </c>
      <c r="O22" s="11">
        <v>2</v>
      </c>
      <c r="P22" s="9">
        <v>220103400</v>
      </c>
      <c r="Q22" s="11" t="s">
        <v>142</v>
      </c>
      <c r="R22" s="12" t="s">
        <v>88</v>
      </c>
      <c r="S22" s="13" t="s">
        <v>93</v>
      </c>
      <c r="T22" s="14">
        <v>0</v>
      </c>
      <c r="U22" s="15">
        <v>150</v>
      </c>
      <c r="V22" s="16">
        <v>30</v>
      </c>
      <c r="W22" s="16">
        <v>40</v>
      </c>
      <c r="X22" s="16">
        <v>40</v>
      </c>
      <c r="Y22" s="16">
        <v>40</v>
      </c>
      <c r="Z22" s="17">
        <f t="shared" si="0"/>
        <v>1489766.6666666667</v>
      </c>
      <c r="AA22" s="17">
        <v>0</v>
      </c>
      <c r="AB22" s="18">
        <f t="shared" si="12"/>
        <v>5406223.1290322579</v>
      </c>
      <c r="AC22" s="17">
        <v>0</v>
      </c>
      <c r="AD22" s="17">
        <v>0</v>
      </c>
      <c r="AE22" s="17">
        <f t="shared" si="1"/>
        <v>4753582.6333333338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8">
        <f>SUM(PlanIndicativo[[#This Row],[Ingresos Corrientes de Libre Destinación - ICLD (2020)]:[Otros (2020)]])</f>
        <v>11649572.429032259</v>
      </c>
      <c r="AL22" s="17">
        <f t="shared" si="2"/>
        <v>1489766.6666666667</v>
      </c>
      <c r="AM22" s="17">
        <v>0</v>
      </c>
      <c r="AN22" s="18">
        <f t="shared" si="13"/>
        <v>5406223.1290322579</v>
      </c>
      <c r="AO22" s="17">
        <v>0</v>
      </c>
      <c r="AP22" s="17">
        <v>0</v>
      </c>
      <c r="AQ22" s="17">
        <f t="shared" si="3"/>
        <v>4753582.6333333338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9">
        <f>SUM(PlanIndicativo[[#This Row],[Ingresos Corrientes de Libre Destinación - ICLD (2021)]:[Otros  (2021)]])</f>
        <v>11649572.429032259</v>
      </c>
      <c r="AX22" s="17">
        <f t="shared" si="4"/>
        <v>1489766.6666666667</v>
      </c>
      <c r="AY22" s="17">
        <v>0</v>
      </c>
      <c r="AZ22" s="18">
        <f t="shared" si="14"/>
        <v>5406223.1290322579</v>
      </c>
      <c r="BA22" s="17">
        <v>0</v>
      </c>
      <c r="BB22" s="17">
        <v>0</v>
      </c>
      <c r="BC22" s="17">
        <f t="shared" si="5"/>
        <v>4753582.6333333338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20">
        <f>SUM(PlanIndicativo[[#This Row],[Ingresos Corrientes de Libre Destinación - ICLD (2022)]:[Otros   (2022)]])</f>
        <v>11649572.429032259</v>
      </c>
      <c r="BJ22" s="17">
        <f t="shared" si="6"/>
        <v>1489766.6666666667</v>
      </c>
      <c r="BK22" s="17">
        <v>0</v>
      </c>
      <c r="BL22" s="18">
        <f t="shared" si="15"/>
        <v>5406223.1290322579</v>
      </c>
      <c r="BM22" s="17">
        <v>0</v>
      </c>
      <c r="BN22" s="17">
        <v>0</v>
      </c>
      <c r="BO22" s="17">
        <f t="shared" si="7"/>
        <v>4753582.6333333338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21">
        <f>SUM(PlanIndicativo[[#This Row],[Ingresos Corrientes de Libre Destinación - ICLD (2023)]:[Otros (2023)]])</f>
        <v>11649572.429032259</v>
      </c>
      <c r="BV22" s="21">
        <f>+PlanIndicativo[[#This Row],[Total (2020)]]+PlanIndicativo[[#This Row],[Total  (2021)]]+PlanIndicativo[[#This Row],[Total  (2022)]]+PlanIndicativo[[#This Row],[Total (2023)]]</f>
        <v>46598289.716129035</v>
      </c>
      <c r="BW22" s="22" t="s">
        <v>90</v>
      </c>
    </row>
    <row r="23" spans="1:75" ht="21" customHeight="1" x14ac:dyDescent="0.25">
      <c r="A23" s="7">
        <v>1</v>
      </c>
      <c r="B23" s="8" t="s">
        <v>75</v>
      </c>
      <c r="C23" s="7" t="s">
        <v>76</v>
      </c>
      <c r="D23" s="7" t="s">
        <v>77</v>
      </c>
      <c r="E23" s="7" t="s">
        <v>78</v>
      </c>
      <c r="F23" s="8" t="s">
        <v>79</v>
      </c>
      <c r="G23" s="7" t="s">
        <v>80</v>
      </c>
      <c r="H23" s="8" t="s">
        <v>81</v>
      </c>
      <c r="I23" s="9">
        <v>2201037</v>
      </c>
      <c r="J23" s="11" t="s">
        <v>143</v>
      </c>
      <c r="K23" s="11" t="s">
        <v>98</v>
      </c>
      <c r="L23" s="10" t="s">
        <v>84</v>
      </c>
      <c r="M23" s="11" t="s">
        <v>85</v>
      </c>
      <c r="N23" s="25" t="s">
        <v>86</v>
      </c>
      <c r="O23" s="11">
        <v>8</v>
      </c>
      <c r="P23" s="9">
        <v>220103700</v>
      </c>
      <c r="Q23" s="11" t="s">
        <v>144</v>
      </c>
      <c r="R23" s="12" t="s">
        <v>88</v>
      </c>
      <c r="S23" s="13" t="s">
        <v>93</v>
      </c>
      <c r="T23" s="14">
        <v>0</v>
      </c>
      <c r="U23" s="15">
        <v>2</v>
      </c>
      <c r="V23" s="16">
        <v>2</v>
      </c>
      <c r="W23" s="16">
        <v>2</v>
      </c>
      <c r="X23" s="16">
        <v>2</v>
      </c>
      <c r="Y23" s="16">
        <v>2</v>
      </c>
      <c r="Z23" s="17">
        <f t="shared" si="0"/>
        <v>1489766.6666666667</v>
      </c>
      <c r="AA23" s="17">
        <v>0</v>
      </c>
      <c r="AB23" s="18">
        <f t="shared" si="12"/>
        <v>5406223.1290322579</v>
      </c>
      <c r="AC23" s="17">
        <v>0</v>
      </c>
      <c r="AD23" s="17">
        <v>0</v>
      </c>
      <c r="AE23" s="17">
        <f t="shared" si="1"/>
        <v>4753582.6333333338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8">
        <f>SUM(PlanIndicativo[[#This Row],[Ingresos Corrientes de Libre Destinación - ICLD (2020)]:[Otros (2020)]])</f>
        <v>11649572.429032259</v>
      </c>
      <c r="AL23" s="17">
        <f t="shared" si="2"/>
        <v>1489766.6666666667</v>
      </c>
      <c r="AM23" s="17">
        <v>0</v>
      </c>
      <c r="AN23" s="18">
        <f t="shared" si="13"/>
        <v>5406223.1290322579</v>
      </c>
      <c r="AO23" s="17">
        <v>0</v>
      </c>
      <c r="AP23" s="17">
        <v>0</v>
      </c>
      <c r="AQ23" s="17">
        <f t="shared" si="3"/>
        <v>4753582.6333333338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9">
        <f>SUM(PlanIndicativo[[#This Row],[Ingresos Corrientes de Libre Destinación - ICLD (2021)]:[Otros  (2021)]])</f>
        <v>11649572.429032259</v>
      </c>
      <c r="AX23" s="17">
        <f t="shared" si="4"/>
        <v>1489766.6666666667</v>
      </c>
      <c r="AY23" s="17">
        <v>0</v>
      </c>
      <c r="AZ23" s="18">
        <f t="shared" si="14"/>
        <v>5406223.1290322579</v>
      </c>
      <c r="BA23" s="17">
        <v>0</v>
      </c>
      <c r="BB23" s="17">
        <v>0</v>
      </c>
      <c r="BC23" s="17">
        <f t="shared" si="5"/>
        <v>4753582.6333333338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20">
        <f>SUM(PlanIndicativo[[#This Row],[Ingresos Corrientes de Libre Destinación - ICLD (2022)]:[Otros   (2022)]])</f>
        <v>11649572.429032259</v>
      </c>
      <c r="BJ23" s="17">
        <f t="shared" si="6"/>
        <v>1489766.6666666667</v>
      </c>
      <c r="BK23" s="17">
        <v>0</v>
      </c>
      <c r="BL23" s="18">
        <f t="shared" si="15"/>
        <v>5406223.1290322579</v>
      </c>
      <c r="BM23" s="17">
        <v>0</v>
      </c>
      <c r="BN23" s="17">
        <v>0</v>
      </c>
      <c r="BO23" s="17">
        <f t="shared" si="7"/>
        <v>4753582.6333333338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21">
        <f>SUM(PlanIndicativo[[#This Row],[Ingresos Corrientes de Libre Destinación - ICLD (2023)]:[Otros (2023)]])</f>
        <v>11649572.429032259</v>
      </c>
      <c r="BV23" s="21">
        <f>+PlanIndicativo[[#This Row],[Total (2020)]]+PlanIndicativo[[#This Row],[Total  (2021)]]+PlanIndicativo[[#This Row],[Total  (2022)]]+PlanIndicativo[[#This Row],[Total (2023)]]</f>
        <v>46598289.716129035</v>
      </c>
      <c r="BW23" s="22" t="s">
        <v>90</v>
      </c>
    </row>
    <row r="24" spans="1:75" ht="21" customHeight="1" x14ac:dyDescent="0.25">
      <c r="A24" s="7">
        <v>1</v>
      </c>
      <c r="B24" s="8" t="s">
        <v>75</v>
      </c>
      <c r="C24" s="7" t="s">
        <v>76</v>
      </c>
      <c r="D24" s="7" t="s">
        <v>77</v>
      </c>
      <c r="E24" s="7" t="s">
        <v>78</v>
      </c>
      <c r="F24" s="8" t="s">
        <v>79</v>
      </c>
      <c r="G24" s="7" t="s">
        <v>80</v>
      </c>
      <c r="H24" s="8" t="s">
        <v>81</v>
      </c>
      <c r="I24" s="9">
        <v>2201047</v>
      </c>
      <c r="J24" s="26" t="s">
        <v>145</v>
      </c>
      <c r="K24" s="26" t="s">
        <v>146</v>
      </c>
      <c r="L24" s="10" t="s">
        <v>84</v>
      </c>
      <c r="M24" s="11" t="s">
        <v>85</v>
      </c>
      <c r="N24" s="25" t="s">
        <v>86</v>
      </c>
      <c r="O24" s="26">
        <v>4</v>
      </c>
      <c r="P24" s="9">
        <v>220104700</v>
      </c>
      <c r="Q24" s="26" t="s">
        <v>147</v>
      </c>
      <c r="R24" s="12" t="s">
        <v>88</v>
      </c>
      <c r="S24" s="13" t="s">
        <v>93</v>
      </c>
      <c r="T24" s="27">
        <v>0</v>
      </c>
      <c r="U24" s="28">
        <v>2</v>
      </c>
      <c r="V24" s="29">
        <v>2</v>
      </c>
      <c r="W24" s="29">
        <v>2</v>
      </c>
      <c r="X24" s="29">
        <v>2</v>
      </c>
      <c r="Y24" s="29">
        <v>2</v>
      </c>
      <c r="Z24" s="17">
        <f t="shared" si="0"/>
        <v>1489766.6666666667</v>
      </c>
      <c r="AA24" s="17">
        <v>0</v>
      </c>
      <c r="AB24" s="18">
        <f t="shared" si="12"/>
        <v>5406223.1290322579</v>
      </c>
      <c r="AC24" s="17">
        <v>0</v>
      </c>
      <c r="AD24" s="17">
        <v>0</v>
      </c>
      <c r="AE24" s="17">
        <f t="shared" si="1"/>
        <v>4753582.6333333338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8">
        <f>SUM(PlanIndicativo[[#This Row],[Ingresos Corrientes de Libre Destinación - ICLD (2020)]:[Otros (2020)]])</f>
        <v>11649572.429032259</v>
      </c>
      <c r="AL24" s="17">
        <f t="shared" si="2"/>
        <v>1489766.6666666667</v>
      </c>
      <c r="AM24" s="17">
        <v>0</v>
      </c>
      <c r="AN24" s="18">
        <f t="shared" si="13"/>
        <v>5406223.1290322579</v>
      </c>
      <c r="AO24" s="17">
        <v>0</v>
      </c>
      <c r="AP24" s="17">
        <v>0</v>
      </c>
      <c r="AQ24" s="17">
        <f t="shared" si="3"/>
        <v>4753582.6333333338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9">
        <f>SUM(PlanIndicativo[[#This Row],[Ingresos Corrientes de Libre Destinación - ICLD (2021)]:[Otros  (2021)]])</f>
        <v>11649572.429032259</v>
      </c>
      <c r="AX24" s="17">
        <f t="shared" si="4"/>
        <v>1489766.6666666667</v>
      </c>
      <c r="AY24" s="17">
        <v>0</v>
      </c>
      <c r="AZ24" s="18">
        <f t="shared" si="14"/>
        <v>5406223.1290322579</v>
      </c>
      <c r="BA24" s="17">
        <v>0</v>
      </c>
      <c r="BB24" s="17">
        <v>0</v>
      </c>
      <c r="BC24" s="17">
        <f t="shared" si="5"/>
        <v>4753582.6333333338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20">
        <f>SUM(PlanIndicativo[[#This Row],[Ingresos Corrientes de Libre Destinación - ICLD (2022)]:[Otros   (2022)]])</f>
        <v>11649572.429032259</v>
      </c>
      <c r="BJ24" s="17">
        <f t="shared" si="6"/>
        <v>1489766.6666666667</v>
      </c>
      <c r="BK24" s="17">
        <v>0</v>
      </c>
      <c r="BL24" s="18">
        <f t="shared" si="15"/>
        <v>5406223.1290322579</v>
      </c>
      <c r="BM24" s="17">
        <v>0</v>
      </c>
      <c r="BN24" s="17">
        <v>0</v>
      </c>
      <c r="BO24" s="17">
        <f t="shared" si="7"/>
        <v>4753582.6333333338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21">
        <f>SUM(PlanIndicativo[[#This Row],[Ingresos Corrientes de Libre Destinación - ICLD (2023)]:[Otros (2023)]])</f>
        <v>11649572.429032259</v>
      </c>
      <c r="BV24" s="21">
        <f>+PlanIndicativo[[#This Row],[Total (2020)]]+PlanIndicativo[[#This Row],[Total  (2021)]]+PlanIndicativo[[#This Row],[Total  (2022)]]+PlanIndicativo[[#This Row],[Total (2023)]]</f>
        <v>46598289.716129035</v>
      </c>
      <c r="BW24" s="22" t="s">
        <v>90</v>
      </c>
    </row>
    <row r="25" spans="1:75" ht="21" customHeight="1" x14ac:dyDescent="0.25">
      <c r="A25" s="7">
        <v>1</v>
      </c>
      <c r="B25" s="8" t="s">
        <v>75</v>
      </c>
      <c r="C25" s="7" t="s">
        <v>76</v>
      </c>
      <c r="D25" s="7" t="s">
        <v>77</v>
      </c>
      <c r="E25" s="7" t="s">
        <v>78</v>
      </c>
      <c r="F25" s="8" t="s">
        <v>79</v>
      </c>
      <c r="G25" s="7" t="s">
        <v>80</v>
      </c>
      <c r="H25" s="8" t="s">
        <v>81</v>
      </c>
      <c r="I25" s="9">
        <v>2201044</v>
      </c>
      <c r="J25" s="25" t="s">
        <v>148</v>
      </c>
      <c r="K25" s="25" t="s">
        <v>141</v>
      </c>
      <c r="L25" s="10" t="s">
        <v>84</v>
      </c>
      <c r="M25" s="11" t="s">
        <v>85</v>
      </c>
      <c r="N25" s="25" t="s">
        <v>86</v>
      </c>
      <c r="O25" s="25">
        <v>7</v>
      </c>
      <c r="P25" s="9">
        <v>220104400</v>
      </c>
      <c r="Q25" s="25" t="s">
        <v>149</v>
      </c>
      <c r="R25" s="12" t="s">
        <v>88</v>
      </c>
      <c r="S25" s="13" t="s">
        <v>93</v>
      </c>
      <c r="T25" s="14">
        <v>0</v>
      </c>
      <c r="U25" s="15">
        <v>20</v>
      </c>
      <c r="V25" s="16">
        <v>5</v>
      </c>
      <c r="W25" s="16">
        <v>5</v>
      </c>
      <c r="X25" s="16">
        <v>5</v>
      </c>
      <c r="Y25" s="16">
        <v>5</v>
      </c>
      <c r="Z25" s="17">
        <f t="shared" si="0"/>
        <v>1489766.6666666667</v>
      </c>
      <c r="AA25" s="17">
        <v>0</v>
      </c>
      <c r="AB25" s="18">
        <f t="shared" si="12"/>
        <v>5406223.1290322579</v>
      </c>
      <c r="AC25" s="17">
        <v>0</v>
      </c>
      <c r="AD25" s="17">
        <v>0</v>
      </c>
      <c r="AE25" s="17">
        <f t="shared" si="1"/>
        <v>4753582.6333333338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8">
        <f>SUM(PlanIndicativo[[#This Row],[Ingresos Corrientes de Libre Destinación - ICLD (2020)]:[Otros (2020)]])</f>
        <v>11649572.429032259</v>
      </c>
      <c r="AL25" s="17">
        <f t="shared" si="2"/>
        <v>1489766.6666666667</v>
      </c>
      <c r="AM25" s="17">
        <v>0</v>
      </c>
      <c r="AN25" s="18">
        <f t="shared" si="13"/>
        <v>5406223.1290322579</v>
      </c>
      <c r="AO25" s="17">
        <v>0</v>
      </c>
      <c r="AP25" s="17">
        <v>0</v>
      </c>
      <c r="AQ25" s="17">
        <f t="shared" si="3"/>
        <v>4753582.6333333338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9">
        <f>SUM(PlanIndicativo[[#This Row],[Ingresos Corrientes de Libre Destinación - ICLD (2021)]:[Otros  (2021)]])</f>
        <v>11649572.429032259</v>
      </c>
      <c r="AX25" s="17">
        <f t="shared" si="4"/>
        <v>1489766.6666666667</v>
      </c>
      <c r="AY25" s="17">
        <v>0</v>
      </c>
      <c r="AZ25" s="18">
        <f t="shared" si="14"/>
        <v>5406223.1290322579</v>
      </c>
      <c r="BA25" s="17">
        <v>0</v>
      </c>
      <c r="BB25" s="17">
        <v>0</v>
      </c>
      <c r="BC25" s="17">
        <f t="shared" si="5"/>
        <v>4753582.6333333338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20">
        <f>SUM(PlanIndicativo[[#This Row],[Ingresos Corrientes de Libre Destinación - ICLD (2022)]:[Otros   (2022)]])</f>
        <v>11649572.429032259</v>
      </c>
      <c r="BJ25" s="17">
        <f t="shared" si="6"/>
        <v>1489766.6666666667</v>
      </c>
      <c r="BK25" s="17">
        <v>0</v>
      </c>
      <c r="BL25" s="18">
        <f t="shared" si="15"/>
        <v>5406223.1290322579</v>
      </c>
      <c r="BM25" s="17">
        <v>0</v>
      </c>
      <c r="BN25" s="17">
        <v>0</v>
      </c>
      <c r="BO25" s="17">
        <f t="shared" si="7"/>
        <v>4753582.6333333338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21">
        <f>SUM(PlanIndicativo[[#This Row],[Ingresos Corrientes de Libre Destinación - ICLD (2023)]:[Otros (2023)]])</f>
        <v>11649572.429032259</v>
      </c>
      <c r="BV25" s="21">
        <f>+PlanIndicativo[[#This Row],[Total (2020)]]+PlanIndicativo[[#This Row],[Total  (2021)]]+PlanIndicativo[[#This Row],[Total  (2022)]]+PlanIndicativo[[#This Row],[Total (2023)]]</f>
        <v>46598289.716129035</v>
      </c>
      <c r="BW25" s="22" t="s">
        <v>90</v>
      </c>
    </row>
    <row r="26" spans="1:75" ht="21" customHeight="1" x14ac:dyDescent="0.25">
      <c r="A26" s="7">
        <v>1</v>
      </c>
      <c r="B26" s="8" t="s">
        <v>75</v>
      </c>
      <c r="C26" s="7" t="s">
        <v>76</v>
      </c>
      <c r="D26" s="7" t="s">
        <v>77</v>
      </c>
      <c r="E26" s="7" t="s">
        <v>78</v>
      </c>
      <c r="F26" s="8" t="s">
        <v>79</v>
      </c>
      <c r="G26" s="7" t="s">
        <v>80</v>
      </c>
      <c r="H26" s="8" t="s">
        <v>81</v>
      </c>
      <c r="I26" s="9">
        <v>2201043</v>
      </c>
      <c r="J26" s="25" t="s">
        <v>150</v>
      </c>
      <c r="K26" s="25" t="s">
        <v>98</v>
      </c>
      <c r="L26" s="10" t="s">
        <v>84</v>
      </c>
      <c r="M26" s="11" t="s">
        <v>85</v>
      </c>
      <c r="N26" s="25" t="s">
        <v>86</v>
      </c>
      <c r="O26" s="25">
        <v>2</v>
      </c>
      <c r="P26" s="9">
        <v>220104300</v>
      </c>
      <c r="Q26" s="25" t="s">
        <v>151</v>
      </c>
      <c r="R26" s="12" t="s">
        <v>88</v>
      </c>
      <c r="S26" s="13" t="s">
        <v>93</v>
      </c>
      <c r="T26" s="14">
        <v>0</v>
      </c>
      <c r="U26" s="15">
        <v>1100</v>
      </c>
      <c r="V26" s="16">
        <v>275</v>
      </c>
      <c r="W26" s="16">
        <v>275</v>
      </c>
      <c r="X26" s="16">
        <v>275</v>
      </c>
      <c r="Y26" s="16">
        <v>275</v>
      </c>
      <c r="Z26" s="17">
        <f t="shared" si="0"/>
        <v>1489766.6666666667</v>
      </c>
      <c r="AA26" s="17">
        <v>0</v>
      </c>
      <c r="AB26" s="18">
        <f t="shared" si="12"/>
        <v>5406223.1290322579</v>
      </c>
      <c r="AC26" s="17">
        <v>0</v>
      </c>
      <c r="AD26" s="17">
        <v>0</v>
      </c>
      <c r="AE26" s="17">
        <f t="shared" si="1"/>
        <v>4753582.6333333338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8">
        <f>SUM(PlanIndicativo[[#This Row],[Ingresos Corrientes de Libre Destinación - ICLD (2020)]:[Otros (2020)]])</f>
        <v>11649572.429032259</v>
      </c>
      <c r="AL26" s="17">
        <f t="shared" si="2"/>
        <v>1489766.6666666667</v>
      </c>
      <c r="AM26" s="17">
        <v>0</v>
      </c>
      <c r="AN26" s="18">
        <f t="shared" si="13"/>
        <v>5406223.1290322579</v>
      </c>
      <c r="AO26" s="17">
        <v>0</v>
      </c>
      <c r="AP26" s="17">
        <v>0</v>
      </c>
      <c r="AQ26" s="17">
        <f t="shared" si="3"/>
        <v>4753582.6333333338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9">
        <f>SUM(PlanIndicativo[[#This Row],[Ingresos Corrientes de Libre Destinación - ICLD (2021)]:[Otros  (2021)]])</f>
        <v>11649572.429032259</v>
      </c>
      <c r="AX26" s="17">
        <f t="shared" si="4"/>
        <v>1489766.6666666667</v>
      </c>
      <c r="AY26" s="17">
        <v>0</v>
      </c>
      <c r="AZ26" s="18">
        <f t="shared" si="14"/>
        <v>5406223.1290322579</v>
      </c>
      <c r="BA26" s="17">
        <v>0</v>
      </c>
      <c r="BB26" s="17">
        <v>0</v>
      </c>
      <c r="BC26" s="17">
        <f t="shared" si="5"/>
        <v>4753582.6333333338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20">
        <f>SUM(PlanIndicativo[[#This Row],[Ingresos Corrientes de Libre Destinación - ICLD (2022)]:[Otros   (2022)]])</f>
        <v>11649572.429032259</v>
      </c>
      <c r="BJ26" s="17">
        <f t="shared" si="6"/>
        <v>1489766.6666666667</v>
      </c>
      <c r="BK26" s="17">
        <v>0</v>
      </c>
      <c r="BL26" s="18">
        <f t="shared" si="15"/>
        <v>5406223.1290322579</v>
      </c>
      <c r="BM26" s="17">
        <v>0</v>
      </c>
      <c r="BN26" s="17">
        <v>0</v>
      </c>
      <c r="BO26" s="17">
        <f t="shared" si="7"/>
        <v>4753582.6333333338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21">
        <f>SUM(PlanIndicativo[[#This Row],[Ingresos Corrientes de Libre Destinación - ICLD (2023)]:[Otros (2023)]])</f>
        <v>11649572.429032259</v>
      </c>
      <c r="BV26" s="21">
        <f>+PlanIndicativo[[#This Row],[Total (2020)]]+PlanIndicativo[[#This Row],[Total  (2021)]]+PlanIndicativo[[#This Row],[Total  (2022)]]+PlanIndicativo[[#This Row],[Total (2023)]]</f>
        <v>46598289.716129035</v>
      </c>
      <c r="BW26" s="22" t="s">
        <v>90</v>
      </c>
    </row>
    <row r="27" spans="1:75" ht="21" customHeight="1" x14ac:dyDescent="0.25">
      <c r="A27" s="7">
        <v>1</v>
      </c>
      <c r="B27" s="8" t="s">
        <v>75</v>
      </c>
      <c r="C27" s="7" t="s">
        <v>76</v>
      </c>
      <c r="D27" s="7" t="s">
        <v>77</v>
      </c>
      <c r="E27" s="7" t="s">
        <v>78</v>
      </c>
      <c r="F27" s="8" t="s">
        <v>79</v>
      </c>
      <c r="G27" s="7" t="s">
        <v>80</v>
      </c>
      <c r="H27" s="8" t="s">
        <v>81</v>
      </c>
      <c r="I27" s="9">
        <v>2201049</v>
      </c>
      <c r="J27" s="11" t="s">
        <v>152</v>
      </c>
      <c r="K27" s="11" t="s">
        <v>125</v>
      </c>
      <c r="L27" s="10" t="s">
        <v>84</v>
      </c>
      <c r="M27" s="11" t="s">
        <v>85</v>
      </c>
      <c r="N27" s="25" t="s">
        <v>86</v>
      </c>
      <c r="O27" s="11">
        <v>6</v>
      </c>
      <c r="P27" s="9">
        <v>220104900</v>
      </c>
      <c r="Q27" s="11" t="s">
        <v>153</v>
      </c>
      <c r="R27" s="12" t="s">
        <v>88</v>
      </c>
      <c r="S27" s="13" t="s">
        <v>93</v>
      </c>
      <c r="T27" s="14">
        <v>0</v>
      </c>
      <c r="U27" s="15">
        <v>300</v>
      </c>
      <c r="V27" s="16">
        <v>75</v>
      </c>
      <c r="W27" s="16">
        <v>75</v>
      </c>
      <c r="X27" s="16">
        <v>75</v>
      </c>
      <c r="Y27" s="16">
        <v>75</v>
      </c>
      <c r="Z27" s="17">
        <f t="shared" si="0"/>
        <v>1489766.6666666667</v>
      </c>
      <c r="AA27" s="17">
        <v>0</v>
      </c>
      <c r="AB27" s="18">
        <f t="shared" si="12"/>
        <v>5406223.1290322579</v>
      </c>
      <c r="AC27" s="17">
        <v>0</v>
      </c>
      <c r="AD27" s="17">
        <v>0</v>
      </c>
      <c r="AE27" s="17">
        <f t="shared" si="1"/>
        <v>4753582.6333333338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8">
        <f>SUM(PlanIndicativo[[#This Row],[Ingresos Corrientes de Libre Destinación - ICLD (2020)]:[Otros (2020)]])</f>
        <v>11649572.429032259</v>
      </c>
      <c r="AL27" s="17">
        <f t="shared" si="2"/>
        <v>1489766.6666666667</v>
      </c>
      <c r="AM27" s="17">
        <v>0</v>
      </c>
      <c r="AN27" s="18">
        <f t="shared" si="13"/>
        <v>5406223.1290322579</v>
      </c>
      <c r="AO27" s="17">
        <v>0</v>
      </c>
      <c r="AP27" s="17">
        <v>0</v>
      </c>
      <c r="AQ27" s="17">
        <f t="shared" si="3"/>
        <v>4753582.6333333338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9">
        <f>SUM(PlanIndicativo[[#This Row],[Ingresos Corrientes de Libre Destinación - ICLD (2021)]:[Otros  (2021)]])</f>
        <v>11649572.429032259</v>
      </c>
      <c r="AX27" s="17">
        <f t="shared" si="4"/>
        <v>1489766.6666666667</v>
      </c>
      <c r="AY27" s="17">
        <v>0</v>
      </c>
      <c r="AZ27" s="18">
        <f t="shared" si="14"/>
        <v>5406223.1290322579</v>
      </c>
      <c r="BA27" s="17">
        <v>0</v>
      </c>
      <c r="BB27" s="17">
        <v>0</v>
      </c>
      <c r="BC27" s="17">
        <f t="shared" si="5"/>
        <v>4753582.6333333338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20">
        <f>SUM(PlanIndicativo[[#This Row],[Ingresos Corrientes de Libre Destinación - ICLD (2022)]:[Otros   (2022)]])</f>
        <v>11649572.429032259</v>
      </c>
      <c r="BJ27" s="17">
        <f t="shared" si="6"/>
        <v>1489766.6666666667</v>
      </c>
      <c r="BK27" s="17">
        <v>0</v>
      </c>
      <c r="BL27" s="18">
        <f t="shared" si="15"/>
        <v>5406223.1290322579</v>
      </c>
      <c r="BM27" s="17">
        <v>0</v>
      </c>
      <c r="BN27" s="17">
        <v>0</v>
      </c>
      <c r="BO27" s="17">
        <f t="shared" si="7"/>
        <v>4753582.6333333338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21">
        <f>SUM(PlanIndicativo[[#This Row],[Ingresos Corrientes de Libre Destinación - ICLD (2023)]:[Otros (2023)]])</f>
        <v>11649572.429032259</v>
      </c>
      <c r="BV27" s="21">
        <f>+PlanIndicativo[[#This Row],[Total (2020)]]+PlanIndicativo[[#This Row],[Total  (2021)]]+PlanIndicativo[[#This Row],[Total  (2022)]]+PlanIndicativo[[#This Row],[Total (2023)]]</f>
        <v>46598289.716129035</v>
      </c>
      <c r="BW27" s="22" t="s">
        <v>90</v>
      </c>
    </row>
    <row r="28" spans="1:75" ht="21" customHeight="1" x14ac:dyDescent="0.25">
      <c r="A28" s="7">
        <v>1</v>
      </c>
      <c r="B28" s="8" t="s">
        <v>75</v>
      </c>
      <c r="C28" s="7" t="s">
        <v>76</v>
      </c>
      <c r="D28" s="7" t="s">
        <v>77</v>
      </c>
      <c r="E28" s="7" t="s">
        <v>78</v>
      </c>
      <c r="F28" s="8" t="s">
        <v>79</v>
      </c>
      <c r="G28" s="7" t="s">
        <v>80</v>
      </c>
      <c r="H28" s="8" t="s">
        <v>81</v>
      </c>
      <c r="I28" s="9">
        <v>2201042</v>
      </c>
      <c r="J28" s="11" t="s">
        <v>154</v>
      </c>
      <c r="K28" s="11" t="s">
        <v>106</v>
      </c>
      <c r="L28" s="10" t="s">
        <v>84</v>
      </c>
      <c r="M28" s="11" t="s">
        <v>85</v>
      </c>
      <c r="N28" s="25" t="s">
        <v>86</v>
      </c>
      <c r="O28" s="11">
        <v>4</v>
      </c>
      <c r="P28" s="9">
        <v>220104200</v>
      </c>
      <c r="Q28" s="11" t="s">
        <v>155</v>
      </c>
      <c r="R28" s="12" t="s">
        <v>88</v>
      </c>
      <c r="S28" s="13" t="s">
        <v>137</v>
      </c>
      <c r="T28" s="14">
        <v>0</v>
      </c>
      <c r="U28" s="15">
        <v>40</v>
      </c>
      <c r="V28" s="16">
        <v>4</v>
      </c>
      <c r="W28" s="16">
        <v>4</v>
      </c>
      <c r="X28" s="16">
        <v>4</v>
      </c>
      <c r="Y28" s="16">
        <v>4</v>
      </c>
      <c r="Z28" s="17">
        <f t="shared" si="0"/>
        <v>1489766.6666666667</v>
      </c>
      <c r="AA28" s="17">
        <v>0</v>
      </c>
      <c r="AB28" s="18">
        <f t="shared" si="12"/>
        <v>5406223.1290322579</v>
      </c>
      <c r="AC28" s="17">
        <v>0</v>
      </c>
      <c r="AD28" s="17">
        <v>0</v>
      </c>
      <c r="AE28" s="17">
        <f t="shared" si="1"/>
        <v>4753582.6333333338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8">
        <f>SUM(PlanIndicativo[[#This Row],[Ingresos Corrientes de Libre Destinación - ICLD (2020)]:[Otros (2020)]])</f>
        <v>11649572.429032259</v>
      </c>
      <c r="AL28" s="17">
        <f t="shared" si="2"/>
        <v>1489766.6666666667</v>
      </c>
      <c r="AM28" s="17">
        <v>0</v>
      </c>
      <c r="AN28" s="18">
        <f t="shared" si="13"/>
        <v>5406223.1290322579</v>
      </c>
      <c r="AO28" s="17">
        <v>0</v>
      </c>
      <c r="AP28" s="17">
        <v>0</v>
      </c>
      <c r="AQ28" s="17">
        <f t="shared" si="3"/>
        <v>4753582.6333333338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9">
        <f>SUM(PlanIndicativo[[#This Row],[Ingresos Corrientes de Libre Destinación - ICLD (2021)]:[Otros  (2021)]])</f>
        <v>11649572.429032259</v>
      </c>
      <c r="AX28" s="17">
        <f t="shared" si="4"/>
        <v>1489766.6666666667</v>
      </c>
      <c r="AY28" s="17">
        <v>0</v>
      </c>
      <c r="AZ28" s="18">
        <f t="shared" si="14"/>
        <v>5406223.1290322579</v>
      </c>
      <c r="BA28" s="17">
        <v>0</v>
      </c>
      <c r="BB28" s="17">
        <v>0</v>
      </c>
      <c r="BC28" s="17">
        <f t="shared" si="5"/>
        <v>4753582.6333333338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20">
        <f>SUM(PlanIndicativo[[#This Row],[Ingresos Corrientes de Libre Destinación - ICLD (2022)]:[Otros   (2022)]])</f>
        <v>11649572.429032259</v>
      </c>
      <c r="BJ28" s="17">
        <f t="shared" si="6"/>
        <v>1489766.6666666667</v>
      </c>
      <c r="BK28" s="17">
        <v>0</v>
      </c>
      <c r="BL28" s="18">
        <f t="shared" si="15"/>
        <v>5406223.1290322579</v>
      </c>
      <c r="BM28" s="17">
        <v>0</v>
      </c>
      <c r="BN28" s="17">
        <v>0</v>
      </c>
      <c r="BO28" s="17">
        <f t="shared" si="7"/>
        <v>4753582.6333333338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21">
        <f>SUM(PlanIndicativo[[#This Row],[Ingresos Corrientes de Libre Destinación - ICLD (2023)]:[Otros (2023)]])</f>
        <v>11649572.429032259</v>
      </c>
      <c r="BV28" s="21">
        <f>+PlanIndicativo[[#This Row],[Total (2020)]]+PlanIndicativo[[#This Row],[Total  (2021)]]+PlanIndicativo[[#This Row],[Total  (2022)]]+PlanIndicativo[[#This Row],[Total (2023)]]</f>
        <v>46598289.716129035</v>
      </c>
      <c r="BW28" s="22" t="s">
        <v>90</v>
      </c>
    </row>
    <row r="29" spans="1:75" ht="21" customHeight="1" x14ac:dyDescent="0.25">
      <c r="A29" s="7">
        <v>1</v>
      </c>
      <c r="B29" s="8" t="s">
        <v>75</v>
      </c>
      <c r="C29" s="7" t="s">
        <v>76</v>
      </c>
      <c r="D29" s="7" t="s">
        <v>77</v>
      </c>
      <c r="E29" s="7" t="s">
        <v>78</v>
      </c>
      <c r="F29" s="8" t="s">
        <v>79</v>
      </c>
      <c r="G29" s="7" t="s">
        <v>156</v>
      </c>
      <c r="H29" s="8" t="s">
        <v>157</v>
      </c>
      <c r="I29" s="9">
        <v>2202005</v>
      </c>
      <c r="J29" s="11" t="s">
        <v>158</v>
      </c>
      <c r="K29" s="11" t="s">
        <v>159</v>
      </c>
      <c r="L29" s="10" t="s">
        <v>84</v>
      </c>
      <c r="M29" s="11" t="s">
        <v>85</v>
      </c>
      <c r="N29" s="25" t="s">
        <v>86</v>
      </c>
      <c r="O29" s="11">
        <v>25</v>
      </c>
      <c r="P29" s="9">
        <v>220200500</v>
      </c>
      <c r="Q29" s="11" t="s">
        <v>160</v>
      </c>
      <c r="R29" s="12" t="s">
        <v>88</v>
      </c>
      <c r="S29" s="13" t="s">
        <v>93</v>
      </c>
      <c r="T29" s="14">
        <v>0</v>
      </c>
      <c r="U29" s="15">
        <v>20</v>
      </c>
      <c r="V29" s="16">
        <v>5</v>
      </c>
      <c r="W29" s="16">
        <v>5</v>
      </c>
      <c r="X29" s="16">
        <v>5</v>
      </c>
      <c r="Y29" s="16">
        <v>5</v>
      </c>
      <c r="Z29" s="17">
        <f t="shared" si="0"/>
        <v>1489766.6666666667</v>
      </c>
      <c r="AA29" s="17">
        <v>0</v>
      </c>
      <c r="AB29" s="18">
        <f t="shared" si="12"/>
        <v>5406223.1290322579</v>
      </c>
      <c r="AC29" s="17">
        <v>0</v>
      </c>
      <c r="AD29" s="17">
        <v>0</v>
      </c>
      <c r="AE29" s="17">
        <f t="shared" si="1"/>
        <v>4753582.6333333338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8">
        <f>SUM(PlanIndicativo[[#This Row],[Ingresos Corrientes de Libre Destinación - ICLD (2020)]:[Otros (2020)]])</f>
        <v>11649572.429032259</v>
      </c>
      <c r="AL29" s="17">
        <f t="shared" si="2"/>
        <v>1489766.6666666667</v>
      </c>
      <c r="AM29" s="17">
        <v>0</v>
      </c>
      <c r="AN29" s="18">
        <f t="shared" si="13"/>
        <v>5406223.1290322579</v>
      </c>
      <c r="AO29" s="17">
        <v>0</v>
      </c>
      <c r="AP29" s="17">
        <v>0</v>
      </c>
      <c r="AQ29" s="17">
        <f t="shared" si="3"/>
        <v>4753582.6333333338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9">
        <f>SUM(PlanIndicativo[[#This Row],[Ingresos Corrientes de Libre Destinación - ICLD (2021)]:[Otros  (2021)]])</f>
        <v>11649572.429032259</v>
      </c>
      <c r="AX29" s="17">
        <f t="shared" si="4"/>
        <v>1489766.6666666667</v>
      </c>
      <c r="AY29" s="17">
        <v>0</v>
      </c>
      <c r="AZ29" s="18">
        <f t="shared" si="14"/>
        <v>5406223.1290322579</v>
      </c>
      <c r="BA29" s="17">
        <v>0</v>
      </c>
      <c r="BB29" s="17">
        <v>0</v>
      </c>
      <c r="BC29" s="17">
        <f t="shared" si="5"/>
        <v>4753582.6333333338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20">
        <f>SUM(PlanIndicativo[[#This Row],[Ingresos Corrientes de Libre Destinación - ICLD (2022)]:[Otros   (2022)]])</f>
        <v>11649572.429032259</v>
      </c>
      <c r="BJ29" s="17">
        <f t="shared" si="6"/>
        <v>1489766.6666666667</v>
      </c>
      <c r="BK29" s="17">
        <v>0</v>
      </c>
      <c r="BL29" s="18">
        <f t="shared" si="15"/>
        <v>5406223.1290322579</v>
      </c>
      <c r="BM29" s="17">
        <v>0</v>
      </c>
      <c r="BN29" s="17">
        <v>0</v>
      </c>
      <c r="BO29" s="17">
        <f t="shared" si="7"/>
        <v>4753582.6333333338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21">
        <f>SUM(PlanIndicativo[[#This Row],[Ingresos Corrientes de Libre Destinación - ICLD (2023)]:[Otros (2023)]])</f>
        <v>11649572.429032259</v>
      </c>
      <c r="BV29" s="21">
        <f>+PlanIndicativo[[#This Row],[Total (2020)]]+PlanIndicativo[[#This Row],[Total  (2021)]]+PlanIndicativo[[#This Row],[Total  (2022)]]+PlanIndicativo[[#This Row],[Total (2023)]]</f>
        <v>46598289.716129035</v>
      </c>
      <c r="BW29" s="22" t="s">
        <v>90</v>
      </c>
    </row>
    <row r="30" spans="1:75" ht="21" customHeight="1" x14ac:dyDescent="0.25">
      <c r="A30" s="7">
        <v>1</v>
      </c>
      <c r="B30" s="8" t="s">
        <v>75</v>
      </c>
      <c r="C30" s="7" t="s">
        <v>76</v>
      </c>
      <c r="D30" s="7" t="s">
        <v>77</v>
      </c>
      <c r="E30" s="7" t="s">
        <v>78</v>
      </c>
      <c r="F30" s="8" t="s">
        <v>79</v>
      </c>
      <c r="G30" s="7" t="s">
        <v>156</v>
      </c>
      <c r="H30" s="8" t="s">
        <v>157</v>
      </c>
      <c r="I30" s="9">
        <v>2202009</v>
      </c>
      <c r="J30" s="11" t="s">
        <v>161</v>
      </c>
      <c r="K30" s="11" t="s">
        <v>159</v>
      </c>
      <c r="L30" s="10" t="s">
        <v>84</v>
      </c>
      <c r="M30" s="11" t="s">
        <v>85</v>
      </c>
      <c r="N30" s="25" t="s">
        <v>86</v>
      </c>
      <c r="O30" s="11">
        <v>25</v>
      </c>
      <c r="P30" s="9">
        <v>220200900</v>
      </c>
      <c r="Q30" s="11" t="s">
        <v>162</v>
      </c>
      <c r="R30" s="12" t="s">
        <v>88</v>
      </c>
      <c r="S30" s="13" t="s">
        <v>93</v>
      </c>
      <c r="T30" s="14">
        <v>0</v>
      </c>
      <c r="U30" s="15">
        <v>10</v>
      </c>
      <c r="V30" s="16">
        <v>2</v>
      </c>
      <c r="W30" s="16">
        <v>3</v>
      </c>
      <c r="X30" s="16">
        <v>3</v>
      </c>
      <c r="Y30" s="16">
        <v>2</v>
      </c>
      <c r="Z30" s="17">
        <f>44693000/30*2</f>
        <v>2979533.3333333335</v>
      </c>
      <c r="AA30" s="17">
        <v>0</v>
      </c>
      <c r="AB30" s="18">
        <f>167592917/31*2</f>
        <v>10812446.258064516</v>
      </c>
      <c r="AC30" s="17">
        <v>0</v>
      </c>
      <c r="AD30" s="17">
        <v>0</v>
      </c>
      <c r="AE30" s="17">
        <f>142607479/30*2</f>
        <v>9507165.2666666675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8">
        <f>SUM(PlanIndicativo[[#This Row],[Ingresos Corrientes de Libre Destinación - ICLD (2020)]:[Otros (2020)]])</f>
        <v>23299144.858064517</v>
      </c>
      <c r="AL30" s="17">
        <f>44693000/30*2</f>
        <v>2979533.3333333335</v>
      </c>
      <c r="AM30" s="17">
        <v>0</v>
      </c>
      <c r="AN30" s="18">
        <f>167592917/31*2</f>
        <v>10812446.258064516</v>
      </c>
      <c r="AO30" s="17">
        <v>0</v>
      </c>
      <c r="AP30" s="17">
        <v>0</v>
      </c>
      <c r="AQ30" s="17">
        <f>142607479/30*2</f>
        <v>9507165.2666666675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9">
        <f>SUM(PlanIndicativo[[#This Row],[Ingresos Corrientes de Libre Destinación - ICLD (2021)]:[Otros  (2021)]])</f>
        <v>23299144.858064517</v>
      </c>
      <c r="AX30" s="17">
        <f t="shared" si="4"/>
        <v>1489766.6666666667</v>
      </c>
      <c r="AY30" s="17">
        <v>0</v>
      </c>
      <c r="AZ30" s="18">
        <f t="shared" si="14"/>
        <v>5406223.1290322579</v>
      </c>
      <c r="BA30" s="17">
        <v>0</v>
      </c>
      <c r="BB30" s="17">
        <v>0</v>
      </c>
      <c r="BC30" s="17">
        <f t="shared" si="5"/>
        <v>4753582.6333333338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20">
        <f>SUM(PlanIndicativo[[#This Row],[Ingresos Corrientes de Libre Destinación - ICLD (2022)]:[Otros   (2022)]])</f>
        <v>11649572.429032259</v>
      </c>
      <c r="BJ30" s="17">
        <f t="shared" si="6"/>
        <v>1489766.6666666667</v>
      </c>
      <c r="BK30" s="17">
        <v>0</v>
      </c>
      <c r="BL30" s="18">
        <f t="shared" si="15"/>
        <v>5406223.1290322579</v>
      </c>
      <c r="BM30" s="17">
        <v>0</v>
      </c>
      <c r="BN30" s="17">
        <v>0</v>
      </c>
      <c r="BO30" s="17">
        <f t="shared" si="7"/>
        <v>4753582.6333333338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21">
        <f>SUM(PlanIndicativo[[#This Row],[Ingresos Corrientes de Libre Destinación - ICLD (2023)]:[Otros (2023)]])</f>
        <v>11649572.429032259</v>
      </c>
      <c r="BV30" s="21">
        <f>+PlanIndicativo[[#This Row],[Total (2020)]]+PlanIndicativo[[#This Row],[Total  (2021)]]+PlanIndicativo[[#This Row],[Total  (2022)]]+PlanIndicativo[[#This Row],[Total (2023)]]</f>
        <v>69897434.574193552</v>
      </c>
      <c r="BW30" s="22" t="s">
        <v>90</v>
      </c>
    </row>
    <row r="31" spans="1:75" ht="21" customHeight="1" x14ac:dyDescent="0.25">
      <c r="A31" s="7">
        <v>1</v>
      </c>
      <c r="B31" s="8" t="s">
        <v>75</v>
      </c>
      <c r="C31" s="7" t="s">
        <v>76</v>
      </c>
      <c r="D31" s="7" t="s">
        <v>77</v>
      </c>
      <c r="E31" s="7" t="s">
        <v>78</v>
      </c>
      <c r="F31" s="8" t="s">
        <v>79</v>
      </c>
      <c r="G31" s="7" t="s">
        <v>156</v>
      </c>
      <c r="H31" s="8" t="s">
        <v>157</v>
      </c>
      <c r="I31" s="9">
        <v>2202013</v>
      </c>
      <c r="J31" s="11" t="s">
        <v>163</v>
      </c>
      <c r="K31" s="11" t="s">
        <v>159</v>
      </c>
      <c r="L31" s="10" t="s">
        <v>84</v>
      </c>
      <c r="M31" s="11" t="s">
        <v>85</v>
      </c>
      <c r="N31" s="25" t="s">
        <v>86</v>
      </c>
      <c r="O31" s="11">
        <v>25</v>
      </c>
      <c r="P31" s="9">
        <v>220201300</v>
      </c>
      <c r="Q31" s="11" t="s">
        <v>164</v>
      </c>
      <c r="R31" s="12" t="s">
        <v>88</v>
      </c>
      <c r="S31" s="13" t="s">
        <v>93</v>
      </c>
      <c r="T31" s="14">
        <v>0</v>
      </c>
      <c r="U31" s="15">
        <v>1</v>
      </c>
      <c r="V31" s="16">
        <v>0</v>
      </c>
      <c r="W31" s="16">
        <v>0</v>
      </c>
      <c r="X31" s="16">
        <v>1</v>
      </c>
      <c r="Y31" s="16">
        <v>0</v>
      </c>
      <c r="Z31" s="17">
        <v>0</v>
      </c>
      <c r="AA31" s="17">
        <v>0</v>
      </c>
      <c r="AB31" s="18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8">
        <f>SUM(PlanIndicativo[[#This Row],[Ingresos Corrientes de Libre Destinación - ICLD (2020)]:[Otros (2020)]])</f>
        <v>0</v>
      </c>
      <c r="AL31" s="17">
        <v>0</v>
      </c>
      <c r="AM31" s="17">
        <v>0</v>
      </c>
      <c r="AN31" s="18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9">
        <f>SUM(PlanIndicativo[[#This Row],[Ingresos Corrientes de Libre Destinación - ICLD (2021)]:[Otros  (2021)]])</f>
        <v>0</v>
      </c>
      <c r="AX31" s="17">
        <f t="shared" si="4"/>
        <v>1489766.6666666667</v>
      </c>
      <c r="AY31" s="17">
        <v>0</v>
      </c>
      <c r="AZ31" s="18">
        <f t="shared" si="14"/>
        <v>5406223.1290322579</v>
      </c>
      <c r="BA31" s="17">
        <v>0</v>
      </c>
      <c r="BB31" s="17">
        <v>0</v>
      </c>
      <c r="BC31" s="17">
        <f t="shared" si="5"/>
        <v>4753582.6333333338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20">
        <f>SUM(PlanIndicativo[[#This Row],[Ingresos Corrientes de Libre Destinación - ICLD (2022)]:[Otros   (2022)]])</f>
        <v>11649572.429032259</v>
      </c>
      <c r="BJ31" s="17">
        <f t="shared" si="6"/>
        <v>1489766.6666666667</v>
      </c>
      <c r="BK31" s="17">
        <v>0</v>
      </c>
      <c r="BL31" s="18">
        <f t="shared" si="15"/>
        <v>5406223.1290322579</v>
      </c>
      <c r="BM31" s="17">
        <v>0</v>
      </c>
      <c r="BN31" s="17">
        <v>0</v>
      </c>
      <c r="BO31" s="17">
        <f t="shared" si="7"/>
        <v>4753582.6333333338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21">
        <f>SUM(PlanIndicativo[[#This Row],[Ingresos Corrientes de Libre Destinación - ICLD (2023)]:[Otros (2023)]])</f>
        <v>11649572.429032259</v>
      </c>
      <c r="BV31" s="21">
        <f>+PlanIndicativo[[#This Row],[Total (2020)]]+PlanIndicativo[[#This Row],[Total  (2021)]]+PlanIndicativo[[#This Row],[Total  (2022)]]+PlanIndicativo[[#This Row],[Total (2023)]]</f>
        <v>23299144.858064517</v>
      </c>
      <c r="BW31" s="22" t="s">
        <v>90</v>
      </c>
    </row>
    <row r="32" spans="1:75" ht="21" customHeight="1" x14ac:dyDescent="0.25">
      <c r="A32" s="7">
        <v>1</v>
      </c>
      <c r="B32" s="8" t="s">
        <v>75</v>
      </c>
      <c r="C32" s="7" t="s">
        <v>76</v>
      </c>
      <c r="D32" s="7" t="s">
        <v>77</v>
      </c>
      <c r="E32" s="7" t="s">
        <v>78</v>
      </c>
      <c r="F32" s="8" t="s">
        <v>79</v>
      </c>
      <c r="G32" s="7" t="s">
        <v>156</v>
      </c>
      <c r="H32" s="8" t="s">
        <v>157</v>
      </c>
      <c r="I32" s="9">
        <v>2202024</v>
      </c>
      <c r="J32" s="11" t="s">
        <v>165</v>
      </c>
      <c r="K32" s="11" t="s">
        <v>159</v>
      </c>
      <c r="L32" s="10" t="s">
        <v>84</v>
      </c>
      <c r="M32" s="11" t="s">
        <v>85</v>
      </c>
      <c r="N32" s="25" t="s">
        <v>86</v>
      </c>
      <c r="O32" s="11">
        <v>25</v>
      </c>
      <c r="P32" s="9">
        <v>220202400</v>
      </c>
      <c r="Q32" s="11" t="s">
        <v>166</v>
      </c>
      <c r="R32" s="12" t="s">
        <v>88</v>
      </c>
      <c r="S32" s="13" t="s">
        <v>93</v>
      </c>
      <c r="T32" s="14">
        <v>0</v>
      </c>
      <c r="U32" s="15">
        <v>4</v>
      </c>
      <c r="V32" s="16">
        <v>1</v>
      </c>
      <c r="W32" s="16">
        <v>1</v>
      </c>
      <c r="X32" s="16">
        <v>1</v>
      </c>
      <c r="Y32" s="16">
        <v>1</v>
      </c>
      <c r="Z32" s="17">
        <f t="shared" si="0"/>
        <v>1489766.6666666667</v>
      </c>
      <c r="AA32" s="17">
        <v>0</v>
      </c>
      <c r="AB32" s="18">
        <f t="shared" si="12"/>
        <v>5406223.1290322579</v>
      </c>
      <c r="AC32" s="17">
        <v>0</v>
      </c>
      <c r="AD32" s="17">
        <v>0</v>
      </c>
      <c r="AE32" s="17">
        <f t="shared" si="1"/>
        <v>4753582.6333333338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8">
        <f>SUM(PlanIndicativo[[#This Row],[Ingresos Corrientes de Libre Destinación - ICLD (2020)]:[Otros (2020)]])</f>
        <v>11649572.429032259</v>
      </c>
      <c r="AL32" s="17">
        <f t="shared" si="2"/>
        <v>1489766.6666666667</v>
      </c>
      <c r="AM32" s="17">
        <v>0</v>
      </c>
      <c r="AN32" s="18">
        <f t="shared" si="13"/>
        <v>5406223.1290322579</v>
      </c>
      <c r="AO32" s="17">
        <v>0</v>
      </c>
      <c r="AP32" s="17">
        <v>0</v>
      </c>
      <c r="AQ32" s="17">
        <f t="shared" si="3"/>
        <v>4753582.6333333338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9">
        <f>SUM(PlanIndicativo[[#This Row],[Ingresos Corrientes de Libre Destinación - ICLD (2021)]:[Otros  (2021)]])</f>
        <v>11649572.429032259</v>
      </c>
      <c r="AX32" s="17">
        <f t="shared" si="4"/>
        <v>1489766.6666666667</v>
      </c>
      <c r="AY32" s="17">
        <v>0</v>
      </c>
      <c r="AZ32" s="18">
        <f t="shared" si="14"/>
        <v>5406223.1290322579</v>
      </c>
      <c r="BA32" s="17">
        <v>0</v>
      </c>
      <c r="BB32" s="17">
        <v>0</v>
      </c>
      <c r="BC32" s="17">
        <f t="shared" si="5"/>
        <v>4753582.6333333338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20">
        <f>SUM(PlanIndicativo[[#This Row],[Ingresos Corrientes de Libre Destinación - ICLD (2022)]:[Otros   (2022)]])</f>
        <v>11649572.429032259</v>
      </c>
      <c r="BJ32" s="17">
        <f t="shared" si="6"/>
        <v>1489766.6666666667</v>
      </c>
      <c r="BK32" s="17">
        <v>0</v>
      </c>
      <c r="BL32" s="18">
        <f t="shared" si="15"/>
        <v>5406223.1290322579</v>
      </c>
      <c r="BM32" s="17">
        <v>0</v>
      </c>
      <c r="BN32" s="17">
        <v>0</v>
      </c>
      <c r="BO32" s="17">
        <f t="shared" si="7"/>
        <v>4753582.6333333338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21">
        <f>SUM(PlanIndicativo[[#This Row],[Ingresos Corrientes de Libre Destinación - ICLD (2023)]:[Otros (2023)]])</f>
        <v>11649572.429032259</v>
      </c>
      <c r="BV32" s="21">
        <f>+PlanIndicativo[[#This Row],[Total (2020)]]+PlanIndicativo[[#This Row],[Total  (2021)]]+PlanIndicativo[[#This Row],[Total  (2022)]]+PlanIndicativo[[#This Row],[Total (2023)]]</f>
        <v>46598289.716129035</v>
      </c>
      <c r="BW32" s="22" t="s">
        <v>90</v>
      </c>
    </row>
    <row r="33" spans="1:79" ht="21" customHeight="1" x14ac:dyDescent="0.25">
      <c r="A33" s="7">
        <v>1</v>
      </c>
      <c r="B33" s="8" t="s">
        <v>75</v>
      </c>
      <c r="C33" s="7" t="s">
        <v>167</v>
      </c>
      <c r="D33" s="7" t="s">
        <v>168</v>
      </c>
      <c r="E33" s="7" t="s">
        <v>169</v>
      </c>
      <c r="F33" s="8" t="s">
        <v>170</v>
      </c>
      <c r="G33" s="7" t="s">
        <v>171</v>
      </c>
      <c r="H33" s="8" t="s">
        <v>172</v>
      </c>
      <c r="I33" s="9">
        <v>1901020</v>
      </c>
      <c r="J33" s="11" t="s">
        <v>173</v>
      </c>
      <c r="K33" s="11" t="s">
        <v>174</v>
      </c>
      <c r="L33" s="11" t="s">
        <v>84</v>
      </c>
      <c r="M33" s="11" t="s">
        <v>175</v>
      </c>
      <c r="N33" s="11" t="s">
        <v>107</v>
      </c>
      <c r="O33" s="11">
        <v>5</v>
      </c>
      <c r="P33" s="9">
        <v>190102000</v>
      </c>
      <c r="Q33" s="11" t="s">
        <v>176</v>
      </c>
      <c r="R33" s="12" t="s">
        <v>88</v>
      </c>
      <c r="S33" s="13" t="s">
        <v>93</v>
      </c>
      <c r="T33" s="14">
        <v>0</v>
      </c>
      <c r="U33" s="15">
        <v>4</v>
      </c>
      <c r="V33" s="16">
        <v>1</v>
      </c>
      <c r="W33" s="16">
        <v>1</v>
      </c>
      <c r="X33" s="16">
        <v>1</v>
      </c>
      <c r="Y33" s="16">
        <v>1</v>
      </c>
      <c r="Z33" s="17">
        <v>0</v>
      </c>
      <c r="AA33" s="17">
        <v>0</v>
      </c>
      <c r="AB33" s="17">
        <v>0</v>
      </c>
      <c r="AC33" s="17">
        <f t="shared" ref="AC33:AC41" si="16">1044559532/11</f>
        <v>94959957.454545453</v>
      </c>
      <c r="AD33" s="17">
        <v>0</v>
      </c>
      <c r="AE33" s="17">
        <v>0</v>
      </c>
      <c r="AF33" s="17">
        <v>0</v>
      </c>
      <c r="AG33" s="17">
        <v>0</v>
      </c>
      <c r="AH33" s="17">
        <f t="shared" ref="AH33:AH41" si="17">267607446/11</f>
        <v>24327949.636363637</v>
      </c>
      <c r="AI33" s="17">
        <v>0</v>
      </c>
      <c r="AJ33" s="17">
        <f t="shared" ref="AJ33:AJ41" si="18">1527094004/11</f>
        <v>138826727.63636363</v>
      </c>
      <c r="AK33" s="18">
        <f>SUM(PlanIndicativo[[#This Row],[Ingresos Corrientes de Libre Destinación - ICLD (2020)]:[Otros (2020)]])</f>
        <v>258114634.72727272</v>
      </c>
      <c r="AL33" s="17">
        <v>0</v>
      </c>
      <c r="AM33" s="17">
        <v>0</v>
      </c>
      <c r="AN33" s="17">
        <v>0</v>
      </c>
      <c r="AO33" s="17">
        <f t="shared" ref="AO33:AO41" si="19">1044559532/11</f>
        <v>94959957.454545453</v>
      </c>
      <c r="AP33" s="17">
        <v>0</v>
      </c>
      <c r="AQ33" s="17">
        <v>0</v>
      </c>
      <c r="AR33" s="17">
        <v>0</v>
      </c>
      <c r="AS33" s="17">
        <v>0</v>
      </c>
      <c r="AT33" s="17">
        <f t="shared" ref="AT33:AT41" si="20">267607446/11</f>
        <v>24327949.636363637</v>
      </c>
      <c r="AU33" s="17">
        <v>0</v>
      </c>
      <c r="AV33" s="17">
        <f t="shared" ref="AV33:AV41" si="21">1527094004/11</f>
        <v>138826727.63636363</v>
      </c>
      <c r="AW33" s="19">
        <f>SUM(PlanIndicativo[[#This Row],[Ingresos Corrientes de Libre Destinación - ICLD (2021)]:[Otros  (2021)]])</f>
        <v>258114634.72727272</v>
      </c>
      <c r="AX33" s="17">
        <v>0</v>
      </c>
      <c r="AY33" s="17">
        <v>0</v>
      </c>
      <c r="AZ33" s="17">
        <v>0</v>
      </c>
      <c r="BA33" s="17">
        <f t="shared" ref="BA33:BA43" si="22">1044559532/11</f>
        <v>94959957.454545453</v>
      </c>
      <c r="BB33" s="17">
        <v>0</v>
      </c>
      <c r="BC33" s="17">
        <v>0</v>
      </c>
      <c r="BD33" s="17">
        <v>0</v>
      </c>
      <c r="BE33" s="17">
        <v>0</v>
      </c>
      <c r="BF33" s="17">
        <f t="shared" ref="BF33:BF43" si="23">267607446/11</f>
        <v>24327949.636363637</v>
      </c>
      <c r="BG33" s="17">
        <v>0</v>
      </c>
      <c r="BH33" s="17">
        <f t="shared" ref="BH33:BH43" si="24">1527094004/11</f>
        <v>138826727.63636363</v>
      </c>
      <c r="BI33" s="20">
        <f>SUM(PlanIndicativo[[#This Row],[Ingresos Corrientes de Libre Destinación - ICLD (2022)]:[Otros   (2022)]])</f>
        <v>258114634.72727272</v>
      </c>
      <c r="BJ33" s="17">
        <v>0</v>
      </c>
      <c r="BK33" s="17">
        <v>0</v>
      </c>
      <c r="BL33" s="17">
        <v>0</v>
      </c>
      <c r="BM33" s="17">
        <f t="shared" ref="BM33:BM43" si="25">1044559532/11</f>
        <v>94959957.454545453</v>
      </c>
      <c r="BN33" s="17">
        <v>0</v>
      </c>
      <c r="BO33" s="17">
        <v>0</v>
      </c>
      <c r="BP33" s="17">
        <v>0</v>
      </c>
      <c r="BQ33" s="17">
        <v>0</v>
      </c>
      <c r="BR33" s="17">
        <f t="shared" ref="BR33:BR43" si="26">267607446/11</f>
        <v>24327949.636363637</v>
      </c>
      <c r="BS33" s="17">
        <v>0</v>
      </c>
      <c r="BT33" s="17">
        <f t="shared" ref="BT33:BT43" si="27">1527094004/11</f>
        <v>138826727.63636363</v>
      </c>
      <c r="BU33" s="21">
        <f>SUM(PlanIndicativo[[#This Row],[Ingresos Corrientes de Libre Destinación - ICLD (2023)]:[Otros (2023)]])</f>
        <v>258114634.72727272</v>
      </c>
      <c r="BV33" s="21">
        <f>+PlanIndicativo[[#This Row],[Total (2020)]]+PlanIndicativo[[#This Row],[Total  (2021)]]+PlanIndicativo[[#This Row],[Total  (2022)]]+PlanIndicativo[[#This Row],[Total (2023)]]</f>
        <v>1032458538.9090909</v>
      </c>
      <c r="BW33" s="22" t="s">
        <v>90</v>
      </c>
    </row>
    <row r="34" spans="1:79" ht="21" customHeight="1" x14ac:dyDescent="0.25">
      <c r="A34" s="7">
        <v>1</v>
      </c>
      <c r="B34" s="8" t="s">
        <v>75</v>
      </c>
      <c r="C34" s="7" t="s">
        <v>167</v>
      </c>
      <c r="D34" s="7" t="s">
        <v>168</v>
      </c>
      <c r="E34" s="7" t="s">
        <v>169</v>
      </c>
      <c r="F34" s="8" t="s">
        <v>170</v>
      </c>
      <c r="G34" s="7" t="s">
        <v>171</v>
      </c>
      <c r="H34" s="8" t="s">
        <v>172</v>
      </c>
      <c r="I34" s="9">
        <v>1901007</v>
      </c>
      <c r="J34" s="25" t="s">
        <v>177</v>
      </c>
      <c r="K34" s="11" t="s">
        <v>174</v>
      </c>
      <c r="L34" s="11" t="s">
        <v>84</v>
      </c>
      <c r="M34" s="11" t="s">
        <v>178</v>
      </c>
      <c r="N34" s="11" t="s">
        <v>107</v>
      </c>
      <c r="O34" s="25">
        <v>12</v>
      </c>
      <c r="P34" s="9">
        <v>190100700</v>
      </c>
      <c r="Q34" s="25" t="s">
        <v>179</v>
      </c>
      <c r="R34" s="12" t="s">
        <v>88</v>
      </c>
      <c r="S34" s="13" t="s">
        <v>93</v>
      </c>
      <c r="T34" s="14">
        <v>0</v>
      </c>
      <c r="U34" s="15">
        <v>600</v>
      </c>
      <c r="V34" s="16">
        <v>150</v>
      </c>
      <c r="W34" s="16">
        <v>150</v>
      </c>
      <c r="X34" s="16">
        <v>150</v>
      </c>
      <c r="Y34" s="16">
        <v>150</v>
      </c>
      <c r="Z34" s="17">
        <v>0</v>
      </c>
      <c r="AA34" s="17">
        <v>0</v>
      </c>
      <c r="AB34" s="17">
        <v>0</v>
      </c>
      <c r="AC34" s="17">
        <f t="shared" si="16"/>
        <v>94959957.454545453</v>
      </c>
      <c r="AD34" s="17">
        <v>0</v>
      </c>
      <c r="AE34" s="17">
        <v>0</v>
      </c>
      <c r="AF34" s="17">
        <v>0</v>
      </c>
      <c r="AG34" s="17">
        <v>0</v>
      </c>
      <c r="AH34" s="17">
        <f t="shared" si="17"/>
        <v>24327949.636363637</v>
      </c>
      <c r="AI34" s="17">
        <v>0</v>
      </c>
      <c r="AJ34" s="17">
        <f t="shared" si="18"/>
        <v>138826727.63636363</v>
      </c>
      <c r="AK34" s="18">
        <f>SUM(PlanIndicativo[[#This Row],[Ingresos Corrientes de Libre Destinación - ICLD (2020)]:[Otros (2020)]])</f>
        <v>258114634.72727272</v>
      </c>
      <c r="AL34" s="17">
        <v>0</v>
      </c>
      <c r="AM34" s="17">
        <v>0</v>
      </c>
      <c r="AN34" s="17">
        <v>0</v>
      </c>
      <c r="AO34" s="17">
        <f t="shared" si="19"/>
        <v>94959957.454545453</v>
      </c>
      <c r="AP34" s="17">
        <v>0</v>
      </c>
      <c r="AQ34" s="17">
        <v>0</v>
      </c>
      <c r="AR34" s="17">
        <v>0</v>
      </c>
      <c r="AS34" s="17">
        <v>0</v>
      </c>
      <c r="AT34" s="17">
        <f t="shared" si="20"/>
        <v>24327949.636363637</v>
      </c>
      <c r="AU34" s="17">
        <v>0</v>
      </c>
      <c r="AV34" s="17">
        <f t="shared" si="21"/>
        <v>138826727.63636363</v>
      </c>
      <c r="AW34" s="19">
        <f>SUM(PlanIndicativo[[#This Row],[Ingresos Corrientes de Libre Destinación - ICLD (2021)]:[Otros  (2021)]])</f>
        <v>258114634.72727272</v>
      </c>
      <c r="AX34" s="17">
        <v>0</v>
      </c>
      <c r="AY34" s="17">
        <v>0</v>
      </c>
      <c r="AZ34" s="17">
        <v>0</v>
      </c>
      <c r="BA34" s="17">
        <f t="shared" si="22"/>
        <v>94959957.454545453</v>
      </c>
      <c r="BB34" s="17">
        <v>0</v>
      </c>
      <c r="BC34" s="17">
        <v>0</v>
      </c>
      <c r="BD34" s="17">
        <v>0</v>
      </c>
      <c r="BE34" s="17">
        <v>0</v>
      </c>
      <c r="BF34" s="17">
        <f t="shared" si="23"/>
        <v>24327949.636363637</v>
      </c>
      <c r="BG34" s="17">
        <v>0</v>
      </c>
      <c r="BH34" s="17">
        <f t="shared" si="24"/>
        <v>138826727.63636363</v>
      </c>
      <c r="BI34" s="20">
        <f>SUM(PlanIndicativo[[#This Row],[Ingresos Corrientes de Libre Destinación - ICLD (2022)]:[Otros   (2022)]])</f>
        <v>258114634.72727272</v>
      </c>
      <c r="BJ34" s="17">
        <v>0</v>
      </c>
      <c r="BK34" s="17">
        <v>0</v>
      </c>
      <c r="BL34" s="17">
        <v>0</v>
      </c>
      <c r="BM34" s="17">
        <f t="shared" si="25"/>
        <v>94959957.454545453</v>
      </c>
      <c r="BN34" s="17">
        <v>0</v>
      </c>
      <c r="BO34" s="17">
        <v>0</v>
      </c>
      <c r="BP34" s="17">
        <v>0</v>
      </c>
      <c r="BQ34" s="17">
        <v>0</v>
      </c>
      <c r="BR34" s="17">
        <f t="shared" si="26"/>
        <v>24327949.636363637</v>
      </c>
      <c r="BS34" s="17">
        <v>0</v>
      </c>
      <c r="BT34" s="17">
        <f t="shared" si="27"/>
        <v>138826727.63636363</v>
      </c>
      <c r="BU34" s="21">
        <f>SUM(PlanIndicativo[[#This Row],[Ingresos Corrientes de Libre Destinación - ICLD (2023)]:[Otros (2023)]])</f>
        <v>258114634.72727272</v>
      </c>
      <c r="BV34" s="21">
        <f>+PlanIndicativo[[#This Row],[Total (2020)]]+PlanIndicativo[[#This Row],[Total  (2021)]]+PlanIndicativo[[#This Row],[Total  (2022)]]+PlanIndicativo[[#This Row],[Total (2023)]]</f>
        <v>1032458538.9090909</v>
      </c>
      <c r="BW34" s="22" t="s">
        <v>90</v>
      </c>
    </row>
    <row r="35" spans="1:79" ht="21" customHeight="1" x14ac:dyDescent="0.25">
      <c r="A35" s="7">
        <v>1</v>
      </c>
      <c r="B35" s="8" t="s">
        <v>75</v>
      </c>
      <c r="C35" s="7" t="s">
        <v>167</v>
      </c>
      <c r="D35" s="7" t="s">
        <v>168</v>
      </c>
      <c r="E35" s="7" t="s">
        <v>169</v>
      </c>
      <c r="F35" s="8" t="s">
        <v>170</v>
      </c>
      <c r="G35" s="7" t="s">
        <v>171</v>
      </c>
      <c r="H35" s="8" t="s">
        <v>172</v>
      </c>
      <c r="I35" s="9">
        <v>1901084</v>
      </c>
      <c r="J35" s="25" t="s">
        <v>180</v>
      </c>
      <c r="K35" s="11" t="s">
        <v>174</v>
      </c>
      <c r="L35" s="11" t="s">
        <v>84</v>
      </c>
      <c r="M35" s="11" t="s">
        <v>178</v>
      </c>
      <c r="N35" s="11" t="s">
        <v>107</v>
      </c>
      <c r="O35" s="25">
        <v>9</v>
      </c>
      <c r="P35" s="9">
        <v>190108400</v>
      </c>
      <c r="Q35" s="25" t="s">
        <v>181</v>
      </c>
      <c r="R35" s="12" t="s">
        <v>88</v>
      </c>
      <c r="S35" s="13" t="s">
        <v>93</v>
      </c>
      <c r="T35" s="14">
        <v>0</v>
      </c>
      <c r="U35" s="15">
        <v>4</v>
      </c>
      <c r="V35" s="16">
        <v>1</v>
      </c>
      <c r="W35" s="16">
        <v>1</v>
      </c>
      <c r="X35" s="16">
        <v>1</v>
      </c>
      <c r="Y35" s="16">
        <v>1</v>
      </c>
      <c r="Z35" s="17">
        <v>0</v>
      </c>
      <c r="AA35" s="17">
        <v>0</v>
      </c>
      <c r="AB35" s="17">
        <v>0</v>
      </c>
      <c r="AC35" s="17">
        <f t="shared" si="16"/>
        <v>94959957.454545453</v>
      </c>
      <c r="AD35" s="17">
        <v>0</v>
      </c>
      <c r="AE35" s="17">
        <v>0</v>
      </c>
      <c r="AF35" s="17">
        <v>0</v>
      </c>
      <c r="AG35" s="17">
        <v>0</v>
      </c>
      <c r="AH35" s="17">
        <f t="shared" si="17"/>
        <v>24327949.636363637</v>
      </c>
      <c r="AI35" s="17">
        <v>0</v>
      </c>
      <c r="AJ35" s="17">
        <f t="shared" si="18"/>
        <v>138826727.63636363</v>
      </c>
      <c r="AK35" s="18">
        <f>SUM(PlanIndicativo[[#This Row],[Ingresos Corrientes de Libre Destinación - ICLD (2020)]:[Otros (2020)]])</f>
        <v>258114634.72727272</v>
      </c>
      <c r="AL35" s="17">
        <v>0</v>
      </c>
      <c r="AM35" s="17">
        <v>0</v>
      </c>
      <c r="AN35" s="17">
        <v>0</v>
      </c>
      <c r="AO35" s="17">
        <f t="shared" si="19"/>
        <v>94959957.454545453</v>
      </c>
      <c r="AP35" s="17">
        <v>0</v>
      </c>
      <c r="AQ35" s="17">
        <v>0</v>
      </c>
      <c r="AR35" s="17">
        <v>0</v>
      </c>
      <c r="AS35" s="17">
        <v>0</v>
      </c>
      <c r="AT35" s="17">
        <f t="shared" si="20"/>
        <v>24327949.636363637</v>
      </c>
      <c r="AU35" s="17">
        <v>0</v>
      </c>
      <c r="AV35" s="17">
        <f t="shared" si="21"/>
        <v>138826727.63636363</v>
      </c>
      <c r="AW35" s="19">
        <f>SUM(PlanIndicativo[[#This Row],[Ingresos Corrientes de Libre Destinación - ICLD (2021)]:[Otros  (2021)]])</f>
        <v>258114634.72727272</v>
      </c>
      <c r="AX35" s="17">
        <v>0</v>
      </c>
      <c r="AY35" s="17">
        <v>0</v>
      </c>
      <c r="AZ35" s="17">
        <v>0</v>
      </c>
      <c r="BA35" s="17">
        <f t="shared" si="22"/>
        <v>94959957.454545453</v>
      </c>
      <c r="BB35" s="17">
        <v>0</v>
      </c>
      <c r="BC35" s="17">
        <v>0</v>
      </c>
      <c r="BD35" s="17">
        <v>0</v>
      </c>
      <c r="BE35" s="17">
        <v>0</v>
      </c>
      <c r="BF35" s="17">
        <f t="shared" si="23"/>
        <v>24327949.636363637</v>
      </c>
      <c r="BG35" s="17">
        <v>0</v>
      </c>
      <c r="BH35" s="17">
        <f t="shared" si="24"/>
        <v>138826727.63636363</v>
      </c>
      <c r="BI35" s="20">
        <f>SUM(PlanIndicativo[[#This Row],[Ingresos Corrientes de Libre Destinación - ICLD (2022)]:[Otros   (2022)]])</f>
        <v>258114634.72727272</v>
      </c>
      <c r="BJ35" s="17">
        <v>0</v>
      </c>
      <c r="BK35" s="17">
        <v>0</v>
      </c>
      <c r="BL35" s="17">
        <v>0</v>
      </c>
      <c r="BM35" s="17">
        <f t="shared" si="25"/>
        <v>94959957.454545453</v>
      </c>
      <c r="BN35" s="17">
        <v>0</v>
      </c>
      <c r="BO35" s="17">
        <v>0</v>
      </c>
      <c r="BP35" s="17">
        <v>0</v>
      </c>
      <c r="BQ35" s="17">
        <v>0</v>
      </c>
      <c r="BR35" s="17">
        <f t="shared" si="26"/>
        <v>24327949.636363637</v>
      </c>
      <c r="BS35" s="17">
        <v>0</v>
      </c>
      <c r="BT35" s="17">
        <f t="shared" si="27"/>
        <v>138826727.63636363</v>
      </c>
      <c r="BU35" s="21">
        <f>SUM(PlanIndicativo[[#This Row],[Ingresos Corrientes de Libre Destinación - ICLD (2023)]:[Otros (2023)]])</f>
        <v>258114634.72727272</v>
      </c>
      <c r="BV35" s="21">
        <f>+PlanIndicativo[[#This Row],[Total (2020)]]+PlanIndicativo[[#This Row],[Total  (2021)]]+PlanIndicativo[[#This Row],[Total  (2022)]]+PlanIndicativo[[#This Row],[Total (2023)]]</f>
        <v>1032458538.9090909</v>
      </c>
      <c r="BW35" s="22" t="s">
        <v>90</v>
      </c>
    </row>
    <row r="36" spans="1:79" ht="21" customHeight="1" x14ac:dyDescent="0.25">
      <c r="A36" s="7">
        <v>1</v>
      </c>
      <c r="B36" s="8" t="s">
        <v>75</v>
      </c>
      <c r="C36" s="7" t="s">
        <v>167</v>
      </c>
      <c r="D36" s="7" t="s">
        <v>168</v>
      </c>
      <c r="E36" s="7" t="s">
        <v>169</v>
      </c>
      <c r="F36" s="8" t="s">
        <v>170</v>
      </c>
      <c r="G36" s="7" t="s">
        <v>171</v>
      </c>
      <c r="H36" s="8" t="s">
        <v>172</v>
      </c>
      <c r="I36" s="9">
        <v>1901136</v>
      </c>
      <c r="J36" s="11" t="s">
        <v>182</v>
      </c>
      <c r="K36" s="11" t="s">
        <v>174</v>
      </c>
      <c r="L36" s="11" t="s">
        <v>84</v>
      </c>
      <c r="M36" s="11" t="s">
        <v>178</v>
      </c>
      <c r="N36" s="11" t="s">
        <v>107</v>
      </c>
      <c r="O36" s="11">
        <v>7</v>
      </c>
      <c r="P36" s="9">
        <v>190113600</v>
      </c>
      <c r="Q36" s="11" t="s">
        <v>183</v>
      </c>
      <c r="R36" s="12" t="s">
        <v>88</v>
      </c>
      <c r="S36" s="13" t="s">
        <v>93</v>
      </c>
      <c r="T36" s="14">
        <v>0</v>
      </c>
      <c r="U36" s="15">
        <v>4</v>
      </c>
      <c r="V36" s="16">
        <v>1</v>
      </c>
      <c r="W36" s="16">
        <v>1</v>
      </c>
      <c r="X36" s="16">
        <v>1</v>
      </c>
      <c r="Y36" s="16">
        <v>1</v>
      </c>
      <c r="Z36" s="17">
        <v>0</v>
      </c>
      <c r="AA36" s="17">
        <v>0</v>
      </c>
      <c r="AB36" s="17">
        <v>0</v>
      </c>
      <c r="AC36" s="17">
        <f t="shared" si="16"/>
        <v>94959957.454545453</v>
      </c>
      <c r="AD36" s="17">
        <v>0</v>
      </c>
      <c r="AE36" s="17">
        <v>0</v>
      </c>
      <c r="AF36" s="17">
        <v>0</v>
      </c>
      <c r="AG36" s="17">
        <v>0</v>
      </c>
      <c r="AH36" s="17">
        <f t="shared" si="17"/>
        <v>24327949.636363637</v>
      </c>
      <c r="AI36" s="17">
        <v>0</v>
      </c>
      <c r="AJ36" s="17">
        <f t="shared" si="18"/>
        <v>138826727.63636363</v>
      </c>
      <c r="AK36" s="18">
        <f>SUM(PlanIndicativo[[#This Row],[Ingresos Corrientes de Libre Destinación - ICLD (2020)]:[Otros (2020)]])</f>
        <v>258114634.72727272</v>
      </c>
      <c r="AL36" s="17">
        <v>0</v>
      </c>
      <c r="AM36" s="17">
        <v>0</v>
      </c>
      <c r="AN36" s="17">
        <v>0</v>
      </c>
      <c r="AO36" s="17">
        <f t="shared" si="19"/>
        <v>94959957.454545453</v>
      </c>
      <c r="AP36" s="17">
        <v>0</v>
      </c>
      <c r="AQ36" s="17">
        <v>0</v>
      </c>
      <c r="AR36" s="17">
        <v>0</v>
      </c>
      <c r="AS36" s="17">
        <v>0</v>
      </c>
      <c r="AT36" s="17">
        <f t="shared" si="20"/>
        <v>24327949.636363637</v>
      </c>
      <c r="AU36" s="17">
        <v>0</v>
      </c>
      <c r="AV36" s="17">
        <f t="shared" si="21"/>
        <v>138826727.63636363</v>
      </c>
      <c r="AW36" s="19">
        <f>SUM(PlanIndicativo[[#This Row],[Ingresos Corrientes de Libre Destinación - ICLD (2021)]:[Otros  (2021)]])</f>
        <v>258114634.72727272</v>
      </c>
      <c r="AX36" s="17">
        <v>0</v>
      </c>
      <c r="AY36" s="17">
        <v>0</v>
      </c>
      <c r="AZ36" s="17">
        <v>0</v>
      </c>
      <c r="BA36" s="17">
        <f t="shared" si="22"/>
        <v>94959957.454545453</v>
      </c>
      <c r="BB36" s="17">
        <v>0</v>
      </c>
      <c r="BC36" s="17">
        <v>0</v>
      </c>
      <c r="BD36" s="17">
        <v>0</v>
      </c>
      <c r="BE36" s="17">
        <v>0</v>
      </c>
      <c r="BF36" s="17">
        <f t="shared" si="23"/>
        <v>24327949.636363637</v>
      </c>
      <c r="BG36" s="17">
        <v>0</v>
      </c>
      <c r="BH36" s="17">
        <f t="shared" si="24"/>
        <v>138826727.63636363</v>
      </c>
      <c r="BI36" s="20">
        <f>SUM(PlanIndicativo[[#This Row],[Ingresos Corrientes de Libre Destinación - ICLD (2022)]:[Otros   (2022)]])</f>
        <v>258114634.72727272</v>
      </c>
      <c r="BJ36" s="17">
        <v>0</v>
      </c>
      <c r="BK36" s="17">
        <v>0</v>
      </c>
      <c r="BL36" s="17">
        <v>0</v>
      </c>
      <c r="BM36" s="17">
        <f t="shared" si="25"/>
        <v>94959957.454545453</v>
      </c>
      <c r="BN36" s="17">
        <v>0</v>
      </c>
      <c r="BO36" s="17">
        <v>0</v>
      </c>
      <c r="BP36" s="17">
        <v>0</v>
      </c>
      <c r="BQ36" s="17">
        <v>0</v>
      </c>
      <c r="BR36" s="17">
        <f t="shared" si="26"/>
        <v>24327949.636363637</v>
      </c>
      <c r="BS36" s="17">
        <v>0</v>
      </c>
      <c r="BT36" s="17">
        <f t="shared" si="27"/>
        <v>138826727.63636363</v>
      </c>
      <c r="BU36" s="21">
        <f>SUM(PlanIndicativo[[#This Row],[Ingresos Corrientes de Libre Destinación - ICLD (2023)]:[Otros (2023)]])</f>
        <v>258114634.72727272</v>
      </c>
      <c r="BV36" s="21">
        <f>+PlanIndicativo[[#This Row],[Total (2020)]]+PlanIndicativo[[#This Row],[Total  (2021)]]+PlanIndicativo[[#This Row],[Total  (2022)]]+PlanIndicativo[[#This Row],[Total (2023)]]</f>
        <v>1032458538.9090909</v>
      </c>
      <c r="BW36" s="22" t="s">
        <v>90</v>
      </c>
    </row>
    <row r="37" spans="1:79" ht="21" customHeight="1" x14ac:dyDescent="0.25">
      <c r="A37" s="7">
        <v>1</v>
      </c>
      <c r="B37" s="8" t="s">
        <v>75</v>
      </c>
      <c r="C37" s="7" t="s">
        <v>167</v>
      </c>
      <c r="D37" s="7" t="s">
        <v>168</v>
      </c>
      <c r="E37" s="7" t="s">
        <v>169</v>
      </c>
      <c r="F37" s="8" t="s">
        <v>170</v>
      </c>
      <c r="G37" s="7" t="s">
        <v>171</v>
      </c>
      <c r="H37" s="8" t="s">
        <v>172</v>
      </c>
      <c r="I37" s="9">
        <v>1901127</v>
      </c>
      <c r="J37" s="25" t="s">
        <v>184</v>
      </c>
      <c r="K37" s="11" t="s">
        <v>174</v>
      </c>
      <c r="L37" s="11" t="s">
        <v>84</v>
      </c>
      <c r="M37" s="11" t="s">
        <v>178</v>
      </c>
      <c r="N37" s="11" t="s">
        <v>107</v>
      </c>
      <c r="O37" s="25">
        <v>10</v>
      </c>
      <c r="P37" s="9">
        <v>190112700</v>
      </c>
      <c r="Q37" s="25" t="s">
        <v>185</v>
      </c>
      <c r="R37" s="12" t="s">
        <v>88</v>
      </c>
      <c r="S37" s="13" t="s">
        <v>93</v>
      </c>
      <c r="T37" s="14">
        <v>0</v>
      </c>
      <c r="U37" s="15">
        <v>4</v>
      </c>
      <c r="V37" s="16">
        <v>1</v>
      </c>
      <c r="W37" s="16">
        <v>1</v>
      </c>
      <c r="X37" s="16">
        <v>1</v>
      </c>
      <c r="Y37" s="16">
        <v>1</v>
      </c>
      <c r="Z37" s="17">
        <v>0</v>
      </c>
      <c r="AA37" s="17">
        <v>0</v>
      </c>
      <c r="AB37" s="17">
        <v>0</v>
      </c>
      <c r="AC37" s="17">
        <f t="shared" si="16"/>
        <v>94959957.454545453</v>
      </c>
      <c r="AD37" s="17">
        <v>0</v>
      </c>
      <c r="AE37" s="17">
        <v>0</v>
      </c>
      <c r="AF37" s="17">
        <v>0</v>
      </c>
      <c r="AG37" s="17">
        <v>0</v>
      </c>
      <c r="AH37" s="17">
        <f t="shared" si="17"/>
        <v>24327949.636363637</v>
      </c>
      <c r="AI37" s="17">
        <v>0</v>
      </c>
      <c r="AJ37" s="17">
        <f t="shared" si="18"/>
        <v>138826727.63636363</v>
      </c>
      <c r="AK37" s="18">
        <f>SUM(PlanIndicativo[[#This Row],[Ingresos Corrientes de Libre Destinación - ICLD (2020)]:[Otros (2020)]])</f>
        <v>258114634.72727272</v>
      </c>
      <c r="AL37" s="17">
        <v>0</v>
      </c>
      <c r="AM37" s="17">
        <v>0</v>
      </c>
      <c r="AN37" s="17">
        <v>0</v>
      </c>
      <c r="AO37" s="17">
        <f t="shared" si="19"/>
        <v>94959957.454545453</v>
      </c>
      <c r="AP37" s="17">
        <v>0</v>
      </c>
      <c r="AQ37" s="17">
        <v>0</v>
      </c>
      <c r="AR37" s="17">
        <v>0</v>
      </c>
      <c r="AS37" s="17">
        <v>0</v>
      </c>
      <c r="AT37" s="17">
        <f t="shared" si="20"/>
        <v>24327949.636363637</v>
      </c>
      <c r="AU37" s="17">
        <v>0</v>
      </c>
      <c r="AV37" s="17">
        <f t="shared" si="21"/>
        <v>138826727.63636363</v>
      </c>
      <c r="AW37" s="19">
        <f>SUM(PlanIndicativo[[#This Row],[Ingresos Corrientes de Libre Destinación - ICLD (2021)]:[Otros  (2021)]])</f>
        <v>258114634.72727272</v>
      </c>
      <c r="AX37" s="17">
        <v>0</v>
      </c>
      <c r="AY37" s="17">
        <v>0</v>
      </c>
      <c r="AZ37" s="17">
        <v>0</v>
      </c>
      <c r="BA37" s="17">
        <f t="shared" si="22"/>
        <v>94959957.454545453</v>
      </c>
      <c r="BB37" s="17">
        <v>0</v>
      </c>
      <c r="BC37" s="17">
        <v>0</v>
      </c>
      <c r="BD37" s="17">
        <v>0</v>
      </c>
      <c r="BE37" s="17">
        <v>0</v>
      </c>
      <c r="BF37" s="17">
        <f t="shared" si="23"/>
        <v>24327949.636363637</v>
      </c>
      <c r="BG37" s="17">
        <v>0</v>
      </c>
      <c r="BH37" s="17">
        <f t="shared" si="24"/>
        <v>138826727.63636363</v>
      </c>
      <c r="BI37" s="20">
        <f>SUM(PlanIndicativo[[#This Row],[Ingresos Corrientes de Libre Destinación - ICLD (2022)]:[Otros   (2022)]])</f>
        <v>258114634.72727272</v>
      </c>
      <c r="BJ37" s="17">
        <v>0</v>
      </c>
      <c r="BK37" s="17">
        <v>0</v>
      </c>
      <c r="BL37" s="17">
        <v>0</v>
      </c>
      <c r="BM37" s="17">
        <f t="shared" si="25"/>
        <v>94959957.454545453</v>
      </c>
      <c r="BN37" s="17">
        <v>0</v>
      </c>
      <c r="BO37" s="17">
        <v>0</v>
      </c>
      <c r="BP37" s="17">
        <v>0</v>
      </c>
      <c r="BQ37" s="17">
        <v>0</v>
      </c>
      <c r="BR37" s="17">
        <f t="shared" si="26"/>
        <v>24327949.636363637</v>
      </c>
      <c r="BS37" s="17">
        <v>0</v>
      </c>
      <c r="BT37" s="17">
        <f t="shared" si="27"/>
        <v>138826727.63636363</v>
      </c>
      <c r="BU37" s="21">
        <f>SUM(PlanIndicativo[[#This Row],[Ingresos Corrientes de Libre Destinación - ICLD (2023)]:[Otros (2023)]])</f>
        <v>258114634.72727272</v>
      </c>
      <c r="BV37" s="21">
        <f>+PlanIndicativo[[#This Row],[Total (2020)]]+PlanIndicativo[[#This Row],[Total  (2021)]]+PlanIndicativo[[#This Row],[Total  (2022)]]+PlanIndicativo[[#This Row],[Total (2023)]]</f>
        <v>1032458538.9090909</v>
      </c>
      <c r="BW37" s="22" t="s">
        <v>90</v>
      </c>
    </row>
    <row r="38" spans="1:79" ht="21" customHeight="1" x14ac:dyDescent="0.25">
      <c r="A38" s="7">
        <v>1</v>
      </c>
      <c r="B38" s="8" t="s">
        <v>75</v>
      </c>
      <c r="C38" s="7" t="s">
        <v>167</v>
      </c>
      <c r="D38" s="7" t="s">
        <v>168</v>
      </c>
      <c r="E38" s="7" t="s">
        <v>169</v>
      </c>
      <c r="F38" s="8" t="s">
        <v>170</v>
      </c>
      <c r="G38" s="7" t="s">
        <v>171</v>
      </c>
      <c r="H38" s="8" t="s">
        <v>172</v>
      </c>
      <c r="I38" s="9">
        <v>1901126</v>
      </c>
      <c r="J38" s="11" t="s">
        <v>186</v>
      </c>
      <c r="K38" s="11" t="s">
        <v>174</v>
      </c>
      <c r="L38" s="11" t="s">
        <v>84</v>
      </c>
      <c r="M38" s="11" t="s">
        <v>178</v>
      </c>
      <c r="N38" s="11" t="s">
        <v>107</v>
      </c>
      <c r="O38" s="11">
        <v>10</v>
      </c>
      <c r="P38" s="9">
        <v>190112600</v>
      </c>
      <c r="Q38" s="11" t="s">
        <v>187</v>
      </c>
      <c r="R38" s="12" t="s">
        <v>88</v>
      </c>
      <c r="S38" s="13" t="s">
        <v>93</v>
      </c>
      <c r="T38" s="14">
        <v>0</v>
      </c>
      <c r="U38" s="15">
        <v>4</v>
      </c>
      <c r="V38" s="16">
        <v>1</v>
      </c>
      <c r="W38" s="16">
        <v>1</v>
      </c>
      <c r="X38" s="16">
        <v>1</v>
      </c>
      <c r="Y38" s="16">
        <v>1</v>
      </c>
      <c r="Z38" s="17">
        <v>0</v>
      </c>
      <c r="AA38" s="17">
        <v>0</v>
      </c>
      <c r="AB38" s="17">
        <v>0</v>
      </c>
      <c r="AC38" s="17">
        <f t="shared" si="16"/>
        <v>94959957.454545453</v>
      </c>
      <c r="AD38" s="17">
        <v>0</v>
      </c>
      <c r="AE38" s="17">
        <v>0</v>
      </c>
      <c r="AF38" s="17">
        <v>0</v>
      </c>
      <c r="AG38" s="17">
        <v>0</v>
      </c>
      <c r="AH38" s="17">
        <f t="shared" si="17"/>
        <v>24327949.636363637</v>
      </c>
      <c r="AI38" s="17">
        <v>0</v>
      </c>
      <c r="AJ38" s="17">
        <f t="shared" si="18"/>
        <v>138826727.63636363</v>
      </c>
      <c r="AK38" s="18">
        <f>SUM(PlanIndicativo[[#This Row],[Ingresos Corrientes de Libre Destinación - ICLD (2020)]:[Otros (2020)]])</f>
        <v>258114634.72727272</v>
      </c>
      <c r="AL38" s="17">
        <v>0</v>
      </c>
      <c r="AM38" s="17">
        <v>0</v>
      </c>
      <c r="AN38" s="17">
        <v>0</v>
      </c>
      <c r="AO38" s="17">
        <f t="shared" si="19"/>
        <v>94959957.454545453</v>
      </c>
      <c r="AP38" s="17">
        <v>0</v>
      </c>
      <c r="AQ38" s="17">
        <v>0</v>
      </c>
      <c r="AR38" s="17">
        <v>0</v>
      </c>
      <c r="AS38" s="17">
        <v>0</v>
      </c>
      <c r="AT38" s="17">
        <f t="shared" si="20"/>
        <v>24327949.636363637</v>
      </c>
      <c r="AU38" s="17">
        <v>0</v>
      </c>
      <c r="AV38" s="17">
        <f t="shared" si="21"/>
        <v>138826727.63636363</v>
      </c>
      <c r="AW38" s="19">
        <f>SUM(PlanIndicativo[[#This Row],[Ingresos Corrientes de Libre Destinación - ICLD (2021)]:[Otros  (2021)]])</f>
        <v>258114634.72727272</v>
      </c>
      <c r="AX38" s="17">
        <v>0</v>
      </c>
      <c r="AY38" s="17">
        <v>0</v>
      </c>
      <c r="AZ38" s="17">
        <v>0</v>
      </c>
      <c r="BA38" s="17">
        <f t="shared" si="22"/>
        <v>94959957.454545453</v>
      </c>
      <c r="BB38" s="17">
        <v>0</v>
      </c>
      <c r="BC38" s="17">
        <v>0</v>
      </c>
      <c r="BD38" s="17">
        <v>0</v>
      </c>
      <c r="BE38" s="17">
        <v>0</v>
      </c>
      <c r="BF38" s="17">
        <f t="shared" si="23"/>
        <v>24327949.636363637</v>
      </c>
      <c r="BG38" s="17">
        <v>0</v>
      </c>
      <c r="BH38" s="17">
        <f t="shared" si="24"/>
        <v>138826727.63636363</v>
      </c>
      <c r="BI38" s="20">
        <f>SUM(PlanIndicativo[[#This Row],[Ingresos Corrientes de Libre Destinación - ICLD (2022)]:[Otros   (2022)]])</f>
        <v>258114634.72727272</v>
      </c>
      <c r="BJ38" s="17">
        <v>0</v>
      </c>
      <c r="BK38" s="17">
        <v>0</v>
      </c>
      <c r="BL38" s="17">
        <v>0</v>
      </c>
      <c r="BM38" s="17">
        <f t="shared" si="25"/>
        <v>94959957.454545453</v>
      </c>
      <c r="BN38" s="17">
        <v>0</v>
      </c>
      <c r="BO38" s="17">
        <v>0</v>
      </c>
      <c r="BP38" s="17">
        <v>0</v>
      </c>
      <c r="BQ38" s="17">
        <v>0</v>
      </c>
      <c r="BR38" s="17">
        <f t="shared" si="26"/>
        <v>24327949.636363637</v>
      </c>
      <c r="BS38" s="17">
        <v>0</v>
      </c>
      <c r="BT38" s="17">
        <f t="shared" si="27"/>
        <v>138826727.63636363</v>
      </c>
      <c r="BU38" s="21">
        <f>SUM(PlanIndicativo[[#This Row],[Ingresos Corrientes de Libre Destinación - ICLD (2023)]:[Otros (2023)]])</f>
        <v>258114634.72727272</v>
      </c>
      <c r="BV38" s="21">
        <f>+PlanIndicativo[[#This Row],[Total (2020)]]+PlanIndicativo[[#This Row],[Total  (2021)]]+PlanIndicativo[[#This Row],[Total  (2022)]]+PlanIndicativo[[#This Row],[Total (2023)]]</f>
        <v>1032458538.9090909</v>
      </c>
      <c r="BW38" s="22" t="s">
        <v>90</v>
      </c>
    </row>
    <row r="39" spans="1:79" ht="21" customHeight="1" x14ac:dyDescent="0.25">
      <c r="A39" s="7">
        <v>1</v>
      </c>
      <c r="B39" s="8" t="s">
        <v>75</v>
      </c>
      <c r="C39" s="7" t="s">
        <v>167</v>
      </c>
      <c r="D39" s="7" t="s">
        <v>168</v>
      </c>
      <c r="E39" s="7" t="s">
        <v>169</v>
      </c>
      <c r="F39" s="8" t="s">
        <v>170</v>
      </c>
      <c r="G39" s="7" t="s">
        <v>171</v>
      </c>
      <c r="H39" s="8" t="s">
        <v>172</v>
      </c>
      <c r="I39" s="9">
        <v>1901130</v>
      </c>
      <c r="J39" s="11" t="s">
        <v>188</v>
      </c>
      <c r="K39" s="11" t="s">
        <v>174</v>
      </c>
      <c r="L39" s="11" t="s">
        <v>84</v>
      </c>
      <c r="M39" s="11" t="s">
        <v>178</v>
      </c>
      <c r="N39" s="11" t="s">
        <v>107</v>
      </c>
      <c r="O39" s="11">
        <v>5</v>
      </c>
      <c r="P39" s="9">
        <v>190113000</v>
      </c>
      <c r="Q39" s="11" t="s">
        <v>189</v>
      </c>
      <c r="R39" s="12" t="s">
        <v>88</v>
      </c>
      <c r="S39" s="13" t="s">
        <v>93</v>
      </c>
      <c r="T39" s="14">
        <v>0</v>
      </c>
      <c r="U39" s="15">
        <v>4</v>
      </c>
      <c r="V39" s="16">
        <v>1</v>
      </c>
      <c r="W39" s="16">
        <v>1</v>
      </c>
      <c r="X39" s="16">
        <v>1</v>
      </c>
      <c r="Y39" s="16">
        <v>1</v>
      </c>
      <c r="Z39" s="17">
        <v>0</v>
      </c>
      <c r="AA39" s="17">
        <v>0</v>
      </c>
      <c r="AB39" s="17">
        <v>0</v>
      </c>
      <c r="AC39" s="17">
        <f>1044559532/11*2</f>
        <v>189919914.90909091</v>
      </c>
      <c r="AD39" s="17">
        <v>0</v>
      </c>
      <c r="AE39" s="17">
        <v>0</v>
      </c>
      <c r="AF39" s="17">
        <v>0</v>
      </c>
      <c r="AG39" s="17">
        <v>0</v>
      </c>
      <c r="AH39" s="17">
        <f>267607446/11*2</f>
        <v>48655899.272727273</v>
      </c>
      <c r="AI39" s="17">
        <v>0</v>
      </c>
      <c r="AJ39" s="17">
        <f>1527094004/11*2</f>
        <v>277653455.27272725</v>
      </c>
      <c r="AK39" s="18">
        <f>SUM(PlanIndicativo[[#This Row],[Ingresos Corrientes de Libre Destinación - ICLD (2020)]:[Otros (2020)]])</f>
        <v>516229269.45454544</v>
      </c>
      <c r="AL39" s="17">
        <v>0</v>
      </c>
      <c r="AM39" s="17">
        <v>0</v>
      </c>
      <c r="AN39" s="17">
        <v>0</v>
      </c>
      <c r="AO39" s="17">
        <f>1044559532/11*2</f>
        <v>189919914.90909091</v>
      </c>
      <c r="AP39" s="17">
        <v>0</v>
      </c>
      <c r="AQ39" s="17">
        <v>0</v>
      </c>
      <c r="AR39" s="17">
        <v>0</v>
      </c>
      <c r="AS39" s="17">
        <v>0</v>
      </c>
      <c r="AT39" s="17">
        <f>267607446/11*2</f>
        <v>48655899.272727273</v>
      </c>
      <c r="AU39" s="17">
        <v>0</v>
      </c>
      <c r="AV39" s="17">
        <f>1527094004/11*2</f>
        <v>277653455.27272725</v>
      </c>
      <c r="AW39" s="19">
        <f>SUM(PlanIndicativo[[#This Row],[Ingresos Corrientes de Libre Destinación - ICLD (2021)]:[Otros  (2021)]])</f>
        <v>516229269.45454544</v>
      </c>
      <c r="AX39" s="17">
        <v>0</v>
      </c>
      <c r="AY39" s="17">
        <v>0</v>
      </c>
      <c r="AZ39" s="17">
        <v>0</v>
      </c>
      <c r="BA39" s="17">
        <f t="shared" si="22"/>
        <v>94959957.454545453</v>
      </c>
      <c r="BB39" s="17">
        <v>0</v>
      </c>
      <c r="BC39" s="17">
        <v>0</v>
      </c>
      <c r="BD39" s="17">
        <v>0</v>
      </c>
      <c r="BE39" s="17">
        <v>0</v>
      </c>
      <c r="BF39" s="17">
        <f t="shared" si="23"/>
        <v>24327949.636363637</v>
      </c>
      <c r="BG39" s="17">
        <v>0</v>
      </c>
      <c r="BH39" s="17">
        <f t="shared" si="24"/>
        <v>138826727.63636363</v>
      </c>
      <c r="BI39" s="20">
        <f>SUM(PlanIndicativo[[#This Row],[Ingresos Corrientes de Libre Destinación - ICLD (2022)]:[Otros   (2022)]])</f>
        <v>258114634.72727272</v>
      </c>
      <c r="BJ39" s="17">
        <v>0</v>
      </c>
      <c r="BK39" s="17">
        <v>0</v>
      </c>
      <c r="BL39" s="17">
        <v>0</v>
      </c>
      <c r="BM39" s="17">
        <f t="shared" si="25"/>
        <v>94959957.454545453</v>
      </c>
      <c r="BN39" s="17">
        <v>0</v>
      </c>
      <c r="BO39" s="17">
        <v>0</v>
      </c>
      <c r="BP39" s="17">
        <v>0</v>
      </c>
      <c r="BQ39" s="17">
        <v>0</v>
      </c>
      <c r="BR39" s="17">
        <f t="shared" si="26"/>
        <v>24327949.636363637</v>
      </c>
      <c r="BS39" s="17">
        <v>0</v>
      </c>
      <c r="BT39" s="17">
        <f t="shared" si="27"/>
        <v>138826727.63636363</v>
      </c>
      <c r="BU39" s="21">
        <f>SUM(PlanIndicativo[[#This Row],[Ingresos Corrientes de Libre Destinación - ICLD (2023)]:[Otros (2023)]])</f>
        <v>258114634.72727272</v>
      </c>
      <c r="BV39" s="21">
        <f>+PlanIndicativo[[#This Row],[Total (2020)]]+PlanIndicativo[[#This Row],[Total  (2021)]]+PlanIndicativo[[#This Row],[Total  (2022)]]+PlanIndicativo[[#This Row],[Total (2023)]]</f>
        <v>1548687808.3636363</v>
      </c>
      <c r="BW39" s="22" t="s">
        <v>90</v>
      </c>
      <c r="CA39" s="23">
        <v>258114634.72727272</v>
      </c>
    </row>
    <row r="40" spans="1:79" ht="21" customHeight="1" x14ac:dyDescent="0.25">
      <c r="A40" s="7">
        <v>1</v>
      </c>
      <c r="B40" s="8" t="s">
        <v>75</v>
      </c>
      <c r="C40" s="7" t="s">
        <v>167</v>
      </c>
      <c r="D40" s="7" t="s">
        <v>168</v>
      </c>
      <c r="E40" s="7" t="s">
        <v>169</v>
      </c>
      <c r="F40" s="8" t="s">
        <v>170</v>
      </c>
      <c r="G40" s="7" t="s">
        <v>171</v>
      </c>
      <c r="H40" s="8" t="s">
        <v>172</v>
      </c>
      <c r="I40" s="9">
        <v>1906026</v>
      </c>
      <c r="J40" s="11" t="s">
        <v>190</v>
      </c>
      <c r="K40" s="11" t="s">
        <v>174</v>
      </c>
      <c r="L40" s="11" t="s">
        <v>84</v>
      </c>
      <c r="M40" s="11" t="s">
        <v>178</v>
      </c>
      <c r="N40" s="11" t="s">
        <v>107</v>
      </c>
      <c r="O40" s="11">
        <v>14</v>
      </c>
      <c r="P40" s="9">
        <v>190602601</v>
      </c>
      <c r="Q40" s="11" t="s">
        <v>191</v>
      </c>
      <c r="R40" s="12" t="s">
        <v>88</v>
      </c>
      <c r="S40" s="13" t="s">
        <v>93</v>
      </c>
      <c r="T40" s="14">
        <v>0</v>
      </c>
      <c r="U40" s="15">
        <v>1</v>
      </c>
      <c r="V40" s="16">
        <v>0</v>
      </c>
      <c r="W40" s="16">
        <v>0</v>
      </c>
      <c r="X40" s="16">
        <v>1</v>
      </c>
      <c r="Y40" s="16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8">
        <f>SUM(PlanIndicativo[[#This Row],[Ingresos Corrientes de Libre Destinación - ICLD (2020)]:[Otros (2020)]])</f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9">
        <f>SUM(PlanIndicativo[[#This Row],[Ingresos Corrientes de Libre Destinación - ICLD (2021)]:[Otros  (2021)]])</f>
        <v>0</v>
      </c>
      <c r="AX40" s="17">
        <v>0</v>
      </c>
      <c r="AY40" s="17">
        <v>0</v>
      </c>
      <c r="AZ40" s="17">
        <v>0</v>
      </c>
      <c r="BA40" s="17">
        <f t="shared" si="22"/>
        <v>94959957.454545453</v>
      </c>
      <c r="BB40" s="17">
        <v>0</v>
      </c>
      <c r="BC40" s="17">
        <v>0</v>
      </c>
      <c r="BD40" s="17">
        <v>0</v>
      </c>
      <c r="BE40" s="17">
        <v>0</v>
      </c>
      <c r="BF40" s="17">
        <f t="shared" si="23"/>
        <v>24327949.636363637</v>
      </c>
      <c r="BG40" s="17">
        <v>0</v>
      </c>
      <c r="BH40" s="17">
        <f t="shared" si="24"/>
        <v>138826727.63636363</v>
      </c>
      <c r="BI40" s="20">
        <f>SUM(PlanIndicativo[[#This Row],[Ingresos Corrientes de Libre Destinación - ICLD (2022)]:[Otros   (2022)]])</f>
        <v>258114634.72727272</v>
      </c>
      <c r="BJ40" s="17">
        <v>0</v>
      </c>
      <c r="BK40" s="17">
        <v>0</v>
      </c>
      <c r="BL40" s="17">
        <v>0</v>
      </c>
      <c r="BM40" s="17">
        <f t="shared" si="25"/>
        <v>94959957.454545453</v>
      </c>
      <c r="BN40" s="17">
        <v>0</v>
      </c>
      <c r="BO40" s="17">
        <v>0</v>
      </c>
      <c r="BP40" s="17">
        <v>0</v>
      </c>
      <c r="BQ40" s="17">
        <v>0</v>
      </c>
      <c r="BR40" s="17">
        <f t="shared" si="26"/>
        <v>24327949.636363637</v>
      </c>
      <c r="BS40" s="17">
        <v>0</v>
      </c>
      <c r="BT40" s="17">
        <f t="shared" si="27"/>
        <v>138826727.63636363</v>
      </c>
      <c r="BU40" s="21">
        <f>SUM(PlanIndicativo[[#This Row],[Ingresos Corrientes de Libre Destinación - ICLD (2023)]:[Otros (2023)]])</f>
        <v>258114634.72727272</v>
      </c>
      <c r="BV40" s="21">
        <f>+PlanIndicativo[[#This Row],[Total (2020)]]+PlanIndicativo[[#This Row],[Total  (2021)]]+PlanIndicativo[[#This Row],[Total  (2022)]]+PlanIndicativo[[#This Row],[Total (2023)]]</f>
        <v>516229269.45454544</v>
      </c>
      <c r="BW40" s="22" t="s">
        <v>90</v>
      </c>
      <c r="CA40" s="23">
        <v>1548687808.3636363</v>
      </c>
    </row>
    <row r="41" spans="1:79" ht="21" customHeight="1" x14ac:dyDescent="0.25">
      <c r="A41" s="7">
        <v>1</v>
      </c>
      <c r="B41" s="8" t="s">
        <v>75</v>
      </c>
      <c r="C41" s="7" t="s">
        <v>167</v>
      </c>
      <c r="D41" s="7" t="s">
        <v>168</v>
      </c>
      <c r="E41" s="7" t="s">
        <v>169</v>
      </c>
      <c r="F41" s="8" t="s">
        <v>170</v>
      </c>
      <c r="G41" s="7" t="s">
        <v>171</v>
      </c>
      <c r="H41" s="8" t="s">
        <v>172</v>
      </c>
      <c r="I41" s="9">
        <v>1906030</v>
      </c>
      <c r="J41" s="11" t="s">
        <v>192</v>
      </c>
      <c r="K41" s="11" t="s">
        <v>174</v>
      </c>
      <c r="L41" s="11" t="s">
        <v>84</v>
      </c>
      <c r="M41" s="11" t="s">
        <v>178</v>
      </c>
      <c r="N41" s="11" t="s">
        <v>107</v>
      </c>
      <c r="O41" s="11">
        <v>9</v>
      </c>
      <c r="P41" s="9">
        <v>190603000</v>
      </c>
      <c r="Q41" s="11" t="s">
        <v>193</v>
      </c>
      <c r="R41" s="12" t="s">
        <v>88</v>
      </c>
      <c r="S41" s="13" t="s">
        <v>93</v>
      </c>
      <c r="T41" s="14">
        <v>0</v>
      </c>
      <c r="U41" s="15">
        <v>2500</v>
      </c>
      <c r="V41" s="16">
        <v>625</v>
      </c>
      <c r="W41" s="16">
        <v>625</v>
      </c>
      <c r="X41" s="16">
        <v>625</v>
      </c>
      <c r="Y41" s="16">
        <v>625</v>
      </c>
      <c r="Z41" s="17">
        <v>0</v>
      </c>
      <c r="AA41" s="17">
        <v>0</v>
      </c>
      <c r="AB41" s="17">
        <v>0</v>
      </c>
      <c r="AC41" s="17">
        <f t="shared" si="16"/>
        <v>94959957.454545453</v>
      </c>
      <c r="AD41" s="17">
        <v>0</v>
      </c>
      <c r="AE41" s="17">
        <v>0</v>
      </c>
      <c r="AF41" s="17">
        <v>0</v>
      </c>
      <c r="AG41" s="17">
        <v>0</v>
      </c>
      <c r="AH41" s="17">
        <f t="shared" si="17"/>
        <v>24327949.636363637</v>
      </c>
      <c r="AI41" s="17">
        <v>0</v>
      </c>
      <c r="AJ41" s="17">
        <f t="shared" si="18"/>
        <v>138826727.63636363</v>
      </c>
      <c r="AK41" s="18">
        <f>SUM(PlanIndicativo[[#This Row],[Ingresos Corrientes de Libre Destinación - ICLD (2020)]:[Otros (2020)]])</f>
        <v>258114634.72727272</v>
      </c>
      <c r="AL41" s="17">
        <v>0</v>
      </c>
      <c r="AM41" s="17">
        <v>0</v>
      </c>
      <c r="AN41" s="17">
        <v>0</v>
      </c>
      <c r="AO41" s="17">
        <f t="shared" si="19"/>
        <v>94959957.454545453</v>
      </c>
      <c r="AP41" s="17">
        <v>0</v>
      </c>
      <c r="AQ41" s="17">
        <v>0</v>
      </c>
      <c r="AR41" s="17">
        <v>0</v>
      </c>
      <c r="AS41" s="17">
        <v>0</v>
      </c>
      <c r="AT41" s="17">
        <f t="shared" si="20"/>
        <v>24327949.636363637</v>
      </c>
      <c r="AU41" s="17">
        <v>0</v>
      </c>
      <c r="AV41" s="17">
        <f t="shared" si="21"/>
        <v>138826727.63636363</v>
      </c>
      <c r="AW41" s="19">
        <f>SUM(PlanIndicativo[[#This Row],[Ingresos Corrientes de Libre Destinación - ICLD (2021)]:[Otros  (2021)]])</f>
        <v>258114634.72727272</v>
      </c>
      <c r="AX41" s="17">
        <v>0</v>
      </c>
      <c r="AY41" s="17">
        <v>0</v>
      </c>
      <c r="AZ41" s="17">
        <v>0</v>
      </c>
      <c r="BA41" s="17">
        <f t="shared" si="22"/>
        <v>94959957.454545453</v>
      </c>
      <c r="BB41" s="17">
        <v>0</v>
      </c>
      <c r="BC41" s="17">
        <v>0</v>
      </c>
      <c r="BD41" s="17">
        <v>0</v>
      </c>
      <c r="BE41" s="17">
        <v>0</v>
      </c>
      <c r="BF41" s="17">
        <f t="shared" si="23"/>
        <v>24327949.636363637</v>
      </c>
      <c r="BG41" s="17">
        <v>0</v>
      </c>
      <c r="BH41" s="17">
        <f t="shared" si="24"/>
        <v>138826727.63636363</v>
      </c>
      <c r="BI41" s="20">
        <f>SUM(PlanIndicativo[[#This Row],[Ingresos Corrientes de Libre Destinación - ICLD (2022)]:[Otros   (2022)]])</f>
        <v>258114634.72727272</v>
      </c>
      <c r="BJ41" s="17">
        <v>0</v>
      </c>
      <c r="BK41" s="17">
        <v>0</v>
      </c>
      <c r="BL41" s="17">
        <v>0</v>
      </c>
      <c r="BM41" s="17">
        <f t="shared" si="25"/>
        <v>94959957.454545453</v>
      </c>
      <c r="BN41" s="17">
        <v>0</v>
      </c>
      <c r="BO41" s="17">
        <v>0</v>
      </c>
      <c r="BP41" s="17">
        <v>0</v>
      </c>
      <c r="BQ41" s="17">
        <v>0</v>
      </c>
      <c r="BR41" s="17">
        <f t="shared" si="26"/>
        <v>24327949.636363637</v>
      </c>
      <c r="BS41" s="17">
        <v>0</v>
      </c>
      <c r="BT41" s="17">
        <f t="shared" si="27"/>
        <v>138826727.63636363</v>
      </c>
      <c r="BU41" s="21">
        <f>SUM(PlanIndicativo[[#This Row],[Ingresos Corrientes de Libre Destinación - ICLD (2023)]:[Otros (2023)]])</f>
        <v>258114634.72727272</v>
      </c>
      <c r="BV41" s="21">
        <f>+PlanIndicativo[[#This Row],[Total (2020)]]+PlanIndicativo[[#This Row],[Total  (2021)]]+PlanIndicativo[[#This Row],[Total  (2022)]]+PlanIndicativo[[#This Row],[Total (2023)]]</f>
        <v>1032458538.9090909</v>
      </c>
      <c r="BW41" s="22" t="s">
        <v>90</v>
      </c>
    </row>
    <row r="42" spans="1:79" ht="21" customHeight="1" x14ac:dyDescent="0.25">
      <c r="A42" s="7">
        <v>1</v>
      </c>
      <c r="B42" s="8" t="s">
        <v>75</v>
      </c>
      <c r="C42" s="7" t="s">
        <v>167</v>
      </c>
      <c r="D42" s="7" t="s">
        <v>168</v>
      </c>
      <c r="E42" s="7" t="s">
        <v>169</v>
      </c>
      <c r="F42" s="8" t="s">
        <v>170</v>
      </c>
      <c r="G42" s="7" t="s">
        <v>171</v>
      </c>
      <c r="H42" s="8" t="s">
        <v>172</v>
      </c>
      <c r="I42" s="9">
        <v>1906032</v>
      </c>
      <c r="J42" s="11" t="s">
        <v>194</v>
      </c>
      <c r="K42" s="11" t="s">
        <v>195</v>
      </c>
      <c r="L42" s="11" t="s">
        <v>84</v>
      </c>
      <c r="M42" s="11" t="s">
        <v>175</v>
      </c>
      <c r="N42" s="11" t="s">
        <v>107</v>
      </c>
      <c r="O42" s="11">
        <v>15</v>
      </c>
      <c r="P42" s="9">
        <v>190603200</v>
      </c>
      <c r="Q42" s="11" t="s">
        <v>196</v>
      </c>
      <c r="R42" s="12" t="s">
        <v>88</v>
      </c>
      <c r="S42" s="13" t="s">
        <v>93</v>
      </c>
      <c r="T42" s="14">
        <v>0</v>
      </c>
      <c r="U42" s="15">
        <v>4</v>
      </c>
      <c r="V42" s="16">
        <v>1</v>
      </c>
      <c r="W42" s="16">
        <v>1</v>
      </c>
      <c r="X42" s="16">
        <v>1</v>
      </c>
      <c r="Y42" s="16">
        <v>1</v>
      </c>
      <c r="Z42" s="17">
        <v>0</v>
      </c>
      <c r="AA42" s="17">
        <v>0</v>
      </c>
      <c r="AB42" s="17">
        <v>0</v>
      </c>
      <c r="AC42" s="17">
        <f>1044559532/11*2</f>
        <v>189919914.90909091</v>
      </c>
      <c r="AD42" s="17">
        <v>0</v>
      </c>
      <c r="AE42" s="17">
        <v>0</v>
      </c>
      <c r="AF42" s="17">
        <v>0</v>
      </c>
      <c r="AG42" s="17">
        <v>0</v>
      </c>
      <c r="AH42" s="17">
        <f>267607446/11*2</f>
        <v>48655899.272727273</v>
      </c>
      <c r="AI42" s="17">
        <v>0</v>
      </c>
      <c r="AJ42" s="17">
        <f>1527094004/11*2</f>
        <v>277653455.27272725</v>
      </c>
      <c r="AK42" s="18">
        <f>SUM(PlanIndicativo[[#This Row],[Ingresos Corrientes de Libre Destinación - ICLD (2020)]:[Otros (2020)]])</f>
        <v>516229269.45454544</v>
      </c>
      <c r="AL42" s="17">
        <v>0</v>
      </c>
      <c r="AM42" s="17">
        <v>0</v>
      </c>
      <c r="AN42" s="17">
        <v>0</v>
      </c>
      <c r="AO42" s="17">
        <f>1044559532/11*2</f>
        <v>189919914.90909091</v>
      </c>
      <c r="AP42" s="17">
        <v>0</v>
      </c>
      <c r="AQ42" s="17">
        <v>0</v>
      </c>
      <c r="AR42" s="17">
        <v>0</v>
      </c>
      <c r="AS42" s="17">
        <v>0</v>
      </c>
      <c r="AT42" s="17">
        <f>267607446/11*2</f>
        <v>48655899.272727273</v>
      </c>
      <c r="AU42" s="17">
        <v>0</v>
      </c>
      <c r="AV42" s="17">
        <f>1527094004/11*2</f>
        <v>277653455.27272725</v>
      </c>
      <c r="AW42" s="19">
        <f>SUM(PlanIndicativo[[#This Row],[Ingresos Corrientes de Libre Destinación - ICLD (2021)]:[Otros  (2021)]])</f>
        <v>516229269.45454544</v>
      </c>
      <c r="AX42" s="17">
        <v>0</v>
      </c>
      <c r="AY42" s="17">
        <v>0</v>
      </c>
      <c r="AZ42" s="17">
        <v>0</v>
      </c>
      <c r="BA42" s="17">
        <f t="shared" si="22"/>
        <v>94959957.454545453</v>
      </c>
      <c r="BB42" s="17">
        <v>0</v>
      </c>
      <c r="BC42" s="17">
        <v>0</v>
      </c>
      <c r="BD42" s="17">
        <v>0</v>
      </c>
      <c r="BE42" s="17">
        <v>0</v>
      </c>
      <c r="BF42" s="17">
        <f t="shared" si="23"/>
        <v>24327949.636363637</v>
      </c>
      <c r="BG42" s="17">
        <v>0</v>
      </c>
      <c r="BH42" s="17">
        <f t="shared" si="24"/>
        <v>138826727.63636363</v>
      </c>
      <c r="BI42" s="20">
        <f>SUM(PlanIndicativo[[#This Row],[Ingresos Corrientes de Libre Destinación - ICLD (2022)]:[Otros   (2022)]])</f>
        <v>258114634.72727272</v>
      </c>
      <c r="BJ42" s="17">
        <v>0</v>
      </c>
      <c r="BK42" s="17">
        <v>0</v>
      </c>
      <c r="BL42" s="17">
        <v>0</v>
      </c>
      <c r="BM42" s="17">
        <f t="shared" si="25"/>
        <v>94959957.454545453</v>
      </c>
      <c r="BN42" s="17">
        <v>0</v>
      </c>
      <c r="BO42" s="17">
        <v>0</v>
      </c>
      <c r="BP42" s="17">
        <v>0</v>
      </c>
      <c r="BQ42" s="17">
        <v>0</v>
      </c>
      <c r="BR42" s="17">
        <f t="shared" si="26"/>
        <v>24327949.636363637</v>
      </c>
      <c r="BS42" s="17">
        <v>0</v>
      </c>
      <c r="BT42" s="17">
        <f t="shared" si="27"/>
        <v>138826727.63636363</v>
      </c>
      <c r="BU42" s="21">
        <f>SUM(PlanIndicativo[[#This Row],[Ingresos Corrientes de Libre Destinación - ICLD (2023)]:[Otros (2023)]])</f>
        <v>258114634.72727272</v>
      </c>
      <c r="BV42" s="21">
        <f>+PlanIndicativo[[#This Row],[Total (2020)]]+PlanIndicativo[[#This Row],[Total  (2021)]]+PlanIndicativo[[#This Row],[Total  (2022)]]+PlanIndicativo[[#This Row],[Total (2023)]]</f>
        <v>1548687808.3636363</v>
      </c>
      <c r="BW42" s="22" t="s">
        <v>90</v>
      </c>
    </row>
    <row r="43" spans="1:79" ht="21" customHeight="1" x14ac:dyDescent="0.25">
      <c r="A43" s="7">
        <v>1</v>
      </c>
      <c r="B43" s="8" t="s">
        <v>75</v>
      </c>
      <c r="C43" s="7" t="s">
        <v>167</v>
      </c>
      <c r="D43" s="7" t="s">
        <v>168</v>
      </c>
      <c r="E43" s="7" t="s">
        <v>169</v>
      </c>
      <c r="F43" s="8" t="s">
        <v>170</v>
      </c>
      <c r="G43" s="7" t="s">
        <v>171</v>
      </c>
      <c r="H43" s="8" t="s">
        <v>172</v>
      </c>
      <c r="I43" s="9">
        <v>1906001</v>
      </c>
      <c r="J43" s="11" t="s">
        <v>197</v>
      </c>
      <c r="K43" s="11" t="s">
        <v>174</v>
      </c>
      <c r="L43" s="11" t="s">
        <v>84</v>
      </c>
      <c r="M43" s="11" t="s">
        <v>175</v>
      </c>
      <c r="N43" s="11" t="s">
        <v>107</v>
      </c>
      <c r="O43" s="11">
        <v>4</v>
      </c>
      <c r="P43" s="9">
        <v>190600100</v>
      </c>
      <c r="Q43" s="11" t="s">
        <v>197</v>
      </c>
      <c r="R43" s="12" t="s">
        <v>88</v>
      </c>
      <c r="S43" s="13" t="s">
        <v>93</v>
      </c>
      <c r="T43" s="14">
        <v>0</v>
      </c>
      <c r="U43" s="15">
        <v>1</v>
      </c>
      <c r="V43" s="16">
        <v>0</v>
      </c>
      <c r="W43" s="16">
        <v>0</v>
      </c>
      <c r="X43" s="16">
        <v>1</v>
      </c>
      <c r="Y43" s="16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8">
        <f>SUM(PlanIndicativo[[#This Row],[Ingresos Corrientes de Libre Destinación - ICLD (2020)]:[Otros (2020)]])</f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9">
        <f>SUM(PlanIndicativo[[#This Row],[Ingresos Corrientes de Libre Destinación - ICLD (2021)]:[Otros  (2021)]])</f>
        <v>0</v>
      </c>
      <c r="AX43" s="17">
        <v>0</v>
      </c>
      <c r="AY43" s="17">
        <v>0</v>
      </c>
      <c r="AZ43" s="17">
        <v>0</v>
      </c>
      <c r="BA43" s="17">
        <f t="shared" si="22"/>
        <v>94959957.454545453</v>
      </c>
      <c r="BB43" s="17">
        <v>0</v>
      </c>
      <c r="BC43" s="17">
        <v>0</v>
      </c>
      <c r="BD43" s="17">
        <v>0</v>
      </c>
      <c r="BE43" s="17">
        <v>0</v>
      </c>
      <c r="BF43" s="17">
        <f t="shared" si="23"/>
        <v>24327949.636363637</v>
      </c>
      <c r="BG43" s="17">
        <v>0</v>
      </c>
      <c r="BH43" s="17">
        <f t="shared" si="24"/>
        <v>138826727.63636363</v>
      </c>
      <c r="BI43" s="20">
        <f>SUM(PlanIndicativo[[#This Row],[Ingresos Corrientes de Libre Destinación - ICLD (2022)]:[Otros   (2022)]])</f>
        <v>258114634.72727272</v>
      </c>
      <c r="BJ43" s="17">
        <v>0</v>
      </c>
      <c r="BK43" s="17">
        <v>0</v>
      </c>
      <c r="BL43" s="17">
        <v>0</v>
      </c>
      <c r="BM43" s="17">
        <f t="shared" si="25"/>
        <v>94959957.454545453</v>
      </c>
      <c r="BN43" s="17">
        <v>0</v>
      </c>
      <c r="BO43" s="17">
        <v>0</v>
      </c>
      <c r="BP43" s="17">
        <v>0</v>
      </c>
      <c r="BQ43" s="17">
        <v>0</v>
      </c>
      <c r="BR43" s="17">
        <f t="shared" si="26"/>
        <v>24327949.636363637</v>
      </c>
      <c r="BS43" s="17">
        <v>0</v>
      </c>
      <c r="BT43" s="17">
        <f t="shared" si="27"/>
        <v>138826727.63636363</v>
      </c>
      <c r="BU43" s="21">
        <f>SUM(PlanIndicativo[[#This Row],[Ingresos Corrientes de Libre Destinación - ICLD (2023)]:[Otros (2023)]])</f>
        <v>258114634.72727272</v>
      </c>
      <c r="BV43" s="21">
        <f>+PlanIndicativo[[#This Row],[Total (2020)]]+PlanIndicativo[[#This Row],[Total  (2021)]]+PlanIndicativo[[#This Row],[Total  (2022)]]+PlanIndicativo[[#This Row],[Total (2023)]]</f>
        <v>516229269.45454544</v>
      </c>
      <c r="BW43" s="22" t="s">
        <v>90</v>
      </c>
    </row>
    <row r="44" spans="1:79" ht="21" customHeight="1" x14ac:dyDescent="0.25">
      <c r="A44" s="7">
        <v>1</v>
      </c>
      <c r="B44" s="8" t="s">
        <v>75</v>
      </c>
      <c r="C44" s="7" t="s">
        <v>167</v>
      </c>
      <c r="D44" s="7" t="s">
        <v>168</v>
      </c>
      <c r="E44" s="7" t="s">
        <v>169</v>
      </c>
      <c r="F44" s="8" t="s">
        <v>170</v>
      </c>
      <c r="G44" s="7" t="s">
        <v>198</v>
      </c>
      <c r="H44" s="8" t="s">
        <v>199</v>
      </c>
      <c r="I44" s="9">
        <v>1905019</v>
      </c>
      <c r="J44" s="11" t="s">
        <v>200</v>
      </c>
      <c r="K44" s="11" t="s">
        <v>201</v>
      </c>
      <c r="L44" s="11" t="s">
        <v>84</v>
      </c>
      <c r="M44" s="11" t="s">
        <v>175</v>
      </c>
      <c r="N44" s="11" t="s">
        <v>107</v>
      </c>
      <c r="O44" s="11">
        <v>10</v>
      </c>
      <c r="P44" s="9">
        <v>190501900</v>
      </c>
      <c r="Q44" s="11" t="s">
        <v>202</v>
      </c>
      <c r="R44" s="12" t="s">
        <v>88</v>
      </c>
      <c r="S44" s="13" t="s">
        <v>93</v>
      </c>
      <c r="T44" s="14">
        <v>0</v>
      </c>
      <c r="U44" s="15">
        <v>100</v>
      </c>
      <c r="V44" s="16">
        <v>25</v>
      </c>
      <c r="W44" s="16">
        <v>25</v>
      </c>
      <c r="X44" s="16">
        <v>25</v>
      </c>
      <c r="Y44" s="16">
        <v>25</v>
      </c>
      <c r="Z44" s="17">
        <v>0</v>
      </c>
      <c r="AA44" s="17">
        <v>0</v>
      </c>
      <c r="AB44" s="17">
        <v>0</v>
      </c>
      <c r="AC44" s="17">
        <f>79899926/10*2</f>
        <v>15979985.199999999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8">
        <f>SUM(PlanIndicativo[[#This Row],[Ingresos Corrientes de Libre Destinación - ICLD (2020)]:[Otros (2020)]])</f>
        <v>15979985.199999999</v>
      </c>
      <c r="AL44" s="17">
        <v>0</v>
      </c>
      <c r="AM44" s="17">
        <v>0</v>
      </c>
      <c r="AN44" s="17">
        <v>0</v>
      </c>
      <c r="AO44" s="17">
        <f>79899926/10*2</f>
        <v>15979985.199999999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9">
        <f>SUM(PlanIndicativo[[#This Row],[Ingresos Corrientes de Libre Destinación - ICLD (2021)]:[Otros  (2021)]])</f>
        <v>15979985.199999999</v>
      </c>
      <c r="AX44" s="17">
        <v>0</v>
      </c>
      <c r="AY44" s="17">
        <v>0</v>
      </c>
      <c r="AZ44" s="17">
        <v>0</v>
      </c>
      <c r="BA44" s="17">
        <f t="shared" ref="BA44:BA53" si="28">79899926/10</f>
        <v>7989992.5999999996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20">
        <f>SUM(PlanIndicativo[[#This Row],[Ingresos Corrientes de Libre Destinación - ICLD (2022)]:[Otros   (2022)]])</f>
        <v>7989992.5999999996</v>
      </c>
      <c r="BJ44" s="17">
        <v>0</v>
      </c>
      <c r="BK44" s="17">
        <v>0</v>
      </c>
      <c r="BL44" s="17">
        <v>0</v>
      </c>
      <c r="BM44" s="17">
        <f t="shared" ref="BM44:BM53" si="29">79899926/10</f>
        <v>7989992.5999999996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21">
        <f>SUM(PlanIndicativo[[#This Row],[Ingresos Corrientes de Libre Destinación - ICLD (2023)]:[Otros (2023)]])</f>
        <v>7989992.5999999996</v>
      </c>
      <c r="BV44" s="21">
        <f>+PlanIndicativo[[#This Row],[Total (2020)]]+PlanIndicativo[[#This Row],[Total  (2021)]]+PlanIndicativo[[#This Row],[Total  (2022)]]+PlanIndicativo[[#This Row],[Total (2023)]]</f>
        <v>47939955.600000001</v>
      </c>
      <c r="BW44" s="22" t="s">
        <v>90</v>
      </c>
    </row>
    <row r="45" spans="1:79" ht="21" customHeight="1" x14ac:dyDescent="0.25">
      <c r="A45" s="7">
        <v>1</v>
      </c>
      <c r="B45" s="8" t="s">
        <v>75</v>
      </c>
      <c r="C45" s="7" t="s">
        <v>167</v>
      </c>
      <c r="D45" s="7" t="s">
        <v>168</v>
      </c>
      <c r="E45" s="7" t="s">
        <v>169</v>
      </c>
      <c r="F45" s="8" t="s">
        <v>170</v>
      </c>
      <c r="G45" s="7" t="s">
        <v>198</v>
      </c>
      <c r="H45" s="8" t="s">
        <v>199</v>
      </c>
      <c r="I45" s="9">
        <v>1905017</v>
      </c>
      <c r="J45" s="11" t="s">
        <v>203</v>
      </c>
      <c r="K45" s="11" t="s">
        <v>204</v>
      </c>
      <c r="L45" s="11" t="s">
        <v>84</v>
      </c>
      <c r="M45" s="11" t="s">
        <v>175</v>
      </c>
      <c r="N45" s="11" t="s">
        <v>107</v>
      </c>
      <c r="O45" s="11">
        <v>7</v>
      </c>
      <c r="P45" s="9">
        <v>190501700</v>
      </c>
      <c r="Q45" s="11" t="s">
        <v>203</v>
      </c>
      <c r="R45" s="12" t="s">
        <v>88</v>
      </c>
      <c r="S45" s="13" t="s">
        <v>93</v>
      </c>
      <c r="T45" s="14">
        <v>0</v>
      </c>
      <c r="U45" s="15">
        <v>1</v>
      </c>
      <c r="V45" s="16">
        <v>0</v>
      </c>
      <c r="W45" s="16">
        <v>0</v>
      </c>
      <c r="X45" s="16">
        <v>0</v>
      </c>
      <c r="Y45" s="16">
        <v>1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8">
        <f>SUM(PlanIndicativo[[#This Row],[Ingresos Corrientes de Libre Destinación - ICLD (2020)]:[Otros (2020)]])</f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9">
        <f>SUM(PlanIndicativo[[#This Row],[Ingresos Corrientes de Libre Destinación - ICLD (2021)]:[Otros  (2021)]])</f>
        <v>0</v>
      </c>
      <c r="AX45" s="17">
        <v>0</v>
      </c>
      <c r="AY45" s="17">
        <v>0</v>
      </c>
      <c r="AZ45" s="17">
        <v>0</v>
      </c>
      <c r="BA45" s="17">
        <f t="shared" si="28"/>
        <v>7989992.5999999996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20">
        <f>SUM(PlanIndicativo[[#This Row],[Ingresos Corrientes de Libre Destinación - ICLD (2022)]:[Otros   (2022)]])</f>
        <v>7989992.5999999996</v>
      </c>
      <c r="BJ45" s="17">
        <v>0</v>
      </c>
      <c r="BK45" s="17">
        <v>0</v>
      </c>
      <c r="BL45" s="17">
        <v>0</v>
      </c>
      <c r="BM45" s="17">
        <f t="shared" si="29"/>
        <v>7989992.5999999996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21">
        <f>SUM(PlanIndicativo[[#This Row],[Ingresos Corrientes de Libre Destinación - ICLD (2023)]:[Otros (2023)]])</f>
        <v>7989992.5999999996</v>
      </c>
      <c r="BV45" s="21">
        <f>+PlanIndicativo[[#This Row],[Total (2020)]]+PlanIndicativo[[#This Row],[Total  (2021)]]+PlanIndicativo[[#This Row],[Total  (2022)]]+PlanIndicativo[[#This Row],[Total (2023)]]</f>
        <v>15979985.199999999</v>
      </c>
      <c r="BW45" s="22" t="s">
        <v>90</v>
      </c>
    </row>
    <row r="46" spans="1:79" ht="21" customHeight="1" x14ac:dyDescent="0.25">
      <c r="A46" s="7">
        <v>1</v>
      </c>
      <c r="B46" s="8" t="s">
        <v>75</v>
      </c>
      <c r="C46" s="7" t="s">
        <v>167</v>
      </c>
      <c r="D46" s="7" t="s">
        <v>168</v>
      </c>
      <c r="E46" s="7" t="s">
        <v>169</v>
      </c>
      <c r="F46" s="8" t="s">
        <v>170</v>
      </c>
      <c r="G46" s="7" t="s">
        <v>198</v>
      </c>
      <c r="H46" s="8" t="s">
        <v>199</v>
      </c>
      <c r="I46" s="9">
        <v>1905031</v>
      </c>
      <c r="J46" s="11" t="s">
        <v>205</v>
      </c>
      <c r="K46" s="11" t="s">
        <v>206</v>
      </c>
      <c r="L46" s="11" t="s">
        <v>84</v>
      </c>
      <c r="M46" s="11" t="s">
        <v>175</v>
      </c>
      <c r="N46" s="11" t="s">
        <v>107</v>
      </c>
      <c r="O46" s="11">
        <v>8</v>
      </c>
      <c r="P46" s="9">
        <v>190503100</v>
      </c>
      <c r="Q46" s="11" t="s">
        <v>207</v>
      </c>
      <c r="R46" s="12" t="s">
        <v>88</v>
      </c>
      <c r="S46" s="13" t="s">
        <v>93</v>
      </c>
      <c r="T46" s="14">
        <v>0</v>
      </c>
      <c r="U46" s="15">
        <v>4</v>
      </c>
      <c r="V46" s="16">
        <v>1</v>
      </c>
      <c r="W46" s="16">
        <v>1</v>
      </c>
      <c r="X46" s="16">
        <v>1</v>
      </c>
      <c r="Y46" s="16">
        <v>1</v>
      </c>
      <c r="Z46" s="17">
        <v>0</v>
      </c>
      <c r="AA46" s="17">
        <v>0</v>
      </c>
      <c r="AB46" s="17">
        <v>0</v>
      </c>
      <c r="AC46" s="17">
        <f t="shared" ref="AC46:AC53" si="30">79899926/10</f>
        <v>7989992.5999999996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8">
        <f>SUM(PlanIndicativo[[#This Row],[Ingresos Corrientes de Libre Destinación - ICLD (2020)]:[Otros (2020)]])</f>
        <v>7989992.5999999996</v>
      </c>
      <c r="AL46" s="17">
        <v>0</v>
      </c>
      <c r="AM46" s="17">
        <v>0</v>
      </c>
      <c r="AN46" s="17">
        <v>0</v>
      </c>
      <c r="AO46" s="17">
        <f t="shared" ref="AO46:AO53" si="31">79899926/10</f>
        <v>7989992.5999999996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9">
        <f>SUM(PlanIndicativo[[#This Row],[Ingresos Corrientes de Libre Destinación - ICLD (2021)]:[Otros  (2021)]])</f>
        <v>7989992.5999999996</v>
      </c>
      <c r="AX46" s="17">
        <v>0</v>
      </c>
      <c r="AY46" s="17">
        <v>0</v>
      </c>
      <c r="AZ46" s="17">
        <v>0</v>
      </c>
      <c r="BA46" s="17">
        <f t="shared" si="28"/>
        <v>7989992.5999999996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20">
        <f>SUM(PlanIndicativo[[#This Row],[Ingresos Corrientes de Libre Destinación - ICLD (2022)]:[Otros   (2022)]])</f>
        <v>7989992.5999999996</v>
      </c>
      <c r="BJ46" s="17">
        <v>0</v>
      </c>
      <c r="BK46" s="17">
        <v>0</v>
      </c>
      <c r="BL46" s="17">
        <v>0</v>
      </c>
      <c r="BM46" s="17">
        <f t="shared" si="29"/>
        <v>7989992.5999999996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21">
        <f>SUM(PlanIndicativo[[#This Row],[Ingresos Corrientes de Libre Destinación - ICLD (2023)]:[Otros (2023)]])</f>
        <v>7989992.5999999996</v>
      </c>
      <c r="BV46" s="21">
        <f>+PlanIndicativo[[#This Row],[Total (2020)]]+PlanIndicativo[[#This Row],[Total  (2021)]]+PlanIndicativo[[#This Row],[Total  (2022)]]+PlanIndicativo[[#This Row],[Total (2023)]]</f>
        <v>31959970.399999999</v>
      </c>
      <c r="BW46" s="22" t="s">
        <v>90</v>
      </c>
    </row>
    <row r="47" spans="1:79" ht="21" customHeight="1" x14ac:dyDescent="0.25">
      <c r="A47" s="7">
        <v>1</v>
      </c>
      <c r="B47" s="8" t="s">
        <v>75</v>
      </c>
      <c r="C47" s="7" t="s">
        <v>167</v>
      </c>
      <c r="D47" s="7" t="s">
        <v>168</v>
      </c>
      <c r="E47" s="7" t="s">
        <v>169</v>
      </c>
      <c r="F47" s="8" t="s">
        <v>170</v>
      </c>
      <c r="G47" s="7" t="s">
        <v>198</v>
      </c>
      <c r="H47" s="8" t="s">
        <v>199</v>
      </c>
      <c r="I47" s="9">
        <v>1905020</v>
      </c>
      <c r="J47" s="11" t="s">
        <v>208</v>
      </c>
      <c r="K47" s="11" t="s">
        <v>204</v>
      </c>
      <c r="L47" s="11" t="s">
        <v>84</v>
      </c>
      <c r="M47" s="11" t="s">
        <v>175</v>
      </c>
      <c r="N47" s="11" t="s">
        <v>107</v>
      </c>
      <c r="O47" s="11">
        <v>12</v>
      </c>
      <c r="P47" s="9">
        <v>190502000</v>
      </c>
      <c r="Q47" s="11" t="s">
        <v>209</v>
      </c>
      <c r="R47" s="12" t="s">
        <v>88</v>
      </c>
      <c r="S47" s="13" t="s">
        <v>93</v>
      </c>
      <c r="T47" s="14">
        <v>0</v>
      </c>
      <c r="U47" s="15">
        <v>4</v>
      </c>
      <c r="V47" s="16">
        <v>1</v>
      </c>
      <c r="W47" s="16">
        <v>1</v>
      </c>
      <c r="X47" s="16">
        <v>1</v>
      </c>
      <c r="Y47" s="16">
        <v>1</v>
      </c>
      <c r="Z47" s="17">
        <v>0</v>
      </c>
      <c r="AA47" s="17">
        <v>0</v>
      </c>
      <c r="AB47" s="17">
        <v>0</v>
      </c>
      <c r="AC47" s="17">
        <f t="shared" si="30"/>
        <v>7989992.5999999996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8">
        <f>SUM(PlanIndicativo[[#This Row],[Ingresos Corrientes de Libre Destinación - ICLD (2020)]:[Otros (2020)]])</f>
        <v>7989992.5999999996</v>
      </c>
      <c r="AL47" s="17">
        <v>0</v>
      </c>
      <c r="AM47" s="17">
        <v>0</v>
      </c>
      <c r="AN47" s="17">
        <v>0</v>
      </c>
      <c r="AO47" s="17">
        <f t="shared" si="31"/>
        <v>7989992.5999999996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9">
        <f>SUM(PlanIndicativo[[#This Row],[Ingresos Corrientes de Libre Destinación - ICLD (2021)]:[Otros  (2021)]])</f>
        <v>7989992.5999999996</v>
      </c>
      <c r="AX47" s="17">
        <v>0</v>
      </c>
      <c r="AY47" s="17">
        <v>0</v>
      </c>
      <c r="AZ47" s="17">
        <v>0</v>
      </c>
      <c r="BA47" s="17">
        <f t="shared" si="28"/>
        <v>7989992.5999999996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20">
        <f>SUM(PlanIndicativo[[#This Row],[Ingresos Corrientes de Libre Destinación - ICLD (2022)]:[Otros   (2022)]])</f>
        <v>7989992.5999999996</v>
      </c>
      <c r="BJ47" s="17">
        <v>0</v>
      </c>
      <c r="BK47" s="17">
        <v>0</v>
      </c>
      <c r="BL47" s="17">
        <v>0</v>
      </c>
      <c r="BM47" s="17">
        <f t="shared" si="29"/>
        <v>7989992.5999999996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21">
        <f>SUM(PlanIndicativo[[#This Row],[Ingresos Corrientes de Libre Destinación - ICLD (2023)]:[Otros (2023)]])</f>
        <v>7989992.5999999996</v>
      </c>
      <c r="BV47" s="21">
        <f>+PlanIndicativo[[#This Row],[Total (2020)]]+PlanIndicativo[[#This Row],[Total  (2021)]]+PlanIndicativo[[#This Row],[Total  (2022)]]+PlanIndicativo[[#This Row],[Total (2023)]]</f>
        <v>31959970.399999999</v>
      </c>
      <c r="BW47" s="22" t="s">
        <v>90</v>
      </c>
    </row>
    <row r="48" spans="1:79" ht="21" customHeight="1" x14ac:dyDescent="0.25">
      <c r="A48" s="7">
        <v>1</v>
      </c>
      <c r="B48" s="8" t="s">
        <v>75</v>
      </c>
      <c r="C48" s="7" t="s">
        <v>167</v>
      </c>
      <c r="D48" s="7" t="s">
        <v>168</v>
      </c>
      <c r="E48" s="7" t="s">
        <v>169</v>
      </c>
      <c r="F48" s="8" t="s">
        <v>170</v>
      </c>
      <c r="G48" s="7" t="s">
        <v>198</v>
      </c>
      <c r="H48" s="8" t="s">
        <v>199</v>
      </c>
      <c r="I48" s="9">
        <v>1905021</v>
      </c>
      <c r="J48" s="11" t="s">
        <v>210</v>
      </c>
      <c r="K48" s="10" t="s">
        <v>211</v>
      </c>
      <c r="L48" s="11" t="s">
        <v>84</v>
      </c>
      <c r="M48" s="11" t="s">
        <v>175</v>
      </c>
      <c r="N48" s="11" t="s">
        <v>107</v>
      </c>
      <c r="O48" s="11">
        <v>15</v>
      </c>
      <c r="P48" s="9">
        <v>190502100</v>
      </c>
      <c r="Q48" s="11" t="s">
        <v>212</v>
      </c>
      <c r="R48" s="12" t="s">
        <v>88</v>
      </c>
      <c r="S48" s="13" t="s">
        <v>93</v>
      </c>
      <c r="T48" s="14">
        <v>0</v>
      </c>
      <c r="U48" s="15">
        <v>4</v>
      </c>
      <c r="V48" s="16">
        <v>1</v>
      </c>
      <c r="W48" s="16">
        <v>1</v>
      </c>
      <c r="X48" s="16">
        <v>1</v>
      </c>
      <c r="Y48" s="16">
        <v>1</v>
      </c>
      <c r="Z48" s="17">
        <v>0</v>
      </c>
      <c r="AA48" s="17">
        <v>0</v>
      </c>
      <c r="AB48" s="17">
        <v>0</v>
      </c>
      <c r="AC48" s="17">
        <f t="shared" si="30"/>
        <v>7989992.5999999996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8">
        <f>SUM(PlanIndicativo[[#This Row],[Ingresos Corrientes de Libre Destinación - ICLD (2020)]:[Otros (2020)]])</f>
        <v>7989992.5999999996</v>
      </c>
      <c r="AL48" s="17">
        <v>0</v>
      </c>
      <c r="AM48" s="17">
        <v>0</v>
      </c>
      <c r="AN48" s="17">
        <v>0</v>
      </c>
      <c r="AO48" s="17">
        <f t="shared" si="31"/>
        <v>7989992.5999999996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9">
        <f>SUM(PlanIndicativo[[#This Row],[Ingresos Corrientes de Libre Destinación - ICLD (2021)]:[Otros  (2021)]])</f>
        <v>7989992.5999999996</v>
      </c>
      <c r="AX48" s="17">
        <v>0</v>
      </c>
      <c r="AY48" s="17">
        <v>0</v>
      </c>
      <c r="AZ48" s="17">
        <v>0</v>
      </c>
      <c r="BA48" s="17">
        <f t="shared" si="28"/>
        <v>7989992.5999999996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20">
        <f>SUM(PlanIndicativo[[#This Row],[Ingresos Corrientes de Libre Destinación - ICLD (2022)]:[Otros   (2022)]])</f>
        <v>7989992.5999999996</v>
      </c>
      <c r="BJ48" s="17">
        <v>0</v>
      </c>
      <c r="BK48" s="17">
        <v>0</v>
      </c>
      <c r="BL48" s="17">
        <v>0</v>
      </c>
      <c r="BM48" s="17">
        <f t="shared" si="29"/>
        <v>7989992.5999999996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21">
        <f>SUM(PlanIndicativo[[#This Row],[Ingresos Corrientes de Libre Destinación - ICLD (2023)]:[Otros (2023)]])</f>
        <v>7989992.5999999996</v>
      </c>
      <c r="BV48" s="21">
        <f>+PlanIndicativo[[#This Row],[Total (2020)]]+PlanIndicativo[[#This Row],[Total  (2021)]]+PlanIndicativo[[#This Row],[Total  (2022)]]+PlanIndicativo[[#This Row],[Total (2023)]]</f>
        <v>31959970.399999999</v>
      </c>
      <c r="BW48" s="22" t="s">
        <v>90</v>
      </c>
    </row>
    <row r="49" spans="1:75" ht="21" customHeight="1" x14ac:dyDescent="0.25">
      <c r="A49" s="7">
        <v>1</v>
      </c>
      <c r="B49" s="8" t="s">
        <v>75</v>
      </c>
      <c r="C49" s="7" t="s">
        <v>167</v>
      </c>
      <c r="D49" s="7" t="s">
        <v>168</v>
      </c>
      <c r="E49" s="7" t="s">
        <v>169</v>
      </c>
      <c r="F49" s="8" t="s">
        <v>170</v>
      </c>
      <c r="G49" s="7" t="s">
        <v>198</v>
      </c>
      <c r="H49" s="8" t="s">
        <v>199</v>
      </c>
      <c r="I49" s="9">
        <v>1905024</v>
      </c>
      <c r="J49" s="25" t="s">
        <v>213</v>
      </c>
      <c r="K49" s="25" t="s">
        <v>204</v>
      </c>
      <c r="L49" s="11" t="s">
        <v>84</v>
      </c>
      <c r="M49" s="11" t="s">
        <v>175</v>
      </c>
      <c r="N49" s="11" t="s">
        <v>107</v>
      </c>
      <c r="O49" s="25">
        <v>10</v>
      </c>
      <c r="P49" s="9">
        <v>190502400</v>
      </c>
      <c r="Q49" s="25" t="s">
        <v>214</v>
      </c>
      <c r="R49" s="12" t="s">
        <v>88</v>
      </c>
      <c r="S49" s="13" t="s">
        <v>93</v>
      </c>
      <c r="T49" s="14">
        <v>0</v>
      </c>
      <c r="U49" s="15">
        <v>4</v>
      </c>
      <c r="V49" s="16">
        <v>1</v>
      </c>
      <c r="W49" s="16">
        <v>1</v>
      </c>
      <c r="X49" s="16">
        <v>1</v>
      </c>
      <c r="Y49" s="16">
        <v>1</v>
      </c>
      <c r="Z49" s="17">
        <v>0</v>
      </c>
      <c r="AA49" s="17">
        <v>0</v>
      </c>
      <c r="AB49" s="17">
        <v>0</v>
      </c>
      <c r="AC49" s="17">
        <f t="shared" si="30"/>
        <v>7989992.5999999996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8">
        <f>SUM(PlanIndicativo[[#This Row],[Ingresos Corrientes de Libre Destinación - ICLD (2020)]:[Otros (2020)]])</f>
        <v>7989992.5999999996</v>
      </c>
      <c r="AL49" s="17">
        <v>0</v>
      </c>
      <c r="AM49" s="17">
        <v>0</v>
      </c>
      <c r="AN49" s="17">
        <v>0</v>
      </c>
      <c r="AO49" s="17">
        <f t="shared" si="31"/>
        <v>7989992.5999999996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9">
        <f>SUM(PlanIndicativo[[#This Row],[Ingresos Corrientes de Libre Destinación - ICLD (2021)]:[Otros  (2021)]])</f>
        <v>7989992.5999999996</v>
      </c>
      <c r="AX49" s="17">
        <v>0</v>
      </c>
      <c r="AY49" s="17">
        <v>0</v>
      </c>
      <c r="AZ49" s="17">
        <v>0</v>
      </c>
      <c r="BA49" s="17">
        <f t="shared" si="28"/>
        <v>7989992.5999999996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20">
        <f>SUM(PlanIndicativo[[#This Row],[Ingresos Corrientes de Libre Destinación - ICLD (2022)]:[Otros   (2022)]])</f>
        <v>7989992.5999999996</v>
      </c>
      <c r="BJ49" s="17">
        <v>0</v>
      </c>
      <c r="BK49" s="17">
        <v>0</v>
      </c>
      <c r="BL49" s="17">
        <v>0</v>
      </c>
      <c r="BM49" s="17">
        <f t="shared" si="29"/>
        <v>7989992.5999999996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21">
        <f>SUM(PlanIndicativo[[#This Row],[Ingresos Corrientes de Libre Destinación - ICLD (2023)]:[Otros (2023)]])</f>
        <v>7989992.5999999996</v>
      </c>
      <c r="BV49" s="21">
        <f>+PlanIndicativo[[#This Row],[Total (2020)]]+PlanIndicativo[[#This Row],[Total  (2021)]]+PlanIndicativo[[#This Row],[Total  (2022)]]+PlanIndicativo[[#This Row],[Total (2023)]]</f>
        <v>31959970.399999999</v>
      </c>
      <c r="BW49" s="22" t="s">
        <v>90</v>
      </c>
    </row>
    <row r="50" spans="1:75" ht="21" customHeight="1" x14ac:dyDescent="0.25">
      <c r="A50" s="7">
        <v>1</v>
      </c>
      <c r="B50" s="8" t="s">
        <v>75</v>
      </c>
      <c r="C50" s="7" t="s">
        <v>167</v>
      </c>
      <c r="D50" s="7" t="s">
        <v>168</v>
      </c>
      <c r="E50" s="7" t="s">
        <v>169</v>
      </c>
      <c r="F50" s="8" t="s">
        <v>170</v>
      </c>
      <c r="G50" s="7" t="s">
        <v>198</v>
      </c>
      <c r="H50" s="8" t="s">
        <v>199</v>
      </c>
      <c r="I50" s="9">
        <v>1905025</v>
      </c>
      <c r="J50" s="25" t="s">
        <v>215</v>
      </c>
      <c r="K50" s="25" t="s">
        <v>204</v>
      </c>
      <c r="L50" s="11" t="s">
        <v>84</v>
      </c>
      <c r="M50" s="11" t="s">
        <v>175</v>
      </c>
      <c r="N50" s="11" t="s">
        <v>107</v>
      </c>
      <c r="O50" s="25">
        <v>15</v>
      </c>
      <c r="P50" s="9">
        <v>190502500</v>
      </c>
      <c r="Q50" s="25" t="s">
        <v>216</v>
      </c>
      <c r="R50" s="12" t="s">
        <v>88</v>
      </c>
      <c r="S50" s="13" t="s">
        <v>93</v>
      </c>
      <c r="T50" s="14">
        <v>0</v>
      </c>
      <c r="U50" s="15">
        <v>4</v>
      </c>
      <c r="V50" s="16">
        <v>1</v>
      </c>
      <c r="W50" s="16">
        <v>1</v>
      </c>
      <c r="X50" s="16">
        <v>1</v>
      </c>
      <c r="Y50" s="16">
        <v>1</v>
      </c>
      <c r="Z50" s="17">
        <v>0</v>
      </c>
      <c r="AA50" s="17">
        <v>0</v>
      </c>
      <c r="AB50" s="17">
        <v>0</v>
      </c>
      <c r="AC50" s="17">
        <f t="shared" si="30"/>
        <v>7989992.5999999996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8">
        <f>SUM(PlanIndicativo[[#This Row],[Ingresos Corrientes de Libre Destinación - ICLD (2020)]:[Otros (2020)]])</f>
        <v>7989992.5999999996</v>
      </c>
      <c r="AL50" s="17">
        <v>0</v>
      </c>
      <c r="AM50" s="17">
        <v>0</v>
      </c>
      <c r="AN50" s="17">
        <v>0</v>
      </c>
      <c r="AO50" s="17">
        <f t="shared" si="31"/>
        <v>7989992.5999999996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9">
        <f>SUM(PlanIndicativo[[#This Row],[Ingresos Corrientes de Libre Destinación - ICLD (2021)]:[Otros  (2021)]])</f>
        <v>7989992.5999999996</v>
      </c>
      <c r="AX50" s="17">
        <v>0</v>
      </c>
      <c r="AY50" s="17">
        <v>0</v>
      </c>
      <c r="AZ50" s="17">
        <v>0</v>
      </c>
      <c r="BA50" s="17">
        <f t="shared" si="28"/>
        <v>7989992.5999999996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20">
        <f>SUM(PlanIndicativo[[#This Row],[Ingresos Corrientes de Libre Destinación - ICLD (2022)]:[Otros   (2022)]])</f>
        <v>7989992.5999999996</v>
      </c>
      <c r="BJ50" s="17">
        <v>0</v>
      </c>
      <c r="BK50" s="17">
        <v>0</v>
      </c>
      <c r="BL50" s="17">
        <v>0</v>
      </c>
      <c r="BM50" s="17">
        <f t="shared" si="29"/>
        <v>7989992.5999999996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21">
        <f>SUM(PlanIndicativo[[#This Row],[Ingresos Corrientes de Libre Destinación - ICLD (2023)]:[Otros (2023)]])</f>
        <v>7989992.5999999996</v>
      </c>
      <c r="BV50" s="21">
        <f>+PlanIndicativo[[#This Row],[Total (2020)]]+PlanIndicativo[[#This Row],[Total  (2021)]]+PlanIndicativo[[#This Row],[Total  (2022)]]+PlanIndicativo[[#This Row],[Total (2023)]]</f>
        <v>31959970.399999999</v>
      </c>
      <c r="BW50" s="22" t="s">
        <v>90</v>
      </c>
    </row>
    <row r="51" spans="1:75" ht="21" customHeight="1" x14ac:dyDescent="0.25">
      <c r="A51" s="7">
        <v>1</v>
      </c>
      <c r="B51" s="8" t="s">
        <v>75</v>
      </c>
      <c r="C51" s="7" t="s">
        <v>167</v>
      </c>
      <c r="D51" s="7" t="s">
        <v>168</v>
      </c>
      <c r="E51" s="7" t="s">
        <v>169</v>
      </c>
      <c r="F51" s="8" t="s">
        <v>170</v>
      </c>
      <c r="G51" s="7" t="s">
        <v>198</v>
      </c>
      <c r="H51" s="8" t="s">
        <v>199</v>
      </c>
      <c r="I51" s="9">
        <v>1905026</v>
      </c>
      <c r="J51" s="25" t="s">
        <v>217</v>
      </c>
      <c r="K51" s="25" t="s">
        <v>204</v>
      </c>
      <c r="L51" s="11" t="s">
        <v>84</v>
      </c>
      <c r="M51" s="11" t="s">
        <v>175</v>
      </c>
      <c r="N51" s="11" t="s">
        <v>107</v>
      </c>
      <c r="O51" s="25">
        <v>8</v>
      </c>
      <c r="P51" s="9">
        <v>190502600</v>
      </c>
      <c r="Q51" s="25" t="s">
        <v>218</v>
      </c>
      <c r="R51" s="12" t="s">
        <v>88</v>
      </c>
      <c r="S51" s="13" t="s">
        <v>93</v>
      </c>
      <c r="T51" s="14">
        <v>0</v>
      </c>
      <c r="U51" s="15">
        <v>4</v>
      </c>
      <c r="V51" s="16">
        <v>1</v>
      </c>
      <c r="W51" s="16">
        <v>1</v>
      </c>
      <c r="X51" s="16">
        <v>1</v>
      </c>
      <c r="Y51" s="16">
        <v>1</v>
      </c>
      <c r="Z51" s="17">
        <v>0</v>
      </c>
      <c r="AA51" s="17">
        <v>0</v>
      </c>
      <c r="AB51" s="17">
        <v>0</v>
      </c>
      <c r="AC51" s="17">
        <f t="shared" si="30"/>
        <v>7989992.5999999996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8">
        <f>SUM(PlanIndicativo[[#This Row],[Ingresos Corrientes de Libre Destinación - ICLD (2020)]:[Otros (2020)]])</f>
        <v>7989992.5999999996</v>
      </c>
      <c r="AL51" s="17">
        <v>0</v>
      </c>
      <c r="AM51" s="17">
        <v>0</v>
      </c>
      <c r="AN51" s="17">
        <v>0</v>
      </c>
      <c r="AO51" s="17">
        <f t="shared" si="31"/>
        <v>7989992.5999999996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9">
        <f>SUM(PlanIndicativo[[#This Row],[Ingresos Corrientes de Libre Destinación - ICLD (2021)]:[Otros  (2021)]])</f>
        <v>7989992.5999999996</v>
      </c>
      <c r="AX51" s="17">
        <v>0</v>
      </c>
      <c r="AY51" s="17">
        <v>0</v>
      </c>
      <c r="AZ51" s="17">
        <v>0</v>
      </c>
      <c r="BA51" s="17">
        <f t="shared" si="28"/>
        <v>7989992.5999999996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20">
        <f>SUM(PlanIndicativo[[#This Row],[Ingresos Corrientes de Libre Destinación - ICLD (2022)]:[Otros   (2022)]])</f>
        <v>7989992.5999999996</v>
      </c>
      <c r="BJ51" s="17">
        <v>0</v>
      </c>
      <c r="BK51" s="17">
        <v>0</v>
      </c>
      <c r="BL51" s="17">
        <v>0</v>
      </c>
      <c r="BM51" s="17">
        <f t="shared" si="29"/>
        <v>7989992.5999999996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21">
        <f>SUM(PlanIndicativo[[#This Row],[Ingresos Corrientes de Libre Destinación - ICLD (2023)]:[Otros (2023)]])</f>
        <v>7989992.5999999996</v>
      </c>
      <c r="BV51" s="21">
        <f>+PlanIndicativo[[#This Row],[Total (2020)]]+PlanIndicativo[[#This Row],[Total  (2021)]]+PlanIndicativo[[#This Row],[Total  (2022)]]+PlanIndicativo[[#This Row],[Total (2023)]]</f>
        <v>31959970.399999999</v>
      </c>
      <c r="BW51" s="22" t="s">
        <v>90</v>
      </c>
    </row>
    <row r="52" spans="1:75" ht="21" customHeight="1" x14ac:dyDescent="0.25">
      <c r="A52" s="7">
        <v>1</v>
      </c>
      <c r="B52" s="8" t="s">
        <v>75</v>
      </c>
      <c r="C52" s="7" t="s">
        <v>167</v>
      </c>
      <c r="D52" s="7" t="s">
        <v>168</v>
      </c>
      <c r="E52" s="7" t="s">
        <v>169</v>
      </c>
      <c r="F52" s="8" t="s">
        <v>170</v>
      </c>
      <c r="G52" s="7" t="s">
        <v>198</v>
      </c>
      <c r="H52" s="8" t="s">
        <v>199</v>
      </c>
      <c r="I52" s="9">
        <v>1905027</v>
      </c>
      <c r="J52" s="25" t="s">
        <v>219</v>
      </c>
      <c r="K52" s="25" t="s">
        <v>220</v>
      </c>
      <c r="L52" s="11" t="s">
        <v>84</v>
      </c>
      <c r="M52" s="11" t="s">
        <v>175</v>
      </c>
      <c r="N52" s="11" t="s">
        <v>107</v>
      </c>
      <c r="O52" s="25">
        <v>8</v>
      </c>
      <c r="P52" s="9">
        <v>190502700</v>
      </c>
      <c r="Q52" s="25" t="s">
        <v>221</v>
      </c>
      <c r="R52" s="12" t="s">
        <v>88</v>
      </c>
      <c r="S52" s="13" t="s">
        <v>93</v>
      </c>
      <c r="T52" s="14">
        <v>0</v>
      </c>
      <c r="U52" s="15">
        <v>4</v>
      </c>
      <c r="V52" s="16">
        <v>1</v>
      </c>
      <c r="W52" s="16">
        <v>1</v>
      </c>
      <c r="X52" s="16">
        <v>1</v>
      </c>
      <c r="Y52" s="16">
        <v>1</v>
      </c>
      <c r="Z52" s="17">
        <v>0</v>
      </c>
      <c r="AA52" s="17">
        <v>0</v>
      </c>
      <c r="AB52" s="17">
        <v>0</v>
      </c>
      <c r="AC52" s="17">
        <f t="shared" si="30"/>
        <v>7989992.5999999996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8">
        <f>SUM(PlanIndicativo[[#This Row],[Ingresos Corrientes de Libre Destinación - ICLD (2020)]:[Otros (2020)]])</f>
        <v>7989992.5999999996</v>
      </c>
      <c r="AL52" s="17">
        <v>0</v>
      </c>
      <c r="AM52" s="17">
        <v>0</v>
      </c>
      <c r="AN52" s="17">
        <v>0</v>
      </c>
      <c r="AO52" s="17">
        <f t="shared" si="31"/>
        <v>7989992.5999999996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9">
        <f>SUM(PlanIndicativo[[#This Row],[Ingresos Corrientes de Libre Destinación - ICLD (2021)]:[Otros  (2021)]])</f>
        <v>7989992.5999999996</v>
      </c>
      <c r="AX52" s="17">
        <v>0</v>
      </c>
      <c r="AY52" s="17">
        <v>0</v>
      </c>
      <c r="AZ52" s="17">
        <v>0</v>
      </c>
      <c r="BA52" s="17">
        <f t="shared" si="28"/>
        <v>7989992.5999999996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20">
        <f>SUM(PlanIndicativo[[#This Row],[Ingresos Corrientes de Libre Destinación - ICLD (2022)]:[Otros   (2022)]])</f>
        <v>7989992.5999999996</v>
      </c>
      <c r="BJ52" s="17">
        <v>0</v>
      </c>
      <c r="BK52" s="17">
        <v>0</v>
      </c>
      <c r="BL52" s="17">
        <v>0</v>
      </c>
      <c r="BM52" s="17">
        <f t="shared" si="29"/>
        <v>7989992.5999999996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21">
        <f>SUM(PlanIndicativo[[#This Row],[Ingresos Corrientes de Libre Destinación - ICLD (2023)]:[Otros (2023)]])</f>
        <v>7989992.5999999996</v>
      </c>
      <c r="BV52" s="21">
        <f>+PlanIndicativo[[#This Row],[Total (2020)]]+PlanIndicativo[[#This Row],[Total  (2021)]]+PlanIndicativo[[#This Row],[Total  (2022)]]+PlanIndicativo[[#This Row],[Total (2023)]]</f>
        <v>31959970.399999999</v>
      </c>
      <c r="BW52" s="22" t="s">
        <v>90</v>
      </c>
    </row>
    <row r="53" spans="1:75" ht="21" customHeight="1" x14ac:dyDescent="0.25">
      <c r="A53" s="7">
        <v>1</v>
      </c>
      <c r="B53" s="8" t="s">
        <v>75</v>
      </c>
      <c r="C53" s="7" t="s">
        <v>167</v>
      </c>
      <c r="D53" s="7" t="s">
        <v>168</v>
      </c>
      <c r="E53" s="7" t="s">
        <v>169</v>
      </c>
      <c r="F53" s="8" t="s">
        <v>170</v>
      </c>
      <c r="G53" s="7" t="s">
        <v>198</v>
      </c>
      <c r="H53" s="8" t="s">
        <v>199</v>
      </c>
      <c r="I53" s="9">
        <v>1905022</v>
      </c>
      <c r="J53" s="25" t="s">
        <v>222</v>
      </c>
      <c r="K53" s="25" t="s">
        <v>204</v>
      </c>
      <c r="L53" s="11" t="s">
        <v>84</v>
      </c>
      <c r="M53" s="11" t="s">
        <v>175</v>
      </c>
      <c r="N53" s="11" t="s">
        <v>107</v>
      </c>
      <c r="O53" s="25">
        <v>7</v>
      </c>
      <c r="P53" s="9">
        <v>190502200</v>
      </c>
      <c r="Q53" s="25" t="s">
        <v>223</v>
      </c>
      <c r="R53" s="12" t="s">
        <v>88</v>
      </c>
      <c r="S53" s="13" t="s">
        <v>93</v>
      </c>
      <c r="T53" s="14">
        <v>0</v>
      </c>
      <c r="U53" s="15">
        <v>4</v>
      </c>
      <c r="V53" s="16">
        <v>1</v>
      </c>
      <c r="W53" s="16">
        <v>1</v>
      </c>
      <c r="X53" s="16">
        <v>1</v>
      </c>
      <c r="Y53" s="16">
        <v>1</v>
      </c>
      <c r="Z53" s="17">
        <v>0</v>
      </c>
      <c r="AA53" s="17">
        <v>0</v>
      </c>
      <c r="AB53" s="17">
        <v>0</v>
      </c>
      <c r="AC53" s="17">
        <f t="shared" si="30"/>
        <v>7989992.5999999996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8">
        <f>SUM(PlanIndicativo[[#This Row],[Ingresos Corrientes de Libre Destinación - ICLD (2020)]:[Otros (2020)]])</f>
        <v>7989992.5999999996</v>
      </c>
      <c r="AL53" s="17">
        <v>0</v>
      </c>
      <c r="AM53" s="17">
        <v>0</v>
      </c>
      <c r="AN53" s="17">
        <v>0</v>
      </c>
      <c r="AO53" s="17">
        <f t="shared" si="31"/>
        <v>7989992.5999999996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9">
        <f>SUM(PlanIndicativo[[#This Row],[Ingresos Corrientes de Libre Destinación - ICLD (2021)]:[Otros  (2021)]])</f>
        <v>7989992.5999999996</v>
      </c>
      <c r="AX53" s="17">
        <v>0</v>
      </c>
      <c r="AY53" s="17">
        <v>0</v>
      </c>
      <c r="AZ53" s="17">
        <v>0</v>
      </c>
      <c r="BA53" s="17">
        <f t="shared" si="28"/>
        <v>7989992.5999999996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20">
        <f>SUM(PlanIndicativo[[#This Row],[Ingresos Corrientes de Libre Destinación - ICLD (2022)]:[Otros   (2022)]])</f>
        <v>7989992.5999999996</v>
      </c>
      <c r="BJ53" s="17">
        <v>0</v>
      </c>
      <c r="BK53" s="17">
        <v>0</v>
      </c>
      <c r="BL53" s="17">
        <v>0</v>
      </c>
      <c r="BM53" s="17">
        <f t="shared" si="29"/>
        <v>7989992.5999999996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21">
        <f>SUM(PlanIndicativo[[#This Row],[Ingresos Corrientes de Libre Destinación - ICLD (2023)]:[Otros (2023)]])</f>
        <v>7989992.5999999996</v>
      </c>
      <c r="BV53" s="21">
        <f>+PlanIndicativo[[#This Row],[Total (2020)]]+PlanIndicativo[[#This Row],[Total  (2021)]]+PlanIndicativo[[#This Row],[Total  (2022)]]+PlanIndicativo[[#This Row],[Total (2023)]]</f>
        <v>31959970.399999999</v>
      </c>
      <c r="BW53" s="22" t="s">
        <v>90</v>
      </c>
    </row>
    <row r="54" spans="1:75" ht="21" customHeight="1" x14ac:dyDescent="0.25">
      <c r="A54" s="7">
        <v>1</v>
      </c>
      <c r="B54" s="8" t="s">
        <v>75</v>
      </c>
      <c r="C54" s="7" t="s">
        <v>167</v>
      </c>
      <c r="D54" s="7" t="s">
        <v>168</v>
      </c>
      <c r="E54" s="7" t="s">
        <v>169</v>
      </c>
      <c r="F54" s="8" t="s">
        <v>170</v>
      </c>
      <c r="G54" s="7" t="s">
        <v>224</v>
      </c>
      <c r="H54" s="8" t="s">
        <v>225</v>
      </c>
      <c r="I54" s="9">
        <v>1903002</v>
      </c>
      <c r="J54" s="11" t="s">
        <v>226</v>
      </c>
      <c r="K54" s="11" t="s">
        <v>204</v>
      </c>
      <c r="L54" s="11" t="s">
        <v>84</v>
      </c>
      <c r="M54" s="11" t="s">
        <v>175</v>
      </c>
      <c r="N54" s="11" t="s">
        <v>107</v>
      </c>
      <c r="O54" s="11">
        <v>25</v>
      </c>
      <c r="P54" s="9">
        <v>190300200</v>
      </c>
      <c r="Q54" s="11" t="s">
        <v>227</v>
      </c>
      <c r="R54" s="12" t="s">
        <v>88</v>
      </c>
      <c r="S54" s="13" t="s">
        <v>93</v>
      </c>
      <c r="T54" s="14">
        <v>0</v>
      </c>
      <c r="U54" s="15">
        <v>3</v>
      </c>
      <c r="V54" s="16">
        <v>0</v>
      </c>
      <c r="W54" s="16">
        <v>1</v>
      </c>
      <c r="X54" s="16">
        <v>1</v>
      </c>
      <c r="Y54" s="16">
        <v>1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8">
        <f>SUM(PlanIndicativo[[#This Row],[Ingresos Corrientes de Libre Destinación - ICLD (2020)]:[Otros (2020)]])</f>
        <v>0</v>
      </c>
      <c r="AL54" s="17">
        <v>0</v>
      </c>
      <c r="AM54" s="17">
        <v>0</v>
      </c>
      <c r="AN54" s="17">
        <v>0</v>
      </c>
      <c r="AO54" s="17">
        <f>132943105/4</f>
        <v>33235776.25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9">
        <f>SUM(PlanIndicativo[[#This Row],[Ingresos Corrientes de Libre Destinación - ICLD (2021)]:[Otros  (2021)]])</f>
        <v>33235776.25</v>
      </c>
      <c r="AX54" s="17">
        <v>0</v>
      </c>
      <c r="AY54" s="17">
        <v>0</v>
      </c>
      <c r="AZ54" s="17">
        <v>0</v>
      </c>
      <c r="BA54" s="17">
        <f>132943105/4</f>
        <v>33235776.25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20">
        <f>SUM(PlanIndicativo[[#This Row],[Ingresos Corrientes de Libre Destinación - ICLD (2022)]:[Otros   (2022)]])</f>
        <v>33235776.25</v>
      </c>
      <c r="BJ54" s="17">
        <v>0</v>
      </c>
      <c r="BK54" s="17">
        <v>0</v>
      </c>
      <c r="BL54" s="17">
        <v>0</v>
      </c>
      <c r="BM54" s="17">
        <f>132943105/4</f>
        <v>33235776.25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21">
        <f>SUM(PlanIndicativo[[#This Row],[Ingresos Corrientes de Libre Destinación - ICLD (2023)]:[Otros (2023)]])</f>
        <v>33235776.25</v>
      </c>
      <c r="BV54" s="21">
        <f>+PlanIndicativo[[#This Row],[Total (2020)]]+PlanIndicativo[[#This Row],[Total  (2021)]]+PlanIndicativo[[#This Row],[Total  (2022)]]+PlanIndicativo[[#This Row],[Total (2023)]]</f>
        <v>99707328.75</v>
      </c>
      <c r="BW54" s="22" t="s">
        <v>90</v>
      </c>
    </row>
    <row r="55" spans="1:75" ht="21" customHeight="1" x14ac:dyDescent="0.25">
      <c r="A55" s="7">
        <v>1</v>
      </c>
      <c r="B55" s="8" t="s">
        <v>75</v>
      </c>
      <c r="C55" s="7" t="s">
        <v>167</v>
      </c>
      <c r="D55" s="7" t="s">
        <v>168</v>
      </c>
      <c r="E55" s="7" t="s">
        <v>169</v>
      </c>
      <c r="F55" s="8" t="s">
        <v>170</v>
      </c>
      <c r="G55" s="7" t="s">
        <v>224</v>
      </c>
      <c r="H55" s="8" t="s">
        <v>225</v>
      </c>
      <c r="I55" s="9">
        <v>1903028</v>
      </c>
      <c r="J55" s="11" t="s">
        <v>228</v>
      </c>
      <c r="K55" s="11" t="s">
        <v>204</v>
      </c>
      <c r="L55" s="11" t="s">
        <v>84</v>
      </c>
      <c r="M55" s="11" t="s">
        <v>175</v>
      </c>
      <c r="N55" s="11" t="s">
        <v>107</v>
      </c>
      <c r="O55" s="11">
        <v>25</v>
      </c>
      <c r="P55" s="9">
        <v>190302800</v>
      </c>
      <c r="Q55" s="11" t="s">
        <v>229</v>
      </c>
      <c r="R55" s="12" t="s">
        <v>88</v>
      </c>
      <c r="S55" s="13" t="s">
        <v>93</v>
      </c>
      <c r="T55" s="14">
        <v>0</v>
      </c>
      <c r="U55" s="15">
        <v>64</v>
      </c>
      <c r="V55" s="14">
        <v>16</v>
      </c>
      <c r="W55" s="14">
        <v>16</v>
      </c>
      <c r="X55" s="14">
        <v>16</v>
      </c>
      <c r="Y55" s="14">
        <v>16</v>
      </c>
      <c r="Z55" s="17">
        <v>0</v>
      </c>
      <c r="AA55" s="17">
        <v>0</v>
      </c>
      <c r="AB55" s="17">
        <v>0</v>
      </c>
      <c r="AC55" s="17">
        <f>132943105/4*2</f>
        <v>66471552.5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8">
        <f>SUM(PlanIndicativo[[#This Row],[Ingresos Corrientes de Libre Destinación - ICLD (2020)]:[Otros (2020)]])</f>
        <v>66471552.5</v>
      </c>
      <c r="AL55" s="17">
        <v>0</v>
      </c>
      <c r="AM55" s="17">
        <v>0</v>
      </c>
      <c r="AN55" s="17">
        <v>0</v>
      </c>
      <c r="AO55" s="17">
        <f>132943105/4</f>
        <v>33235776.25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9">
        <f>SUM(PlanIndicativo[[#This Row],[Ingresos Corrientes de Libre Destinación - ICLD (2021)]:[Otros  (2021)]])</f>
        <v>33235776.25</v>
      </c>
      <c r="AX55" s="17">
        <v>0</v>
      </c>
      <c r="AY55" s="17">
        <v>0</v>
      </c>
      <c r="AZ55" s="17">
        <v>0</v>
      </c>
      <c r="BA55" s="17">
        <f>132943105/4</f>
        <v>33235776.25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20">
        <f>SUM(PlanIndicativo[[#This Row],[Ingresos Corrientes de Libre Destinación - ICLD (2022)]:[Otros   (2022)]])</f>
        <v>33235776.25</v>
      </c>
      <c r="BJ55" s="17">
        <v>0</v>
      </c>
      <c r="BK55" s="17">
        <v>0</v>
      </c>
      <c r="BL55" s="17">
        <v>0</v>
      </c>
      <c r="BM55" s="17">
        <f>132943105/4</f>
        <v>33235776.25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21">
        <f>SUM(PlanIndicativo[[#This Row],[Ingresos Corrientes de Libre Destinación - ICLD (2023)]:[Otros (2023)]])</f>
        <v>33235776.25</v>
      </c>
      <c r="BV55" s="21">
        <f>+PlanIndicativo[[#This Row],[Total (2020)]]+PlanIndicativo[[#This Row],[Total  (2021)]]+PlanIndicativo[[#This Row],[Total  (2022)]]+PlanIndicativo[[#This Row],[Total (2023)]]</f>
        <v>166178881.25</v>
      </c>
      <c r="BW55" s="22" t="s">
        <v>90</v>
      </c>
    </row>
    <row r="56" spans="1:75" ht="21" customHeight="1" x14ac:dyDescent="0.25">
      <c r="A56" s="7">
        <v>1</v>
      </c>
      <c r="B56" s="8" t="s">
        <v>75</v>
      </c>
      <c r="C56" s="7" t="s">
        <v>167</v>
      </c>
      <c r="D56" s="7" t="s">
        <v>168</v>
      </c>
      <c r="E56" s="7" t="s">
        <v>169</v>
      </c>
      <c r="F56" s="8" t="s">
        <v>170</v>
      </c>
      <c r="G56" s="7" t="s">
        <v>224</v>
      </c>
      <c r="H56" s="8" t="s">
        <v>225</v>
      </c>
      <c r="I56" s="9">
        <v>1903011</v>
      </c>
      <c r="J56" s="11" t="s">
        <v>230</v>
      </c>
      <c r="K56" s="11" t="s">
        <v>204</v>
      </c>
      <c r="L56" s="11" t="s">
        <v>84</v>
      </c>
      <c r="M56" s="11" t="s">
        <v>175</v>
      </c>
      <c r="N56" s="11" t="s">
        <v>107</v>
      </c>
      <c r="O56" s="11">
        <v>25</v>
      </c>
      <c r="P56" s="9">
        <v>190301100</v>
      </c>
      <c r="Q56" s="11" t="s">
        <v>231</v>
      </c>
      <c r="R56" s="12" t="s">
        <v>88</v>
      </c>
      <c r="S56" s="13" t="s">
        <v>93</v>
      </c>
      <c r="T56" s="14">
        <v>0</v>
      </c>
      <c r="U56" s="15">
        <v>8</v>
      </c>
      <c r="V56" s="30">
        <v>0.02</v>
      </c>
      <c r="W56" s="30">
        <v>0.02</v>
      </c>
      <c r="X56" s="30">
        <v>0.02</v>
      </c>
      <c r="Y56" s="30">
        <v>0.02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8">
        <f>SUM(PlanIndicativo[[#This Row],[Ingresos Corrientes de Libre Destinación - ICLD (2020)]:[Otros (2020)]])</f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9">
        <f>SUM(PlanIndicativo[[#This Row],[Ingresos Corrientes de Libre Destinación - ICLD (2021)]:[Otros  (2021)]])</f>
        <v>0</v>
      </c>
      <c r="AX56" s="17">
        <v>0</v>
      </c>
      <c r="AY56" s="17">
        <v>0</v>
      </c>
      <c r="AZ56" s="17">
        <v>0</v>
      </c>
      <c r="BA56" s="17">
        <f>132943105/4</f>
        <v>33235776.25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20">
        <f>SUM(PlanIndicativo[[#This Row],[Ingresos Corrientes de Libre Destinación - ICLD (2022)]:[Otros   (2022)]])</f>
        <v>33235776.25</v>
      </c>
      <c r="BJ56" s="17">
        <v>0</v>
      </c>
      <c r="BK56" s="17">
        <v>0</v>
      </c>
      <c r="BL56" s="17">
        <v>0</v>
      </c>
      <c r="BM56" s="17">
        <f>132943105/4</f>
        <v>33235776.25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21">
        <f>SUM(PlanIndicativo[[#This Row],[Ingresos Corrientes de Libre Destinación - ICLD (2023)]:[Otros (2023)]])</f>
        <v>33235776.25</v>
      </c>
      <c r="BV56" s="21">
        <f>+PlanIndicativo[[#This Row],[Total (2020)]]+PlanIndicativo[[#This Row],[Total  (2021)]]+PlanIndicativo[[#This Row],[Total  (2022)]]+PlanIndicativo[[#This Row],[Total (2023)]]</f>
        <v>66471552.5</v>
      </c>
      <c r="BW56" s="22" t="s">
        <v>90</v>
      </c>
    </row>
    <row r="57" spans="1:75" ht="21" customHeight="1" x14ac:dyDescent="0.25">
      <c r="A57" s="7">
        <v>1</v>
      </c>
      <c r="B57" s="8" t="s">
        <v>75</v>
      </c>
      <c r="C57" s="7" t="s">
        <v>167</v>
      </c>
      <c r="D57" s="7" t="s">
        <v>168</v>
      </c>
      <c r="E57" s="7" t="s">
        <v>169</v>
      </c>
      <c r="F57" s="8" t="s">
        <v>170</v>
      </c>
      <c r="G57" s="7" t="s">
        <v>224</v>
      </c>
      <c r="H57" s="8" t="s">
        <v>225</v>
      </c>
      <c r="I57" s="9">
        <v>1903045</v>
      </c>
      <c r="J57" s="11" t="s">
        <v>232</v>
      </c>
      <c r="K57" s="11" t="s">
        <v>204</v>
      </c>
      <c r="L57" s="11" t="s">
        <v>84</v>
      </c>
      <c r="M57" s="11" t="s">
        <v>175</v>
      </c>
      <c r="N57" s="11" t="s">
        <v>107</v>
      </c>
      <c r="O57" s="11">
        <v>25</v>
      </c>
      <c r="P57" s="9">
        <v>190304500</v>
      </c>
      <c r="Q57" s="11" t="s">
        <v>233</v>
      </c>
      <c r="R57" s="12" t="s">
        <v>88</v>
      </c>
      <c r="S57" s="13" t="s">
        <v>93</v>
      </c>
      <c r="T57" s="14">
        <v>0</v>
      </c>
      <c r="U57" s="15">
        <v>12</v>
      </c>
      <c r="V57" s="30">
        <v>3</v>
      </c>
      <c r="W57" s="30">
        <v>3</v>
      </c>
      <c r="X57" s="30">
        <v>3</v>
      </c>
      <c r="Y57" s="30">
        <v>3</v>
      </c>
      <c r="Z57" s="17">
        <v>0</v>
      </c>
      <c r="AA57" s="17">
        <v>0</v>
      </c>
      <c r="AB57" s="17">
        <v>0</v>
      </c>
      <c r="AC57" s="17">
        <f>132943105/4*2</f>
        <v>66471552.5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8">
        <f>SUM(PlanIndicativo[[#This Row],[Ingresos Corrientes de Libre Destinación - ICLD (2020)]:[Otros (2020)]])</f>
        <v>66471552.5</v>
      </c>
      <c r="AL57" s="17">
        <v>0</v>
      </c>
      <c r="AM57" s="17">
        <v>0</v>
      </c>
      <c r="AN57" s="17">
        <v>0</v>
      </c>
      <c r="AO57" s="17">
        <f>132943105/4*2</f>
        <v>66471552.5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9">
        <f>SUM(PlanIndicativo[[#This Row],[Ingresos Corrientes de Libre Destinación - ICLD (2021)]:[Otros  (2021)]])</f>
        <v>66471552.5</v>
      </c>
      <c r="AX57" s="17">
        <v>0</v>
      </c>
      <c r="AY57" s="17">
        <v>0</v>
      </c>
      <c r="AZ57" s="17">
        <v>0</v>
      </c>
      <c r="BA57" s="17">
        <f>132943105/4</f>
        <v>33235776.25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20">
        <f>SUM(PlanIndicativo[[#This Row],[Ingresos Corrientes de Libre Destinación - ICLD (2022)]:[Otros   (2022)]])</f>
        <v>33235776.25</v>
      </c>
      <c r="BJ57" s="17">
        <v>0</v>
      </c>
      <c r="BK57" s="17">
        <v>0</v>
      </c>
      <c r="BL57" s="17">
        <v>0</v>
      </c>
      <c r="BM57" s="17">
        <f>132943105/4</f>
        <v>33235776.25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21">
        <f>SUM(PlanIndicativo[[#This Row],[Ingresos Corrientes de Libre Destinación - ICLD (2023)]:[Otros (2023)]])</f>
        <v>33235776.25</v>
      </c>
      <c r="BV57" s="21">
        <f>+PlanIndicativo[[#This Row],[Total (2020)]]+PlanIndicativo[[#This Row],[Total  (2021)]]+PlanIndicativo[[#This Row],[Total  (2022)]]+PlanIndicativo[[#This Row],[Total (2023)]]</f>
        <v>199414657.5</v>
      </c>
      <c r="BW57" s="22" t="s">
        <v>90</v>
      </c>
    </row>
    <row r="58" spans="1:75" ht="21" customHeight="1" x14ac:dyDescent="0.25">
      <c r="A58" s="7">
        <v>1</v>
      </c>
      <c r="B58" s="8" t="s">
        <v>75</v>
      </c>
      <c r="C58" s="7" t="s">
        <v>234</v>
      </c>
      <c r="D58" s="7" t="s">
        <v>235</v>
      </c>
      <c r="E58" s="7" t="s">
        <v>236</v>
      </c>
      <c r="F58" s="8" t="s">
        <v>237</v>
      </c>
      <c r="G58" s="7" t="s">
        <v>238</v>
      </c>
      <c r="H58" s="8" t="s">
        <v>239</v>
      </c>
      <c r="I58" s="9">
        <v>4003047</v>
      </c>
      <c r="J58" s="25" t="s">
        <v>240</v>
      </c>
      <c r="K58" s="25" t="s">
        <v>241</v>
      </c>
      <c r="L58" s="25" t="s">
        <v>242</v>
      </c>
      <c r="M58" s="25" t="s">
        <v>243</v>
      </c>
      <c r="N58" s="25" t="s">
        <v>86</v>
      </c>
      <c r="O58" s="25">
        <v>5</v>
      </c>
      <c r="P58" s="9">
        <v>400304700</v>
      </c>
      <c r="Q58" s="25" t="s">
        <v>244</v>
      </c>
      <c r="R58" s="12" t="s">
        <v>88</v>
      </c>
      <c r="S58" s="13" t="s">
        <v>93</v>
      </c>
      <c r="T58" s="14">
        <v>0</v>
      </c>
      <c r="U58" s="15">
        <v>1273</v>
      </c>
      <c r="V58" s="30">
        <f>ROUND((PlanIndicativo[[#This Row],[Valor Meta P
 esperada al Cuatrienio]]/4),0)</f>
        <v>318</v>
      </c>
      <c r="W58" s="30">
        <v>318</v>
      </c>
      <c r="X58" s="30">
        <v>318</v>
      </c>
      <c r="Y58" s="30">
        <v>319</v>
      </c>
      <c r="Z58" s="17">
        <f t="shared" ref="Z58" si="32">257376237/15</f>
        <v>17158415.800000001</v>
      </c>
      <c r="AA58" s="17">
        <v>0</v>
      </c>
      <c r="AB58" s="17">
        <v>0</v>
      </c>
      <c r="AC58" s="17">
        <v>0</v>
      </c>
      <c r="AD58" s="17">
        <f t="shared" ref="AD58" si="33">454989395/15</f>
        <v>30332626.333333332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8">
        <f>SUM(PlanIndicativo[[#This Row],[Ingresos Corrientes de Libre Destinación - ICLD (2020)]:[Otros (2020)]])</f>
        <v>47491042.133333333</v>
      </c>
      <c r="AL58" s="17">
        <f>257376237/15*2</f>
        <v>34316831.600000001</v>
      </c>
      <c r="AM58" s="17">
        <v>0</v>
      </c>
      <c r="AN58" s="17">
        <v>0</v>
      </c>
      <c r="AO58" s="17">
        <v>0</v>
      </c>
      <c r="AP58" s="17">
        <f>454989395/15*2</f>
        <v>60665252.666666664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9">
        <f>SUM(PlanIndicativo[[#This Row],[Ingresos Corrientes de Libre Destinación - ICLD (2021)]:[Otros  (2021)]])</f>
        <v>94982084.266666666</v>
      </c>
      <c r="AX58" s="17">
        <f t="shared" ref="AX58:AX72" si="34">257376237/15</f>
        <v>17158415.800000001</v>
      </c>
      <c r="AY58" s="17">
        <v>0</v>
      </c>
      <c r="AZ58" s="17">
        <v>0</v>
      </c>
      <c r="BA58" s="17">
        <v>0</v>
      </c>
      <c r="BB58" s="17">
        <f t="shared" ref="BB58:BB72" si="35">454989395/15</f>
        <v>30332626.333333332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20">
        <f>SUM(PlanIndicativo[[#This Row],[Ingresos Corrientes de Libre Destinación - ICLD (2022)]:[Otros   (2022)]])</f>
        <v>47491042.133333333</v>
      </c>
      <c r="BJ58" s="17">
        <f t="shared" ref="BJ58:BJ72" si="36">257376237/15</f>
        <v>17158415.800000001</v>
      </c>
      <c r="BK58" s="17">
        <v>0</v>
      </c>
      <c r="BL58" s="17">
        <v>0</v>
      </c>
      <c r="BM58" s="17">
        <v>0</v>
      </c>
      <c r="BN58" s="17">
        <f t="shared" ref="BN58:BN72" si="37">454989395/15</f>
        <v>30332626.333333332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21">
        <f>SUM(PlanIndicativo[[#This Row],[Ingresos Corrientes de Libre Destinación - ICLD (2023)]:[Otros (2023)]])</f>
        <v>47491042.133333333</v>
      </c>
      <c r="BV58" s="21">
        <f>+PlanIndicativo[[#This Row],[Total (2020)]]+PlanIndicativo[[#This Row],[Total  (2021)]]+PlanIndicativo[[#This Row],[Total  (2022)]]+PlanIndicativo[[#This Row],[Total (2023)]]</f>
        <v>237455210.66666666</v>
      </c>
      <c r="BW58" s="22" t="s">
        <v>245</v>
      </c>
    </row>
    <row r="59" spans="1:75" ht="21" customHeight="1" x14ac:dyDescent="0.25">
      <c r="A59" s="7">
        <v>1</v>
      </c>
      <c r="B59" s="8" t="s">
        <v>75</v>
      </c>
      <c r="C59" s="7" t="s">
        <v>234</v>
      </c>
      <c r="D59" s="7" t="s">
        <v>235</v>
      </c>
      <c r="E59" s="7" t="s">
        <v>236</v>
      </c>
      <c r="F59" s="8" t="s">
        <v>237</v>
      </c>
      <c r="G59" s="7" t="s">
        <v>238</v>
      </c>
      <c r="H59" s="8" t="s">
        <v>239</v>
      </c>
      <c r="I59" s="9">
        <v>4003006</v>
      </c>
      <c r="J59" s="25" t="s">
        <v>113</v>
      </c>
      <c r="K59" s="25" t="s">
        <v>241</v>
      </c>
      <c r="L59" s="25" t="s">
        <v>242</v>
      </c>
      <c r="M59" s="25" t="s">
        <v>243</v>
      </c>
      <c r="N59" s="25" t="s">
        <v>86</v>
      </c>
      <c r="O59" s="25">
        <v>6</v>
      </c>
      <c r="P59" s="9">
        <v>400300600</v>
      </c>
      <c r="Q59" s="25" t="s">
        <v>246</v>
      </c>
      <c r="R59" s="31" t="s">
        <v>88</v>
      </c>
      <c r="S59" s="13" t="s">
        <v>93</v>
      </c>
      <c r="T59" s="14">
        <v>0</v>
      </c>
      <c r="U59" s="15">
        <v>1</v>
      </c>
      <c r="V59" s="30">
        <v>1</v>
      </c>
      <c r="W59" s="30">
        <v>0</v>
      </c>
      <c r="X59" s="30">
        <v>0</v>
      </c>
      <c r="Y59" s="30">
        <v>0</v>
      </c>
      <c r="Z59" s="17">
        <f>257376237/15*2</f>
        <v>34316831.600000001</v>
      </c>
      <c r="AA59" s="17">
        <v>0</v>
      </c>
      <c r="AB59" s="17">
        <v>0</v>
      </c>
      <c r="AC59" s="17">
        <v>0</v>
      </c>
      <c r="AD59" s="17">
        <f>454989395/15*2</f>
        <v>60665252.666666664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8">
        <f>SUM(PlanIndicativo[[#This Row],[Ingresos Corrientes de Libre Destinación - ICLD (2020)]:[Otros (2020)]])</f>
        <v>94982084.266666666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9">
        <f>SUM(PlanIndicativo[[#This Row],[Ingresos Corrientes de Libre Destinación - ICLD (2021)]:[Otros  (2021)]])</f>
        <v>0</v>
      </c>
      <c r="AX59" s="17">
        <f t="shared" si="34"/>
        <v>17158415.800000001</v>
      </c>
      <c r="AY59" s="17">
        <v>0</v>
      </c>
      <c r="AZ59" s="17">
        <v>0</v>
      </c>
      <c r="BA59" s="17">
        <v>0</v>
      </c>
      <c r="BB59" s="17">
        <f t="shared" si="35"/>
        <v>30332626.333333332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20">
        <f>SUM(PlanIndicativo[[#This Row],[Ingresos Corrientes de Libre Destinación - ICLD (2022)]:[Otros   (2022)]])</f>
        <v>47491042.133333333</v>
      </c>
      <c r="BJ59" s="17">
        <f t="shared" si="36"/>
        <v>17158415.800000001</v>
      </c>
      <c r="BK59" s="17">
        <v>0</v>
      </c>
      <c r="BL59" s="17">
        <v>0</v>
      </c>
      <c r="BM59" s="17">
        <v>0</v>
      </c>
      <c r="BN59" s="17">
        <f t="shared" si="37"/>
        <v>30332626.333333332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21">
        <f>SUM(PlanIndicativo[[#This Row],[Ingresos Corrientes de Libre Destinación - ICLD (2023)]:[Otros (2023)]])</f>
        <v>47491042.133333333</v>
      </c>
      <c r="BV59" s="21">
        <f>+PlanIndicativo[[#This Row],[Total (2020)]]+PlanIndicativo[[#This Row],[Total  (2021)]]+PlanIndicativo[[#This Row],[Total  (2022)]]+PlanIndicativo[[#This Row],[Total (2023)]]</f>
        <v>189964168.53333333</v>
      </c>
      <c r="BW59" s="22" t="s">
        <v>245</v>
      </c>
    </row>
    <row r="60" spans="1:75" ht="21" customHeight="1" x14ac:dyDescent="0.25">
      <c r="A60" s="7">
        <v>1</v>
      </c>
      <c r="B60" s="8" t="s">
        <v>75</v>
      </c>
      <c r="C60" s="7" t="s">
        <v>234</v>
      </c>
      <c r="D60" s="7" t="s">
        <v>235</v>
      </c>
      <c r="E60" s="7" t="s">
        <v>236</v>
      </c>
      <c r="F60" s="8" t="s">
        <v>237</v>
      </c>
      <c r="G60" s="7" t="s">
        <v>238</v>
      </c>
      <c r="H60" s="8" t="s">
        <v>239</v>
      </c>
      <c r="I60" s="9">
        <v>4003008</v>
      </c>
      <c r="J60" s="11" t="s">
        <v>247</v>
      </c>
      <c r="K60" s="11" t="s">
        <v>241</v>
      </c>
      <c r="L60" s="25" t="s">
        <v>242</v>
      </c>
      <c r="M60" s="25" t="s">
        <v>243</v>
      </c>
      <c r="N60" s="25" t="s">
        <v>86</v>
      </c>
      <c r="O60" s="11">
        <v>8</v>
      </c>
      <c r="P60" s="9">
        <v>400300800</v>
      </c>
      <c r="Q60" s="11" t="s">
        <v>248</v>
      </c>
      <c r="R60" s="31" t="s">
        <v>88</v>
      </c>
      <c r="S60" s="13" t="s">
        <v>93</v>
      </c>
      <c r="T60" s="14">
        <v>0</v>
      </c>
      <c r="U60" s="15">
        <v>4</v>
      </c>
      <c r="V60" s="30">
        <v>1</v>
      </c>
      <c r="W60" s="30">
        <v>1</v>
      </c>
      <c r="X60" s="30">
        <v>1</v>
      </c>
      <c r="Y60" s="30">
        <v>1</v>
      </c>
      <c r="Z60" s="17">
        <v>34316831.600000001</v>
      </c>
      <c r="AA60" s="17">
        <v>0</v>
      </c>
      <c r="AB60" s="17">
        <v>0</v>
      </c>
      <c r="AC60" s="17">
        <v>0</v>
      </c>
      <c r="AD60" s="17">
        <v>60665252.666666664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8">
        <f>SUM(PlanIndicativo[[#This Row],[Ingresos Corrientes de Libre Destinación - ICLD (2020)]:[Otros (2020)]])</f>
        <v>94982084.266666666</v>
      </c>
      <c r="AL60" s="17">
        <f t="shared" ref="AL60:AL68" si="38">257376237/15</f>
        <v>17158415.800000001</v>
      </c>
      <c r="AM60" s="17">
        <v>0</v>
      </c>
      <c r="AN60" s="17">
        <v>0</v>
      </c>
      <c r="AO60" s="17">
        <v>0</v>
      </c>
      <c r="AP60" s="17">
        <f t="shared" ref="AP60:AP68" si="39">454989395/15</f>
        <v>30332626.333333332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9">
        <f>SUM(PlanIndicativo[[#This Row],[Ingresos Corrientes de Libre Destinación - ICLD (2021)]:[Otros  (2021)]])</f>
        <v>47491042.133333333</v>
      </c>
      <c r="AX60" s="17">
        <f t="shared" si="34"/>
        <v>17158415.800000001</v>
      </c>
      <c r="AY60" s="17">
        <v>0</v>
      </c>
      <c r="AZ60" s="17">
        <v>0</v>
      </c>
      <c r="BA60" s="17">
        <v>0</v>
      </c>
      <c r="BB60" s="17">
        <f t="shared" si="35"/>
        <v>30332626.333333332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20">
        <f>SUM(PlanIndicativo[[#This Row],[Ingresos Corrientes de Libre Destinación - ICLD (2022)]:[Otros   (2022)]])</f>
        <v>47491042.133333333</v>
      </c>
      <c r="BJ60" s="17">
        <f t="shared" si="36"/>
        <v>17158415.800000001</v>
      </c>
      <c r="BK60" s="17">
        <v>0</v>
      </c>
      <c r="BL60" s="17">
        <v>0</v>
      </c>
      <c r="BM60" s="17">
        <v>0</v>
      </c>
      <c r="BN60" s="17">
        <f t="shared" si="37"/>
        <v>30332626.333333332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21">
        <f>SUM(PlanIndicativo[[#This Row],[Ingresos Corrientes de Libre Destinación - ICLD (2023)]:[Otros (2023)]])</f>
        <v>47491042.133333333</v>
      </c>
      <c r="BV60" s="21">
        <f>+PlanIndicativo[[#This Row],[Total (2020)]]+PlanIndicativo[[#This Row],[Total  (2021)]]+PlanIndicativo[[#This Row],[Total  (2022)]]+PlanIndicativo[[#This Row],[Total (2023)]]</f>
        <v>237455210.66666666</v>
      </c>
      <c r="BW60" s="22" t="s">
        <v>245</v>
      </c>
    </row>
    <row r="61" spans="1:75" ht="21" customHeight="1" x14ac:dyDescent="0.25">
      <c r="A61" s="7">
        <v>1</v>
      </c>
      <c r="B61" s="8" t="s">
        <v>75</v>
      </c>
      <c r="C61" s="7" t="s">
        <v>234</v>
      </c>
      <c r="D61" s="7" t="s">
        <v>235</v>
      </c>
      <c r="E61" s="7" t="s">
        <v>236</v>
      </c>
      <c r="F61" s="8" t="s">
        <v>237</v>
      </c>
      <c r="G61" s="7" t="s">
        <v>238</v>
      </c>
      <c r="H61" s="8" t="s">
        <v>239</v>
      </c>
      <c r="I61" s="9">
        <v>4003010</v>
      </c>
      <c r="J61" s="11" t="s">
        <v>249</v>
      </c>
      <c r="K61" s="10" t="s">
        <v>250</v>
      </c>
      <c r="L61" s="25" t="s">
        <v>242</v>
      </c>
      <c r="M61" s="25" t="s">
        <v>243</v>
      </c>
      <c r="N61" s="25" t="s">
        <v>86</v>
      </c>
      <c r="O61" s="11">
        <v>9</v>
      </c>
      <c r="P61" s="9">
        <v>400301000</v>
      </c>
      <c r="Q61" s="11" t="s">
        <v>251</v>
      </c>
      <c r="R61" s="12" t="s">
        <v>88</v>
      </c>
      <c r="S61" s="13" t="s">
        <v>93</v>
      </c>
      <c r="T61" s="14">
        <v>0</v>
      </c>
      <c r="U61" s="15">
        <v>1333</v>
      </c>
      <c r="V61" s="30">
        <v>1333</v>
      </c>
      <c r="W61" s="30">
        <v>1333</v>
      </c>
      <c r="X61" s="30">
        <v>1333</v>
      </c>
      <c r="Y61" s="30">
        <v>1333</v>
      </c>
      <c r="Z61" s="17">
        <v>34316831.600000001</v>
      </c>
      <c r="AA61" s="17">
        <v>0</v>
      </c>
      <c r="AB61" s="17">
        <v>0</v>
      </c>
      <c r="AC61" s="17">
        <v>0</v>
      </c>
      <c r="AD61" s="17">
        <v>60665252.666666664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8">
        <f>SUM(PlanIndicativo[[#This Row],[Ingresos Corrientes de Libre Destinación - ICLD (2020)]:[Otros (2020)]])</f>
        <v>94982084.266666666</v>
      </c>
      <c r="AL61" s="17">
        <f t="shared" si="38"/>
        <v>17158415.800000001</v>
      </c>
      <c r="AM61" s="17">
        <v>0</v>
      </c>
      <c r="AN61" s="17">
        <v>0</v>
      </c>
      <c r="AO61" s="17">
        <v>0</v>
      </c>
      <c r="AP61" s="17">
        <f t="shared" si="39"/>
        <v>30332626.333333332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9">
        <f>SUM(PlanIndicativo[[#This Row],[Ingresos Corrientes de Libre Destinación - ICLD (2021)]:[Otros  (2021)]])</f>
        <v>47491042.133333333</v>
      </c>
      <c r="AX61" s="17">
        <f t="shared" si="34"/>
        <v>17158415.800000001</v>
      </c>
      <c r="AY61" s="17">
        <v>0</v>
      </c>
      <c r="AZ61" s="17">
        <v>0</v>
      </c>
      <c r="BA61" s="17">
        <v>0</v>
      </c>
      <c r="BB61" s="17">
        <f t="shared" si="35"/>
        <v>30332626.333333332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20">
        <f>SUM(PlanIndicativo[[#This Row],[Ingresos Corrientes de Libre Destinación - ICLD (2022)]:[Otros   (2022)]])</f>
        <v>47491042.133333333</v>
      </c>
      <c r="BJ61" s="17">
        <f t="shared" si="36"/>
        <v>17158415.800000001</v>
      </c>
      <c r="BK61" s="17">
        <v>0</v>
      </c>
      <c r="BL61" s="17">
        <v>0</v>
      </c>
      <c r="BM61" s="17">
        <v>0</v>
      </c>
      <c r="BN61" s="17">
        <f t="shared" si="37"/>
        <v>30332626.333333332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21">
        <f>SUM(PlanIndicativo[[#This Row],[Ingresos Corrientes de Libre Destinación - ICLD (2023)]:[Otros (2023)]])</f>
        <v>47491042.133333333</v>
      </c>
      <c r="BV61" s="21">
        <f>+PlanIndicativo[[#This Row],[Total (2020)]]+PlanIndicativo[[#This Row],[Total  (2021)]]+PlanIndicativo[[#This Row],[Total  (2022)]]+PlanIndicativo[[#This Row],[Total (2023)]]</f>
        <v>237455210.66666666</v>
      </c>
      <c r="BW61" s="22" t="s">
        <v>245</v>
      </c>
    </row>
    <row r="62" spans="1:75" ht="21" customHeight="1" x14ac:dyDescent="0.25">
      <c r="A62" s="7">
        <v>1</v>
      </c>
      <c r="B62" s="8" t="s">
        <v>75</v>
      </c>
      <c r="C62" s="7" t="s">
        <v>234</v>
      </c>
      <c r="D62" s="7" t="s">
        <v>235</v>
      </c>
      <c r="E62" s="7" t="s">
        <v>236</v>
      </c>
      <c r="F62" s="8" t="s">
        <v>237</v>
      </c>
      <c r="G62" s="7" t="s">
        <v>238</v>
      </c>
      <c r="H62" s="8" t="s">
        <v>239</v>
      </c>
      <c r="I62" s="9">
        <v>4003014</v>
      </c>
      <c r="J62" s="11" t="s">
        <v>252</v>
      </c>
      <c r="K62" s="11" t="s">
        <v>253</v>
      </c>
      <c r="L62" s="25" t="s">
        <v>242</v>
      </c>
      <c r="M62" s="25" t="s">
        <v>243</v>
      </c>
      <c r="N62" s="25" t="s">
        <v>86</v>
      </c>
      <c r="O62" s="11">
        <v>4</v>
      </c>
      <c r="P62" s="9">
        <v>400301400</v>
      </c>
      <c r="Q62" s="11" t="s">
        <v>254</v>
      </c>
      <c r="R62" s="12" t="s">
        <v>88</v>
      </c>
      <c r="S62" s="13" t="s">
        <v>93</v>
      </c>
      <c r="T62" s="14">
        <v>0</v>
      </c>
      <c r="U62" s="15">
        <v>1150</v>
      </c>
      <c r="V62" s="30">
        <v>1150</v>
      </c>
      <c r="W62" s="30">
        <v>1150</v>
      </c>
      <c r="X62" s="30">
        <v>1150</v>
      </c>
      <c r="Y62" s="30">
        <v>1150</v>
      </c>
      <c r="Z62" s="17">
        <v>34316831.600000001</v>
      </c>
      <c r="AA62" s="17">
        <v>0</v>
      </c>
      <c r="AB62" s="17">
        <v>0</v>
      </c>
      <c r="AC62" s="17">
        <v>0</v>
      </c>
      <c r="AD62" s="17">
        <v>60665252.666666664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8">
        <f>SUM(PlanIndicativo[[#This Row],[Ingresos Corrientes de Libre Destinación - ICLD (2020)]:[Otros (2020)]])</f>
        <v>94982084.266666666</v>
      </c>
      <c r="AL62" s="17">
        <f t="shared" si="38"/>
        <v>17158415.800000001</v>
      </c>
      <c r="AM62" s="17">
        <v>0</v>
      </c>
      <c r="AN62" s="17">
        <v>0</v>
      </c>
      <c r="AO62" s="17">
        <v>0</v>
      </c>
      <c r="AP62" s="17">
        <f t="shared" si="39"/>
        <v>30332626.333333332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9">
        <f>SUM(PlanIndicativo[[#This Row],[Ingresos Corrientes de Libre Destinación - ICLD (2021)]:[Otros  (2021)]])</f>
        <v>47491042.133333333</v>
      </c>
      <c r="AX62" s="17">
        <f t="shared" si="34"/>
        <v>17158415.800000001</v>
      </c>
      <c r="AY62" s="17">
        <v>0</v>
      </c>
      <c r="AZ62" s="17">
        <v>0</v>
      </c>
      <c r="BA62" s="17">
        <v>0</v>
      </c>
      <c r="BB62" s="17">
        <f t="shared" si="35"/>
        <v>30332626.333333332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20">
        <f>SUM(PlanIndicativo[[#This Row],[Ingresos Corrientes de Libre Destinación - ICLD (2022)]:[Otros   (2022)]])</f>
        <v>47491042.133333333</v>
      </c>
      <c r="BJ62" s="17">
        <f t="shared" si="36"/>
        <v>17158415.800000001</v>
      </c>
      <c r="BK62" s="17">
        <v>0</v>
      </c>
      <c r="BL62" s="17">
        <v>0</v>
      </c>
      <c r="BM62" s="17">
        <v>0</v>
      </c>
      <c r="BN62" s="17">
        <f t="shared" si="37"/>
        <v>30332626.333333332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21">
        <f>SUM(PlanIndicativo[[#This Row],[Ingresos Corrientes de Libre Destinación - ICLD (2023)]:[Otros (2023)]])</f>
        <v>47491042.133333333</v>
      </c>
      <c r="BV62" s="21">
        <f>+PlanIndicativo[[#This Row],[Total (2020)]]+PlanIndicativo[[#This Row],[Total  (2021)]]+PlanIndicativo[[#This Row],[Total  (2022)]]+PlanIndicativo[[#This Row],[Total (2023)]]</f>
        <v>237455210.66666666</v>
      </c>
      <c r="BW62" s="22" t="s">
        <v>245</v>
      </c>
    </row>
    <row r="63" spans="1:75" ht="21" customHeight="1" x14ac:dyDescent="0.25">
      <c r="A63" s="7">
        <v>1</v>
      </c>
      <c r="B63" s="8" t="s">
        <v>75</v>
      </c>
      <c r="C63" s="7" t="s">
        <v>234</v>
      </c>
      <c r="D63" s="7" t="s">
        <v>235</v>
      </c>
      <c r="E63" s="7" t="s">
        <v>236</v>
      </c>
      <c r="F63" s="8" t="s">
        <v>237</v>
      </c>
      <c r="G63" s="7" t="s">
        <v>238</v>
      </c>
      <c r="H63" s="8" t="s">
        <v>239</v>
      </c>
      <c r="I63" s="9">
        <v>4003009</v>
      </c>
      <c r="J63" s="11" t="s">
        <v>255</v>
      </c>
      <c r="K63" s="11" t="s">
        <v>256</v>
      </c>
      <c r="L63" s="25" t="s">
        <v>242</v>
      </c>
      <c r="M63" s="25" t="s">
        <v>243</v>
      </c>
      <c r="N63" s="25" t="s">
        <v>86</v>
      </c>
      <c r="O63" s="11">
        <v>6</v>
      </c>
      <c r="P63" s="9">
        <v>400300900</v>
      </c>
      <c r="Q63" s="11" t="s">
        <v>257</v>
      </c>
      <c r="R63" s="12" t="s">
        <v>88</v>
      </c>
      <c r="S63" s="13" t="s">
        <v>93</v>
      </c>
      <c r="T63" s="14">
        <v>0</v>
      </c>
      <c r="U63" s="15">
        <v>1300</v>
      </c>
      <c r="V63" s="30">
        <v>1300</v>
      </c>
      <c r="W63" s="30">
        <v>1300</v>
      </c>
      <c r="X63" s="30">
        <v>1300</v>
      </c>
      <c r="Y63" s="30">
        <v>1300</v>
      </c>
      <c r="Z63" s="17">
        <v>34316831.600000001</v>
      </c>
      <c r="AA63" s="17">
        <v>0</v>
      </c>
      <c r="AB63" s="17">
        <v>0</v>
      </c>
      <c r="AC63" s="17">
        <v>0</v>
      </c>
      <c r="AD63" s="17">
        <v>60665252.666666664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8">
        <f>SUM(PlanIndicativo[[#This Row],[Ingresos Corrientes de Libre Destinación - ICLD (2020)]:[Otros (2020)]])</f>
        <v>94982084.266666666</v>
      </c>
      <c r="AL63" s="17">
        <f>257376237/15*2</f>
        <v>34316831.600000001</v>
      </c>
      <c r="AM63" s="17">
        <v>0</v>
      </c>
      <c r="AN63" s="17">
        <v>0</v>
      </c>
      <c r="AO63" s="17">
        <v>0</v>
      </c>
      <c r="AP63" s="17">
        <f>454989395/15*2</f>
        <v>60665252.666666664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9">
        <f>SUM(PlanIndicativo[[#This Row],[Ingresos Corrientes de Libre Destinación - ICLD (2021)]:[Otros  (2021)]])</f>
        <v>94982084.266666666</v>
      </c>
      <c r="AX63" s="17">
        <f t="shared" si="34"/>
        <v>17158415.800000001</v>
      </c>
      <c r="AY63" s="17">
        <v>0</v>
      </c>
      <c r="AZ63" s="17">
        <v>0</v>
      </c>
      <c r="BA63" s="17">
        <v>0</v>
      </c>
      <c r="BB63" s="17">
        <f t="shared" si="35"/>
        <v>30332626.333333332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20">
        <f>SUM(PlanIndicativo[[#This Row],[Ingresos Corrientes de Libre Destinación - ICLD (2022)]:[Otros   (2022)]])</f>
        <v>47491042.133333333</v>
      </c>
      <c r="BJ63" s="17">
        <f t="shared" si="36"/>
        <v>17158415.800000001</v>
      </c>
      <c r="BK63" s="17">
        <v>0</v>
      </c>
      <c r="BL63" s="17">
        <v>0</v>
      </c>
      <c r="BM63" s="17">
        <v>0</v>
      </c>
      <c r="BN63" s="17">
        <f t="shared" si="37"/>
        <v>30332626.333333332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21">
        <f>SUM(PlanIndicativo[[#This Row],[Ingresos Corrientes de Libre Destinación - ICLD (2023)]:[Otros (2023)]])</f>
        <v>47491042.133333333</v>
      </c>
      <c r="BV63" s="21">
        <f>+PlanIndicativo[[#This Row],[Total (2020)]]+PlanIndicativo[[#This Row],[Total  (2021)]]+PlanIndicativo[[#This Row],[Total  (2022)]]+PlanIndicativo[[#This Row],[Total (2023)]]</f>
        <v>284946252.80000001</v>
      </c>
      <c r="BW63" s="22" t="s">
        <v>245</v>
      </c>
    </row>
    <row r="64" spans="1:75" ht="21" customHeight="1" x14ac:dyDescent="0.25">
      <c r="A64" s="7">
        <v>1</v>
      </c>
      <c r="B64" s="8" t="s">
        <v>75</v>
      </c>
      <c r="C64" s="7" t="s">
        <v>234</v>
      </c>
      <c r="D64" s="7" t="s">
        <v>235</v>
      </c>
      <c r="E64" s="7" t="s">
        <v>236</v>
      </c>
      <c r="F64" s="8" t="s">
        <v>237</v>
      </c>
      <c r="G64" s="7" t="s">
        <v>238</v>
      </c>
      <c r="H64" s="8" t="s">
        <v>239</v>
      </c>
      <c r="I64" s="9">
        <v>4003040</v>
      </c>
      <c r="J64" s="11" t="s">
        <v>258</v>
      </c>
      <c r="K64" s="11" t="s">
        <v>253</v>
      </c>
      <c r="L64" s="25" t="s">
        <v>242</v>
      </c>
      <c r="M64" s="25" t="s">
        <v>243</v>
      </c>
      <c r="N64" s="25" t="s">
        <v>86</v>
      </c>
      <c r="O64" s="11">
        <v>7</v>
      </c>
      <c r="P64" s="9">
        <v>400304000</v>
      </c>
      <c r="Q64" s="11" t="s">
        <v>259</v>
      </c>
      <c r="R64" s="12" t="s">
        <v>88</v>
      </c>
      <c r="S64" s="13" t="s">
        <v>93</v>
      </c>
      <c r="T64" s="14">
        <v>0</v>
      </c>
      <c r="U64" s="15">
        <v>1</v>
      </c>
      <c r="V64" s="30">
        <v>0</v>
      </c>
      <c r="W64" s="30">
        <v>0</v>
      </c>
      <c r="X64" s="30">
        <v>1</v>
      </c>
      <c r="Y64" s="30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8">
        <f>SUM(PlanIndicativo[[#This Row],[Ingresos Corrientes de Libre Destinación - ICLD (2020)]:[Otros (2020)]])</f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9">
        <f>SUM(PlanIndicativo[[#This Row],[Ingresos Corrientes de Libre Destinación - ICLD (2021)]:[Otros  (2021)]])</f>
        <v>0</v>
      </c>
      <c r="AX64" s="17">
        <f t="shared" si="34"/>
        <v>17158415.800000001</v>
      </c>
      <c r="AY64" s="17">
        <v>0</v>
      </c>
      <c r="AZ64" s="17">
        <v>0</v>
      </c>
      <c r="BA64" s="17">
        <v>0</v>
      </c>
      <c r="BB64" s="17">
        <f t="shared" si="35"/>
        <v>30332626.333333332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20">
        <f>SUM(PlanIndicativo[[#This Row],[Ingresos Corrientes de Libre Destinación - ICLD (2022)]:[Otros   (2022)]])</f>
        <v>47491042.133333333</v>
      </c>
      <c r="BJ64" s="17">
        <f t="shared" si="36"/>
        <v>17158415.800000001</v>
      </c>
      <c r="BK64" s="17">
        <v>0</v>
      </c>
      <c r="BL64" s="17">
        <v>0</v>
      </c>
      <c r="BM64" s="17">
        <v>0</v>
      </c>
      <c r="BN64" s="17">
        <f t="shared" si="37"/>
        <v>30332626.333333332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21">
        <f>SUM(PlanIndicativo[[#This Row],[Ingresos Corrientes de Libre Destinación - ICLD (2023)]:[Otros (2023)]])</f>
        <v>47491042.133333333</v>
      </c>
      <c r="BV64" s="21">
        <f>+PlanIndicativo[[#This Row],[Total (2020)]]+PlanIndicativo[[#This Row],[Total  (2021)]]+PlanIndicativo[[#This Row],[Total  (2022)]]+PlanIndicativo[[#This Row],[Total (2023)]]</f>
        <v>94982084.266666666</v>
      </c>
      <c r="BW64" s="22" t="s">
        <v>245</v>
      </c>
    </row>
    <row r="65" spans="1:75" ht="21" customHeight="1" x14ac:dyDescent="0.25">
      <c r="A65" s="7">
        <v>1</v>
      </c>
      <c r="B65" s="8" t="s">
        <v>75</v>
      </c>
      <c r="C65" s="7" t="s">
        <v>234</v>
      </c>
      <c r="D65" s="7" t="s">
        <v>235</v>
      </c>
      <c r="E65" s="7" t="s">
        <v>236</v>
      </c>
      <c r="F65" s="8" t="s">
        <v>237</v>
      </c>
      <c r="G65" s="7" t="s">
        <v>238</v>
      </c>
      <c r="H65" s="8" t="s">
        <v>239</v>
      </c>
      <c r="I65" s="9">
        <v>4003044</v>
      </c>
      <c r="J65" s="25" t="s">
        <v>260</v>
      </c>
      <c r="K65" s="32" t="s">
        <v>261</v>
      </c>
      <c r="L65" s="25" t="s">
        <v>262</v>
      </c>
      <c r="M65" s="25" t="s">
        <v>243</v>
      </c>
      <c r="N65" s="25" t="s">
        <v>86</v>
      </c>
      <c r="O65" s="25">
        <v>5</v>
      </c>
      <c r="P65" s="9">
        <v>400304400</v>
      </c>
      <c r="Q65" s="25" t="s">
        <v>263</v>
      </c>
      <c r="R65" s="12" t="s">
        <v>88</v>
      </c>
      <c r="S65" s="13" t="s">
        <v>93</v>
      </c>
      <c r="T65" s="14">
        <v>0</v>
      </c>
      <c r="U65" s="15">
        <v>50</v>
      </c>
      <c r="V65" s="30">
        <v>0</v>
      </c>
      <c r="W65" s="30">
        <v>20</v>
      </c>
      <c r="X65" s="30">
        <v>20</v>
      </c>
      <c r="Y65" s="30">
        <v>10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8">
        <f>SUM(PlanIndicativo[[#This Row],[Ingresos Corrientes de Libre Destinación - ICLD (2020)]:[Otros (2020)]])</f>
        <v>0</v>
      </c>
      <c r="AL65" s="17">
        <f t="shared" si="38"/>
        <v>17158415.800000001</v>
      </c>
      <c r="AM65" s="17">
        <v>0</v>
      </c>
      <c r="AN65" s="17">
        <v>0</v>
      </c>
      <c r="AO65" s="17">
        <v>0</v>
      </c>
      <c r="AP65" s="17">
        <f t="shared" si="39"/>
        <v>30332626.333333332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9">
        <f>SUM(PlanIndicativo[[#This Row],[Ingresos Corrientes de Libre Destinación - ICLD (2021)]:[Otros  (2021)]])</f>
        <v>47491042.133333333</v>
      </c>
      <c r="AX65" s="17">
        <f t="shared" si="34"/>
        <v>17158415.800000001</v>
      </c>
      <c r="AY65" s="17">
        <v>0</v>
      </c>
      <c r="AZ65" s="17">
        <v>0</v>
      </c>
      <c r="BA65" s="17">
        <v>0</v>
      </c>
      <c r="BB65" s="17">
        <f t="shared" si="35"/>
        <v>30332626.333333332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20">
        <f>SUM(PlanIndicativo[[#This Row],[Ingresos Corrientes de Libre Destinación - ICLD (2022)]:[Otros   (2022)]])</f>
        <v>47491042.133333333</v>
      </c>
      <c r="BJ65" s="17">
        <f t="shared" si="36"/>
        <v>17158415.800000001</v>
      </c>
      <c r="BK65" s="17">
        <v>0</v>
      </c>
      <c r="BL65" s="17">
        <v>0</v>
      </c>
      <c r="BM65" s="17">
        <v>0</v>
      </c>
      <c r="BN65" s="17">
        <f t="shared" si="37"/>
        <v>30332626.333333332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21">
        <f>SUM(PlanIndicativo[[#This Row],[Ingresos Corrientes de Libre Destinación - ICLD (2023)]:[Otros (2023)]])</f>
        <v>47491042.133333333</v>
      </c>
      <c r="BV65" s="21">
        <f>+PlanIndicativo[[#This Row],[Total (2020)]]+PlanIndicativo[[#This Row],[Total  (2021)]]+PlanIndicativo[[#This Row],[Total  (2022)]]+PlanIndicativo[[#This Row],[Total (2023)]]</f>
        <v>142473126.40000001</v>
      </c>
      <c r="BW65" s="22" t="s">
        <v>245</v>
      </c>
    </row>
    <row r="66" spans="1:75" ht="21" customHeight="1" x14ac:dyDescent="0.25">
      <c r="A66" s="7">
        <v>1</v>
      </c>
      <c r="B66" s="8" t="s">
        <v>75</v>
      </c>
      <c r="C66" s="7" t="s">
        <v>234</v>
      </c>
      <c r="D66" s="7" t="s">
        <v>235</v>
      </c>
      <c r="E66" s="7" t="s">
        <v>236</v>
      </c>
      <c r="F66" s="8" t="s">
        <v>237</v>
      </c>
      <c r="G66" s="7" t="s">
        <v>238</v>
      </c>
      <c r="H66" s="8" t="s">
        <v>239</v>
      </c>
      <c r="I66" s="9">
        <v>4003025</v>
      </c>
      <c r="J66" s="25" t="s">
        <v>264</v>
      </c>
      <c r="K66" s="25" t="s">
        <v>253</v>
      </c>
      <c r="L66" s="25" t="s">
        <v>262</v>
      </c>
      <c r="M66" s="25" t="s">
        <v>243</v>
      </c>
      <c r="N66" s="25" t="s">
        <v>86</v>
      </c>
      <c r="O66" s="25">
        <v>8</v>
      </c>
      <c r="P66" s="9">
        <v>400302500</v>
      </c>
      <c r="Q66" s="25" t="s">
        <v>265</v>
      </c>
      <c r="R66" s="12" t="s">
        <v>88</v>
      </c>
      <c r="S66" s="13" t="s">
        <v>93</v>
      </c>
      <c r="T66" s="14">
        <v>0</v>
      </c>
      <c r="U66" s="15">
        <v>1</v>
      </c>
      <c r="V66" s="30">
        <v>0</v>
      </c>
      <c r="W66" s="30">
        <v>1</v>
      </c>
      <c r="X66" s="30">
        <v>0</v>
      </c>
      <c r="Y66" s="30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8">
        <f>SUM(PlanIndicativo[[#This Row],[Ingresos Corrientes de Libre Destinación - ICLD (2020)]:[Otros (2020)]])</f>
        <v>0</v>
      </c>
      <c r="AL66" s="17">
        <f t="shared" si="38"/>
        <v>17158415.800000001</v>
      </c>
      <c r="AM66" s="17">
        <v>0</v>
      </c>
      <c r="AN66" s="17">
        <v>0</v>
      </c>
      <c r="AO66" s="17">
        <v>0</v>
      </c>
      <c r="AP66" s="17">
        <f t="shared" si="39"/>
        <v>30332626.333333332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9">
        <f>SUM(PlanIndicativo[[#This Row],[Ingresos Corrientes de Libre Destinación - ICLD (2021)]:[Otros  (2021)]])</f>
        <v>47491042.133333333</v>
      </c>
      <c r="AX66" s="17">
        <f t="shared" si="34"/>
        <v>17158415.800000001</v>
      </c>
      <c r="AY66" s="17">
        <v>0</v>
      </c>
      <c r="AZ66" s="17">
        <v>0</v>
      </c>
      <c r="BA66" s="17">
        <v>0</v>
      </c>
      <c r="BB66" s="17">
        <f t="shared" si="35"/>
        <v>30332626.333333332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20">
        <f>SUM(PlanIndicativo[[#This Row],[Ingresos Corrientes de Libre Destinación - ICLD (2022)]:[Otros   (2022)]])</f>
        <v>47491042.133333333</v>
      </c>
      <c r="BJ66" s="17">
        <f t="shared" si="36"/>
        <v>17158415.800000001</v>
      </c>
      <c r="BK66" s="17">
        <v>0</v>
      </c>
      <c r="BL66" s="17">
        <v>0</v>
      </c>
      <c r="BM66" s="17">
        <v>0</v>
      </c>
      <c r="BN66" s="17">
        <f t="shared" si="37"/>
        <v>30332626.333333332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21">
        <f>SUM(PlanIndicativo[[#This Row],[Ingresos Corrientes de Libre Destinación - ICLD (2023)]:[Otros (2023)]])</f>
        <v>47491042.133333333</v>
      </c>
      <c r="BV66" s="21">
        <f>+PlanIndicativo[[#This Row],[Total (2020)]]+PlanIndicativo[[#This Row],[Total  (2021)]]+PlanIndicativo[[#This Row],[Total  (2022)]]+PlanIndicativo[[#This Row],[Total (2023)]]</f>
        <v>142473126.40000001</v>
      </c>
      <c r="BW66" s="22" t="s">
        <v>245</v>
      </c>
    </row>
    <row r="67" spans="1:75" ht="21" customHeight="1" x14ac:dyDescent="0.25">
      <c r="A67" s="7">
        <v>1</v>
      </c>
      <c r="B67" s="8" t="s">
        <v>75</v>
      </c>
      <c r="C67" s="7" t="s">
        <v>234</v>
      </c>
      <c r="D67" s="7" t="s">
        <v>235</v>
      </c>
      <c r="E67" s="7" t="s">
        <v>236</v>
      </c>
      <c r="F67" s="8" t="s">
        <v>237</v>
      </c>
      <c r="G67" s="7" t="s">
        <v>238</v>
      </c>
      <c r="H67" s="8" t="s">
        <v>239</v>
      </c>
      <c r="I67" s="9">
        <v>4003024</v>
      </c>
      <c r="J67" s="11" t="s">
        <v>266</v>
      </c>
      <c r="K67" s="11" t="s">
        <v>267</v>
      </c>
      <c r="L67" s="25" t="s">
        <v>262</v>
      </c>
      <c r="M67" s="25" t="s">
        <v>243</v>
      </c>
      <c r="N67" s="25" t="s">
        <v>86</v>
      </c>
      <c r="O67" s="11">
        <v>5</v>
      </c>
      <c r="P67" s="9">
        <v>400302400</v>
      </c>
      <c r="Q67" s="11" t="s">
        <v>268</v>
      </c>
      <c r="R67" s="12" t="s">
        <v>88</v>
      </c>
      <c r="S67" s="13" t="s">
        <v>93</v>
      </c>
      <c r="T67" s="14">
        <v>0</v>
      </c>
      <c r="U67" s="15">
        <v>8</v>
      </c>
      <c r="V67" s="30">
        <v>2</v>
      </c>
      <c r="W67" s="30">
        <v>2</v>
      </c>
      <c r="X67" s="30">
        <v>2</v>
      </c>
      <c r="Y67" s="30">
        <v>2</v>
      </c>
      <c r="Z67" s="17">
        <f>257376237/15*2</f>
        <v>34316831.600000001</v>
      </c>
      <c r="AA67" s="17">
        <v>0</v>
      </c>
      <c r="AB67" s="17">
        <v>0</v>
      </c>
      <c r="AC67" s="17">
        <v>0</v>
      </c>
      <c r="AD67" s="17">
        <f>454989395/15*2</f>
        <v>60665252.666666664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8">
        <f>SUM(PlanIndicativo[[#This Row],[Ingresos Corrientes de Libre Destinación - ICLD (2020)]:[Otros (2020)]])</f>
        <v>94982084.266666666</v>
      </c>
      <c r="AL67" s="17">
        <f t="shared" si="38"/>
        <v>17158415.800000001</v>
      </c>
      <c r="AM67" s="17">
        <v>0</v>
      </c>
      <c r="AN67" s="17">
        <v>0</v>
      </c>
      <c r="AO67" s="17">
        <v>0</v>
      </c>
      <c r="AP67" s="17">
        <f t="shared" si="39"/>
        <v>30332626.333333332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9">
        <f>SUM(PlanIndicativo[[#This Row],[Ingresos Corrientes de Libre Destinación - ICLD (2021)]:[Otros  (2021)]])</f>
        <v>47491042.133333333</v>
      </c>
      <c r="AX67" s="17">
        <f t="shared" si="34"/>
        <v>17158415.800000001</v>
      </c>
      <c r="AY67" s="17">
        <v>0</v>
      </c>
      <c r="AZ67" s="17">
        <v>0</v>
      </c>
      <c r="BA67" s="17">
        <v>0</v>
      </c>
      <c r="BB67" s="17">
        <f t="shared" si="35"/>
        <v>30332626.333333332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20">
        <f>SUM(PlanIndicativo[[#This Row],[Ingresos Corrientes de Libre Destinación - ICLD (2022)]:[Otros   (2022)]])</f>
        <v>47491042.133333333</v>
      </c>
      <c r="BJ67" s="17">
        <f t="shared" si="36"/>
        <v>17158415.800000001</v>
      </c>
      <c r="BK67" s="17">
        <v>0</v>
      </c>
      <c r="BL67" s="17">
        <v>0</v>
      </c>
      <c r="BM67" s="17">
        <v>0</v>
      </c>
      <c r="BN67" s="17">
        <f t="shared" si="37"/>
        <v>30332626.333333332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21">
        <f>SUM(PlanIndicativo[[#This Row],[Ingresos Corrientes de Libre Destinación - ICLD (2023)]:[Otros (2023)]])</f>
        <v>47491042.133333333</v>
      </c>
      <c r="BV67" s="21">
        <f>+PlanIndicativo[[#This Row],[Total (2020)]]+PlanIndicativo[[#This Row],[Total  (2021)]]+PlanIndicativo[[#This Row],[Total  (2022)]]+PlanIndicativo[[#This Row],[Total (2023)]]</f>
        <v>237455210.66666666</v>
      </c>
      <c r="BW67" s="22" t="s">
        <v>245</v>
      </c>
    </row>
    <row r="68" spans="1:75" ht="21" customHeight="1" x14ac:dyDescent="0.25">
      <c r="A68" s="7">
        <v>1</v>
      </c>
      <c r="B68" s="8" t="s">
        <v>75</v>
      </c>
      <c r="C68" s="7" t="s">
        <v>234</v>
      </c>
      <c r="D68" s="7" t="s">
        <v>235</v>
      </c>
      <c r="E68" s="7" t="s">
        <v>236</v>
      </c>
      <c r="F68" s="8" t="s">
        <v>237</v>
      </c>
      <c r="G68" s="7" t="s">
        <v>238</v>
      </c>
      <c r="H68" s="8" t="s">
        <v>239</v>
      </c>
      <c r="I68" s="9">
        <v>4003022</v>
      </c>
      <c r="J68" s="25" t="s">
        <v>269</v>
      </c>
      <c r="K68" s="25" t="s">
        <v>267</v>
      </c>
      <c r="L68" s="25" t="s">
        <v>262</v>
      </c>
      <c r="M68" s="25" t="s">
        <v>243</v>
      </c>
      <c r="N68" s="25" t="s">
        <v>86</v>
      </c>
      <c r="O68" s="25">
        <v>12</v>
      </c>
      <c r="P68" s="9">
        <v>400302200</v>
      </c>
      <c r="Q68" s="25" t="s">
        <v>270</v>
      </c>
      <c r="R68" s="12" t="s">
        <v>88</v>
      </c>
      <c r="S68" s="13" t="s">
        <v>93</v>
      </c>
      <c r="T68" s="14">
        <v>0</v>
      </c>
      <c r="U68" s="15">
        <v>1</v>
      </c>
      <c r="V68" s="30">
        <v>1</v>
      </c>
      <c r="W68" s="30">
        <v>1</v>
      </c>
      <c r="X68" s="30">
        <v>1</v>
      </c>
      <c r="Y68" s="30">
        <v>1</v>
      </c>
      <c r="Z68" s="17">
        <f>257376237/15*2</f>
        <v>34316831.600000001</v>
      </c>
      <c r="AA68" s="17">
        <v>0</v>
      </c>
      <c r="AB68" s="17">
        <v>0</v>
      </c>
      <c r="AC68" s="17">
        <v>0</v>
      </c>
      <c r="AD68" s="17">
        <f>454989395/15*2</f>
        <v>60665252.666666664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8">
        <f>SUM(PlanIndicativo[[#This Row],[Ingresos Corrientes de Libre Destinación - ICLD (2020)]:[Otros (2020)]])</f>
        <v>94982084.266666666</v>
      </c>
      <c r="AL68" s="17">
        <f t="shared" si="38"/>
        <v>17158415.800000001</v>
      </c>
      <c r="AM68" s="17">
        <v>0</v>
      </c>
      <c r="AN68" s="17">
        <v>0</v>
      </c>
      <c r="AO68" s="17">
        <v>0</v>
      </c>
      <c r="AP68" s="17">
        <f t="shared" si="39"/>
        <v>30332626.333333332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9">
        <f>SUM(PlanIndicativo[[#This Row],[Ingresos Corrientes de Libre Destinación - ICLD (2021)]:[Otros  (2021)]])</f>
        <v>47491042.133333333</v>
      </c>
      <c r="AX68" s="17">
        <f t="shared" si="34"/>
        <v>17158415.800000001</v>
      </c>
      <c r="AY68" s="17">
        <v>0</v>
      </c>
      <c r="AZ68" s="17">
        <v>0</v>
      </c>
      <c r="BA68" s="17">
        <v>0</v>
      </c>
      <c r="BB68" s="17">
        <f t="shared" si="35"/>
        <v>30332626.333333332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20">
        <f>SUM(PlanIndicativo[[#This Row],[Ingresos Corrientes de Libre Destinación - ICLD (2022)]:[Otros   (2022)]])</f>
        <v>47491042.133333333</v>
      </c>
      <c r="BJ68" s="17">
        <f t="shared" si="36"/>
        <v>17158415.800000001</v>
      </c>
      <c r="BK68" s="17">
        <v>0</v>
      </c>
      <c r="BL68" s="17">
        <v>0</v>
      </c>
      <c r="BM68" s="17">
        <v>0</v>
      </c>
      <c r="BN68" s="17">
        <f t="shared" si="37"/>
        <v>30332626.333333332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21">
        <f>SUM(PlanIndicativo[[#This Row],[Ingresos Corrientes de Libre Destinación - ICLD (2023)]:[Otros (2023)]])</f>
        <v>47491042.133333333</v>
      </c>
      <c r="BV68" s="21">
        <f>+PlanIndicativo[[#This Row],[Total (2020)]]+PlanIndicativo[[#This Row],[Total  (2021)]]+PlanIndicativo[[#This Row],[Total  (2022)]]+PlanIndicativo[[#This Row],[Total (2023)]]</f>
        <v>237455210.66666666</v>
      </c>
      <c r="BW68" s="22" t="s">
        <v>245</v>
      </c>
    </row>
    <row r="69" spans="1:75" ht="21" customHeight="1" x14ac:dyDescent="0.25">
      <c r="A69" s="7">
        <v>1</v>
      </c>
      <c r="B69" s="8" t="s">
        <v>75</v>
      </c>
      <c r="C69" s="7" t="s">
        <v>234</v>
      </c>
      <c r="D69" s="7" t="s">
        <v>235</v>
      </c>
      <c r="E69" s="7" t="s">
        <v>236</v>
      </c>
      <c r="F69" s="8" t="s">
        <v>237</v>
      </c>
      <c r="G69" s="7" t="s">
        <v>238</v>
      </c>
      <c r="H69" s="8" t="s">
        <v>239</v>
      </c>
      <c r="I69" s="9">
        <v>4003020</v>
      </c>
      <c r="J69" s="25" t="s">
        <v>271</v>
      </c>
      <c r="K69" s="25" t="s">
        <v>253</v>
      </c>
      <c r="L69" s="25" t="s">
        <v>262</v>
      </c>
      <c r="M69" s="25" t="s">
        <v>243</v>
      </c>
      <c r="N69" s="25" t="s">
        <v>86</v>
      </c>
      <c r="O69" s="25">
        <v>6</v>
      </c>
      <c r="P69" s="9">
        <v>400302000</v>
      </c>
      <c r="Q69" s="25" t="s">
        <v>271</v>
      </c>
      <c r="R69" s="12" t="s">
        <v>88</v>
      </c>
      <c r="S69" s="13" t="s">
        <v>93</v>
      </c>
      <c r="T69" s="14">
        <v>0</v>
      </c>
      <c r="U69" s="15">
        <v>1</v>
      </c>
      <c r="V69" s="30">
        <v>0</v>
      </c>
      <c r="W69" s="30">
        <v>1</v>
      </c>
      <c r="X69" s="30">
        <v>0</v>
      </c>
      <c r="Y69" s="30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8">
        <f>SUM(PlanIndicativo[[#This Row],[Ingresos Corrientes de Libre Destinación - ICLD (2020)]:[Otros (2020)]])</f>
        <v>0</v>
      </c>
      <c r="AL69" s="17">
        <f>257376237/15*2</f>
        <v>34316831.600000001</v>
      </c>
      <c r="AM69" s="17">
        <v>0</v>
      </c>
      <c r="AN69" s="17">
        <v>0</v>
      </c>
      <c r="AO69" s="17">
        <v>0</v>
      </c>
      <c r="AP69" s="17">
        <f>454989395/15*2</f>
        <v>60665252.666666664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9">
        <f>SUM(PlanIndicativo[[#This Row],[Ingresos Corrientes de Libre Destinación - ICLD (2021)]:[Otros  (2021)]])</f>
        <v>94982084.266666666</v>
      </c>
      <c r="AX69" s="17">
        <f t="shared" si="34"/>
        <v>17158415.800000001</v>
      </c>
      <c r="AY69" s="17">
        <v>0</v>
      </c>
      <c r="AZ69" s="17">
        <v>0</v>
      </c>
      <c r="BA69" s="17">
        <v>0</v>
      </c>
      <c r="BB69" s="17">
        <f t="shared" si="35"/>
        <v>30332626.333333332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20">
        <f>SUM(PlanIndicativo[[#This Row],[Ingresos Corrientes de Libre Destinación - ICLD (2022)]:[Otros   (2022)]])</f>
        <v>47491042.133333333</v>
      </c>
      <c r="BJ69" s="17">
        <f t="shared" si="36"/>
        <v>17158415.800000001</v>
      </c>
      <c r="BK69" s="17">
        <v>0</v>
      </c>
      <c r="BL69" s="17">
        <v>0</v>
      </c>
      <c r="BM69" s="17">
        <v>0</v>
      </c>
      <c r="BN69" s="17">
        <f t="shared" si="37"/>
        <v>30332626.333333332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21">
        <f>SUM(PlanIndicativo[[#This Row],[Ingresos Corrientes de Libre Destinación - ICLD (2023)]:[Otros (2023)]])</f>
        <v>47491042.133333333</v>
      </c>
      <c r="BV69" s="21">
        <f>+PlanIndicativo[[#This Row],[Total (2020)]]+PlanIndicativo[[#This Row],[Total  (2021)]]+PlanIndicativo[[#This Row],[Total  (2022)]]+PlanIndicativo[[#This Row],[Total (2023)]]</f>
        <v>189964168.53333333</v>
      </c>
      <c r="BW69" s="22" t="s">
        <v>245</v>
      </c>
    </row>
    <row r="70" spans="1:75" ht="21" customHeight="1" x14ac:dyDescent="0.25">
      <c r="A70" s="7">
        <v>1</v>
      </c>
      <c r="B70" s="8" t="s">
        <v>75</v>
      </c>
      <c r="C70" s="7" t="s">
        <v>234</v>
      </c>
      <c r="D70" s="7" t="s">
        <v>235</v>
      </c>
      <c r="E70" s="7" t="s">
        <v>236</v>
      </c>
      <c r="F70" s="8" t="s">
        <v>237</v>
      </c>
      <c r="G70" s="7" t="s">
        <v>238</v>
      </c>
      <c r="H70" s="8" t="s">
        <v>239</v>
      </c>
      <c r="I70" s="9">
        <v>4003018</v>
      </c>
      <c r="J70" s="25" t="s">
        <v>272</v>
      </c>
      <c r="K70" s="25" t="s">
        <v>253</v>
      </c>
      <c r="L70" s="25" t="s">
        <v>262</v>
      </c>
      <c r="M70" s="25" t="s">
        <v>243</v>
      </c>
      <c r="N70" s="25" t="s">
        <v>86</v>
      </c>
      <c r="O70" s="25">
        <v>5</v>
      </c>
      <c r="P70" s="9">
        <v>400301800</v>
      </c>
      <c r="Q70" s="25" t="s">
        <v>272</v>
      </c>
      <c r="R70" s="12" t="s">
        <v>88</v>
      </c>
      <c r="S70" s="13" t="s">
        <v>93</v>
      </c>
      <c r="T70" s="14">
        <v>0</v>
      </c>
      <c r="U70" s="15">
        <v>1</v>
      </c>
      <c r="V70" s="30">
        <v>0</v>
      </c>
      <c r="W70" s="30">
        <v>0</v>
      </c>
      <c r="X70" s="30">
        <v>1</v>
      </c>
      <c r="Y70" s="30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8">
        <f>SUM(PlanIndicativo[[#This Row],[Ingresos Corrientes de Libre Destinación - ICLD (2020)]:[Otros (2020)]])</f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9">
        <f>SUM(PlanIndicativo[[#This Row],[Ingresos Corrientes de Libre Destinación - ICLD (2021)]:[Otros  (2021)]])</f>
        <v>0</v>
      </c>
      <c r="AX70" s="17">
        <f t="shared" si="34"/>
        <v>17158415.800000001</v>
      </c>
      <c r="AY70" s="17">
        <v>0</v>
      </c>
      <c r="AZ70" s="17">
        <v>0</v>
      </c>
      <c r="BA70" s="17">
        <v>0</v>
      </c>
      <c r="BB70" s="17">
        <f t="shared" si="35"/>
        <v>30332626.333333332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20">
        <f>SUM(PlanIndicativo[[#This Row],[Ingresos Corrientes de Libre Destinación - ICLD (2022)]:[Otros   (2022)]])</f>
        <v>47491042.133333333</v>
      </c>
      <c r="BJ70" s="17">
        <f t="shared" si="36"/>
        <v>17158415.800000001</v>
      </c>
      <c r="BK70" s="17">
        <v>0</v>
      </c>
      <c r="BL70" s="17">
        <v>0</v>
      </c>
      <c r="BM70" s="17">
        <v>0</v>
      </c>
      <c r="BN70" s="17">
        <f t="shared" si="37"/>
        <v>30332626.333333332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21">
        <f>SUM(PlanIndicativo[[#This Row],[Ingresos Corrientes de Libre Destinación - ICLD (2023)]:[Otros (2023)]])</f>
        <v>47491042.133333333</v>
      </c>
      <c r="BV70" s="21">
        <f>+PlanIndicativo[[#This Row],[Total (2020)]]+PlanIndicativo[[#This Row],[Total  (2021)]]+PlanIndicativo[[#This Row],[Total  (2022)]]+PlanIndicativo[[#This Row],[Total (2023)]]</f>
        <v>94982084.266666666</v>
      </c>
      <c r="BW70" s="22" t="s">
        <v>245</v>
      </c>
    </row>
    <row r="71" spans="1:75" ht="21" customHeight="1" x14ac:dyDescent="0.25">
      <c r="A71" s="7">
        <v>1</v>
      </c>
      <c r="B71" s="8" t="s">
        <v>75</v>
      </c>
      <c r="C71" s="7" t="s">
        <v>234</v>
      </c>
      <c r="D71" s="7" t="s">
        <v>235</v>
      </c>
      <c r="E71" s="7" t="s">
        <v>236</v>
      </c>
      <c r="F71" s="8" t="s">
        <v>237</v>
      </c>
      <c r="G71" s="7" t="s">
        <v>238</v>
      </c>
      <c r="H71" s="8" t="s">
        <v>239</v>
      </c>
      <c r="I71" s="9">
        <v>4003015</v>
      </c>
      <c r="J71" s="25" t="s">
        <v>273</v>
      </c>
      <c r="K71" s="32" t="s">
        <v>250</v>
      </c>
      <c r="L71" s="25" t="s">
        <v>262</v>
      </c>
      <c r="M71" s="25" t="s">
        <v>243</v>
      </c>
      <c r="N71" s="25" t="s">
        <v>86</v>
      </c>
      <c r="O71" s="25">
        <v>6</v>
      </c>
      <c r="P71" s="9">
        <v>400301500</v>
      </c>
      <c r="Q71" s="25" t="s">
        <v>273</v>
      </c>
      <c r="R71" s="12" t="s">
        <v>88</v>
      </c>
      <c r="S71" s="13" t="s">
        <v>93</v>
      </c>
      <c r="T71" s="14">
        <v>0</v>
      </c>
      <c r="U71" s="15">
        <v>1</v>
      </c>
      <c r="V71" s="30">
        <v>0</v>
      </c>
      <c r="W71" s="30">
        <v>0</v>
      </c>
      <c r="X71" s="30">
        <v>1</v>
      </c>
      <c r="Y71" s="30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8">
        <f>SUM(PlanIndicativo[[#This Row],[Ingresos Corrientes de Libre Destinación - ICLD (2020)]:[Otros (2020)]])</f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9">
        <f>SUM(PlanIndicativo[[#This Row],[Ingresos Corrientes de Libre Destinación - ICLD (2021)]:[Otros  (2021)]])</f>
        <v>0</v>
      </c>
      <c r="AX71" s="17">
        <f t="shared" si="34"/>
        <v>17158415.800000001</v>
      </c>
      <c r="AY71" s="17">
        <v>0</v>
      </c>
      <c r="AZ71" s="17">
        <v>0</v>
      </c>
      <c r="BA71" s="17">
        <v>0</v>
      </c>
      <c r="BB71" s="17">
        <f t="shared" si="35"/>
        <v>30332626.333333332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20">
        <f>SUM(PlanIndicativo[[#This Row],[Ingresos Corrientes de Libre Destinación - ICLD (2022)]:[Otros   (2022)]])</f>
        <v>47491042.133333333</v>
      </c>
      <c r="BJ71" s="17">
        <f t="shared" si="36"/>
        <v>17158415.800000001</v>
      </c>
      <c r="BK71" s="17">
        <v>0</v>
      </c>
      <c r="BL71" s="17">
        <v>0</v>
      </c>
      <c r="BM71" s="17">
        <v>0</v>
      </c>
      <c r="BN71" s="17">
        <f t="shared" si="37"/>
        <v>30332626.333333332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21">
        <f>SUM(PlanIndicativo[[#This Row],[Ingresos Corrientes de Libre Destinación - ICLD (2023)]:[Otros (2023)]])</f>
        <v>47491042.133333333</v>
      </c>
      <c r="BV71" s="21">
        <f>+PlanIndicativo[[#This Row],[Total (2020)]]+PlanIndicativo[[#This Row],[Total  (2021)]]+PlanIndicativo[[#This Row],[Total  (2022)]]+PlanIndicativo[[#This Row],[Total (2023)]]</f>
        <v>94982084.266666666</v>
      </c>
      <c r="BW71" s="22" t="s">
        <v>245</v>
      </c>
    </row>
    <row r="72" spans="1:75" ht="21" customHeight="1" x14ac:dyDescent="0.25">
      <c r="A72" s="7">
        <v>1</v>
      </c>
      <c r="B72" s="8" t="s">
        <v>75</v>
      </c>
      <c r="C72" s="7" t="s">
        <v>234</v>
      </c>
      <c r="D72" s="7" t="s">
        <v>235</v>
      </c>
      <c r="E72" s="7" t="s">
        <v>236</v>
      </c>
      <c r="F72" s="8" t="s">
        <v>237</v>
      </c>
      <c r="G72" s="7" t="s">
        <v>238</v>
      </c>
      <c r="H72" s="8" t="s">
        <v>239</v>
      </c>
      <c r="I72" s="9">
        <v>4003017</v>
      </c>
      <c r="J72" s="25" t="s">
        <v>274</v>
      </c>
      <c r="K72" s="25" t="s">
        <v>256</v>
      </c>
      <c r="L72" s="25" t="s">
        <v>262</v>
      </c>
      <c r="M72" s="25" t="s">
        <v>243</v>
      </c>
      <c r="N72" s="25" t="s">
        <v>86</v>
      </c>
      <c r="O72" s="25">
        <v>8</v>
      </c>
      <c r="P72" s="9">
        <v>400301700</v>
      </c>
      <c r="Q72" s="25" t="s">
        <v>274</v>
      </c>
      <c r="R72" s="12" t="s">
        <v>88</v>
      </c>
      <c r="S72" s="13" t="s">
        <v>93</v>
      </c>
      <c r="T72" s="14">
        <v>0</v>
      </c>
      <c r="U72" s="15">
        <v>1</v>
      </c>
      <c r="V72" s="30">
        <v>0</v>
      </c>
      <c r="W72" s="30">
        <v>1</v>
      </c>
      <c r="X72" s="30">
        <v>0</v>
      </c>
      <c r="Y72" s="30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8">
        <f>SUM(PlanIndicativo[[#This Row],[Ingresos Corrientes de Libre Destinación - ICLD (2020)]:[Otros (2020)]])</f>
        <v>0</v>
      </c>
      <c r="AL72" s="17">
        <f>257376237/15*2</f>
        <v>34316831.600000001</v>
      </c>
      <c r="AM72" s="17">
        <v>0</v>
      </c>
      <c r="AN72" s="17">
        <v>0</v>
      </c>
      <c r="AO72" s="17">
        <v>0</v>
      </c>
      <c r="AP72" s="17">
        <f>454989395/15*2</f>
        <v>60665252.666666664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9">
        <f>SUM(PlanIndicativo[[#This Row],[Ingresos Corrientes de Libre Destinación - ICLD (2021)]:[Otros  (2021)]])</f>
        <v>94982084.266666666</v>
      </c>
      <c r="AX72" s="17">
        <f t="shared" si="34"/>
        <v>17158415.800000001</v>
      </c>
      <c r="AY72" s="17">
        <v>0</v>
      </c>
      <c r="AZ72" s="17">
        <v>0</v>
      </c>
      <c r="BA72" s="17">
        <v>0</v>
      </c>
      <c r="BB72" s="17">
        <f t="shared" si="35"/>
        <v>30332626.333333332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20">
        <f>SUM(PlanIndicativo[[#This Row],[Ingresos Corrientes de Libre Destinación - ICLD (2022)]:[Otros   (2022)]])</f>
        <v>47491042.133333333</v>
      </c>
      <c r="BJ72" s="17">
        <f t="shared" si="36"/>
        <v>17158415.800000001</v>
      </c>
      <c r="BK72" s="17">
        <v>0</v>
      </c>
      <c r="BL72" s="17">
        <v>0</v>
      </c>
      <c r="BM72" s="17">
        <v>0</v>
      </c>
      <c r="BN72" s="17">
        <f t="shared" si="37"/>
        <v>30332626.333333332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21">
        <f>SUM(PlanIndicativo[[#This Row],[Ingresos Corrientes de Libre Destinación - ICLD (2023)]:[Otros (2023)]])</f>
        <v>47491042.133333333</v>
      </c>
      <c r="BV72" s="21">
        <f>+PlanIndicativo[[#This Row],[Total (2020)]]+PlanIndicativo[[#This Row],[Total  (2021)]]+PlanIndicativo[[#This Row],[Total  (2022)]]+PlanIndicativo[[#This Row],[Total (2023)]]</f>
        <v>189964168.53333333</v>
      </c>
      <c r="BW72" s="22" t="s">
        <v>245</v>
      </c>
    </row>
    <row r="73" spans="1:75" ht="21" customHeight="1" x14ac:dyDescent="0.25">
      <c r="A73" s="7">
        <v>1</v>
      </c>
      <c r="B73" s="8" t="s">
        <v>75</v>
      </c>
      <c r="C73" s="7" t="s">
        <v>275</v>
      </c>
      <c r="D73" s="7" t="s">
        <v>276</v>
      </c>
      <c r="E73" s="7" t="s">
        <v>277</v>
      </c>
      <c r="F73" s="8" t="s">
        <v>278</v>
      </c>
      <c r="G73" s="7" t="s">
        <v>279</v>
      </c>
      <c r="H73" s="8" t="s">
        <v>280</v>
      </c>
      <c r="I73" s="9">
        <v>3301121</v>
      </c>
      <c r="J73" s="25" t="s">
        <v>281</v>
      </c>
      <c r="K73" s="25" t="s">
        <v>282</v>
      </c>
      <c r="L73" s="25" t="s">
        <v>283</v>
      </c>
      <c r="M73" s="25" t="s">
        <v>284</v>
      </c>
      <c r="N73" s="25" t="s">
        <v>86</v>
      </c>
      <c r="O73" s="25">
        <v>7</v>
      </c>
      <c r="P73" s="9">
        <v>330112100</v>
      </c>
      <c r="Q73" s="25" t="s">
        <v>285</v>
      </c>
      <c r="R73" s="12" t="s">
        <v>88</v>
      </c>
      <c r="S73" s="13"/>
      <c r="T73" s="14">
        <v>0</v>
      </c>
      <c r="U73" s="15">
        <v>4</v>
      </c>
      <c r="V73" s="30">
        <v>1</v>
      </c>
      <c r="W73" s="30">
        <v>1</v>
      </c>
      <c r="X73" s="30">
        <v>1</v>
      </c>
      <c r="Y73" s="30">
        <v>1</v>
      </c>
      <c r="Z73" s="17">
        <f>28277159/13*2</f>
        <v>4350332.153846154</v>
      </c>
      <c r="AA73" s="17">
        <f>50000000/13*2</f>
        <v>7692307.692307692</v>
      </c>
      <c r="AB73" s="17">
        <v>0</v>
      </c>
      <c r="AC73" s="17">
        <v>0</v>
      </c>
      <c r="AD73" s="17">
        <v>0</v>
      </c>
      <c r="AE73" s="17">
        <f>111249737/13*2</f>
        <v>17115344.153846152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8">
        <f>SUM(PlanIndicativo[[#This Row],[Ingresos Corrientes de Libre Destinación - ICLD (2020)]:[Otros (2020)]])</f>
        <v>29157984</v>
      </c>
      <c r="AL73" s="17">
        <f t="shared" ref="AL73:AL85" si="40">28277159/13</f>
        <v>2175166.076923077</v>
      </c>
      <c r="AM73" s="17">
        <f t="shared" ref="AM73:AM85" si="41">50000000/13</f>
        <v>3846153.846153846</v>
      </c>
      <c r="AN73" s="17">
        <v>0</v>
      </c>
      <c r="AO73" s="17">
        <v>0</v>
      </c>
      <c r="AP73" s="17">
        <v>0</v>
      </c>
      <c r="AQ73" s="17">
        <f>111249737/13</f>
        <v>8557672.0769230761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9">
        <f>SUM(PlanIndicativo[[#This Row],[Ingresos Corrientes de Libre Destinación - ICLD (2021)]:[Otros  (2021)]])</f>
        <v>14578992</v>
      </c>
      <c r="AX73" s="17">
        <f t="shared" ref="AX73:AX85" si="42">28277159/13</f>
        <v>2175166.076923077</v>
      </c>
      <c r="AY73" s="17">
        <f t="shared" ref="AY73:AY85" si="43">50000000/13</f>
        <v>3846153.846153846</v>
      </c>
      <c r="AZ73" s="17">
        <v>0</v>
      </c>
      <c r="BA73" s="17">
        <v>0</v>
      </c>
      <c r="BB73" s="17">
        <v>0</v>
      </c>
      <c r="BC73" s="17">
        <f>111249737/13</f>
        <v>8557672.0769230761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20">
        <f>SUM(PlanIndicativo[[#This Row],[Ingresos Corrientes de Libre Destinación - ICLD (2022)]:[Otros   (2022)]])</f>
        <v>14578992</v>
      </c>
      <c r="BJ73" s="17">
        <f t="shared" ref="BJ73:BJ85" si="44">28277159/13</f>
        <v>2175166.076923077</v>
      </c>
      <c r="BK73" s="17">
        <f t="shared" ref="BK73:BK85" si="45">50000000/13</f>
        <v>3846153.846153846</v>
      </c>
      <c r="BL73" s="17">
        <v>0</v>
      </c>
      <c r="BM73" s="17">
        <v>0</v>
      </c>
      <c r="BN73" s="17">
        <v>0</v>
      </c>
      <c r="BO73" s="17">
        <f>111249737/13</f>
        <v>8557672.0769230761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21">
        <f>SUM(PlanIndicativo[[#This Row],[Ingresos Corrientes de Libre Destinación - ICLD (2023)]:[Otros (2023)]])</f>
        <v>14578992</v>
      </c>
      <c r="BV73" s="21">
        <f>+PlanIndicativo[[#This Row],[Total (2020)]]+PlanIndicativo[[#This Row],[Total  (2021)]]+PlanIndicativo[[#This Row],[Total  (2022)]]+PlanIndicativo[[#This Row],[Total (2023)]]</f>
        <v>72894960</v>
      </c>
      <c r="BW73" s="22" t="s">
        <v>90</v>
      </c>
    </row>
    <row r="74" spans="1:75" ht="21" customHeight="1" x14ac:dyDescent="0.25">
      <c r="A74" s="7">
        <v>1</v>
      </c>
      <c r="B74" s="8" t="s">
        <v>75</v>
      </c>
      <c r="C74" s="7" t="s">
        <v>275</v>
      </c>
      <c r="D74" s="7" t="s">
        <v>276</v>
      </c>
      <c r="E74" s="7" t="s">
        <v>277</v>
      </c>
      <c r="F74" s="8" t="s">
        <v>278</v>
      </c>
      <c r="G74" s="7" t="s">
        <v>279</v>
      </c>
      <c r="H74" s="8" t="s">
        <v>280</v>
      </c>
      <c r="I74" s="9">
        <v>3301122</v>
      </c>
      <c r="J74" s="25" t="s">
        <v>286</v>
      </c>
      <c r="K74" s="25" t="s">
        <v>282</v>
      </c>
      <c r="L74" s="25" t="s">
        <v>283</v>
      </c>
      <c r="M74" s="25" t="s">
        <v>284</v>
      </c>
      <c r="N74" s="25" t="s">
        <v>86</v>
      </c>
      <c r="O74" s="25">
        <v>8</v>
      </c>
      <c r="P74" s="9">
        <v>330112200</v>
      </c>
      <c r="Q74" s="25" t="s">
        <v>287</v>
      </c>
      <c r="R74" s="12" t="s">
        <v>88</v>
      </c>
      <c r="S74" s="13"/>
      <c r="T74" s="14">
        <v>0</v>
      </c>
      <c r="U74" s="15">
        <v>2000</v>
      </c>
      <c r="V74" s="30">
        <v>500</v>
      </c>
      <c r="W74" s="30">
        <v>500</v>
      </c>
      <c r="X74" s="30">
        <v>500</v>
      </c>
      <c r="Y74" s="30">
        <v>500</v>
      </c>
      <c r="Z74" s="17">
        <f t="shared" ref="Z74:Z76" si="46">28277159/13*2</f>
        <v>4350332.153846154</v>
      </c>
      <c r="AA74" s="17">
        <f t="shared" ref="AA74:AA76" si="47">50000000/13*2</f>
        <v>7692307.692307692</v>
      </c>
      <c r="AB74" s="17">
        <v>0</v>
      </c>
      <c r="AC74" s="17">
        <v>0</v>
      </c>
      <c r="AD74" s="17">
        <v>0</v>
      </c>
      <c r="AE74" s="17">
        <f t="shared" ref="AE74:AE76" si="48">111249737/13*2</f>
        <v>17115344.153846152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8">
        <f>SUM(PlanIndicativo[[#This Row],[Ingresos Corrientes de Libre Destinación - ICLD (2020)]:[Otros (2020)]])</f>
        <v>29157984</v>
      </c>
      <c r="AL74" s="17">
        <f t="shared" si="40"/>
        <v>2175166.076923077</v>
      </c>
      <c r="AM74" s="17">
        <f t="shared" si="41"/>
        <v>3846153.846153846</v>
      </c>
      <c r="AN74" s="17">
        <v>0</v>
      </c>
      <c r="AO74" s="17">
        <v>0</v>
      </c>
      <c r="AP74" s="17">
        <v>0</v>
      </c>
      <c r="AQ74" s="17">
        <f t="shared" ref="AQ74:AQ85" si="49">111249737/13</f>
        <v>8557672.0769230761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9">
        <f>SUM(PlanIndicativo[[#This Row],[Ingresos Corrientes de Libre Destinación - ICLD (2021)]:[Otros  (2021)]])</f>
        <v>14578992</v>
      </c>
      <c r="AX74" s="17">
        <f t="shared" si="42"/>
        <v>2175166.076923077</v>
      </c>
      <c r="AY74" s="17">
        <f t="shared" si="43"/>
        <v>3846153.846153846</v>
      </c>
      <c r="AZ74" s="17">
        <v>0</v>
      </c>
      <c r="BA74" s="17">
        <v>0</v>
      </c>
      <c r="BB74" s="17">
        <v>0</v>
      </c>
      <c r="BC74" s="17">
        <f t="shared" ref="BC74:BC85" si="50">111249737/13</f>
        <v>8557672.0769230761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20">
        <f>SUM(PlanIndicativo[[#This Row],[Ingresos Corrientes de Libre Destinación - ICLD (2022)]:[Otros   (2022)]])</f>
        <v>14578992</v>
      </c>
      <c r="BJ74" s="17">
        <f t="shared" si="44"/>
        <v>2175166.076923077</v>
      </c>
      <c r="BK74" s="17">
        <f t="shared" si="45"/>
        <v>3846153.846153846</v>
      </c>
      <c r="BL74" s="17">
        <v>0</v>
      </c>
      <c r="BM74" s="17">
        <v>0</v>
      </c>
      <c r="BN74" s="17">
        <v>0</v>
      </c>
      <c r="BO74" s="17">
        <f t="shared" ref="BO74:BO85" si="51">111249737/13</f>
        <v>8557672.0769230761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21">
        <f>SUM(PlanIndicativo[[#This Row],[Ingresos Corrientes de Libre Destinación - ICLD (2023)]:[Otros (2023)]])</f>
        <v>14578992</v>
      </c>
      <c r="BV74" s="21">
        <f>+PlanIndicativo[[#This Row],[Total (2020)]]+PlanIndicativo[[#This Row],[Total  (2021)]]+PlanIndicativo[[#This Row],[Total  (2022)]]+PlanIndicativo[[#This Row],[Total (2023)]]</f>
        <v>72894960</v>
      </c>
      <c r="BW74" s="22" t="s">
        <v>90</v>
      </c>
    </row>
    <row r="75" spans="1:75" ht="21" customHeight="1" x14ac:dyDescent="0.25">
      <c r="A75" s="7">
        <v>1</v>
      </c>
      <c r="B75" s="8" t="s">
        <v>75</v>
      </c>
      <c r="C75" s="7" t="s">
        <v>275</v>
      </c>
      <c r="D75" s="7" t="s">
        <v>276</v>
      </c>
      <c r="E75" s="7" t="s">
        <v>277</v>
      </c>
      <c r="F75" s="8" t="s">
        <v>278</v>
      </c>
      <c r="G75" s="7" t="s">
        <v>279</v>
      </c>
      <c r="H75" s="8" t="s">
        <v>280</v>
      </c>
      <c r="I75" s="9">
        <v>3301074</v>
      </c>
      <c r="J75" s="25" t="s">
        <v>288</v>
      </c>
      <c r="K75" s="32" t="s">
        <v>289</v>
      </c>
      <c r="L75" s="25" t="s">
        <v>283</v>
      </c>
      <c r="M75" s="25" t="s">
        <v>284</v>
      </c>
      <c r="N75" s="25" t="s">
        <v>86</v>
      </c>
      <c r="O75" s="25">
        <v>10</v>
      </c>
      <c r="P75" s="9">
        <v>330107400</v>
      </c>
      <c r="Q75" s="25" t="s">
        <v>290</v>
      </c>
      <c r="R75" s="12" t="s">
        <v>88</v>
      </c>
      <c r="S75" s="13"/>
      <c r="T75" s="14">
        <v>0</v>
      </c>
      <c r="U75" s="15">
        <v>10</v>
      </c>
      <c r="V75" s="30">
        <v>2</v>
      </c>
      <c r="W75" s="30">
        <v>3</v>
      </c>
      <c r="X75" s="30">
        <v>3</v>
      </c>
      <c r="Y75" s="30">
        <v>2</v>
      </c>
      <c r="Z75" s="17">
        <f t="shared" si="46"/>
        <v>4350332.153846154</v>
      </c>
      <c r="AA75" s="17">
        <f t="shared" si="47"/>
        <v>7692307.692307692</v>
      </c>
      <c r="AB75" s="17">
        <v>0</v>
      </c>
      <c r="AC75" s="17">
        <v>0</v>
      </c>
      <c r="AD75" s="17">
        <v>0</v>
      </c>
      <c r="AE75" s="17">
        <f t="shared" si="48"/>
        <v>17115344.153846152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8">
        <f>SUM(PlanIndicativo[[#This Row],[Ingresos Corrientes de Libre Destinación - ICLD (2020)]:[Otros (2020)]])</f>
        <v>29157984</v>
      </c>
      <c r="AL75" s="17">
        <f t="shared" si="40"/>
        <v>2175166.076923077</v>
      </c>
      <c r="AM75" s="17">
        <f t="shared" si="41"/>
        <v>3846153.846153846</v>
      </c>
      <c r="AN75" s="17">
        <v>0</v>
      </c>
      <c r="AO75" s="17">
        <v>0</v>
      </c>
      <c r="AP75" s="17">
        <v>0</v>
      </c>
      <c r="AQ75" s="17">
        <f t="shared" si="49"/>
        <v>8557672.0769230761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9">
        <f>SUM(PlanIndicativo[[#This Row],[Ingresos Corrientes de Libre Destinación - ICLD (2021)]:[Otros  (2021)]])</f>
        <v>14578992</v>
      </c>
      <c r="AX75" s="17">
        <f t="shared" si="42"/>
        <v>2175166.076923077</v>
      </c>
      <c r="AY75" s="17">
        <f t="shared" si="43"/>
        <v>3846153.846153846</v>
      </c>
      <c r="AZ75" s="17">
        <v>0</v>
      </c>
      <c r="BA75" s="17">
        <v>0</v>
      </c>
      <c r="BB75" s="17">
        <v>0</v>
      </c>
      <c r="BC75" s="17">
        <f t="shared" si="50"/>
        <v>8557672.0769230761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20">
        <f>SUM(PlanIndicativo[[#This Row],[Ingresos Corrientes de Libre Destinación - ICLD (2022)]:[Otros   (2022)]])</f>
        <v>14578992</v>
      </c>
      <c r="BJ75" s="17">
        <f t="shared" si="44"/>
        <v>2175166.076923077</v>
      </c>
      <c r="BK75" s="17">
        <f t="shared" si="45"/>
        <v>3846153.846153846</v>
      </c>
      <c r="BL75" s="17">
        <v>0</v>
      </c>
      <c r="BM75" s="17">
        <v>0</v>
      </c>
      <c r="BN75" s="17">
        <v>0</v>
      </c>
      <c r="BO75" s="17">
        <f t="shared" si="51"/>
        <v>8557672.0769230761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21">
        <f>SUM(PlanIndicativo[[#This Row],[Ingresos Corrientes de Libre Destinación - ICLD (2023)]:[Otros (2023)]])</f>
        <v>14578992</v>
      </c>
      <c r="BV75" s="21">
        <f>+PlanIndicativo[[#This Row],[Total (2020)]]+PlanIndicativo[[#This Row],[Total  (2021)]]+PlanIndicativo[[#This Row],[Total  (2022)]]+PlanIndicativo[[#This Row],[Total (2023)]]</f>
        <v>72894960</v>
      </c>
      <c r="BW75" s="22" t="s">
        <v>90</v>
      </c>
    </row>
    <row r="76" spans="1:75" ht="21" customHeight="1" x14ac:dyDescent="0.25">
      <c r="A76" s="7">
        <v>1</v>
      </c>
      <c r="B76" s="8" t="s">
        <v>75</v>
      </c>
      <c r="C76" s="7" t="s">
        <v>275</v>
      </c>
      <c r="D76" s="7" t="s">
        <v>276</v>
      </c>
      <c r="E76" s="7" t="s">
        <v>277</v>
      </c>
      <c r="F76" s="8" t="s">
        <v>278</v>
      </c>
      <c r="G76" s="7" t="s">
        <v>279</v>
      </c>
      <c r="H76" s="8" t="s">
        <v>280</v>
      </c>
      <c r="I76" s="9">
        <v>3301074</v>
      </c>
      <c r="J76" s="25" t="s">
        <v>288</v>
      </c>
      <c r="K76" s="25" t="s">
        <v>282</v>
      </c>
      <c r="L76" s="25" t="s">
        <v>283</v>
      </c>
      <c r="M76" s="25" t="s">
        <v>284</v>
      </c>
      <c r="N76" s="25" t="s">
        <v>86</v>
      </c>
      <c r="O76" s="25">
        <v>6</v>
      </c>
      <c r="P76" s="9">
        <v>330107408</v>
      </c>
      <c r="Q76" s="25" t="s">
        <v>291</v>
      </c>
      <c r="R76" s="12" t="s">
        <v>88</v>
      </c>
      <c r="S76" s="13"/>
      <c r="T76" s="14">
        <v>0</v>
      </c>
      <c r="U76" s="15">
        <v>1</v>
      </c>
      <c r="V76" s="30">
        <v>1</v>
      </c>
      <c r="W76" s="30">
        <v>1</v>
      </c>
      <c r="X76" s="30">
        <v>1</v>
      </c>
      <c r="Y76" s="30">
        <v>1</v>
      </c>
      <c r="Z76" s="17">
        <f t="shared" si="46"/>
        <v>4350332.153846154</v>
      </c>
      <c r="AA76" s="17">
        <f t="shared" si="47"/>
        <v>7692307.692307692</v>
      </c>
      <c r="AB76" s="17">
        <v>0</v>
      </c>
      <c r="AC76" s="17">
        <v>0</v>
      </c>
      <c r="AD76" s="17">
        <v>0</v>
      </c>
      <c r="AE76" s="17">
        <f t="shared" si="48"/>
        <v>17115344.153846152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8">
        <f>SUM(PlanIndicativo[[#This Row],[Ingresos Corrientes de Libre Destinación - ICLD (2020)]:[Otros (2020)]])</f>
        <v>29157984</v>
      </c>
      <c r="AL76" s="17">
        <f t="shared" si="40"/>
        <v>2175166.076923077</v>
      </c>
      <c r="AM76" s="17">
        <f t="shared" si="41"/>
        <v>3846153.846153846</v>
      </c>
      <c r="AN76" s="17">
        <v>0</v>
      </c>
      <c r="AO76" s="17">
        <v>0</v>
      </c>
      <c r="AP76" s="17">
        <v>0</v>
      </c>
      <c r="AQ76" s="17">
        <f t="shared" si="49"/>
        <v>8557672.0769230761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9">
        <f>SUM(PlanIndicativo[[#This Row],[Ingresos Corrientes de Libre Destinación - ICLD (2021)]:[Otros  (2021)]])</f>
        <v>14578992</v>
      </c>
      <c r="AX76" s="17">
        <f t="shared" si="42"/>
        <v>2175166.076923077</v>
      </c>
      <c r="AY76" s="17">
        <f t="shared" si="43"/>
        <v>3846153.846153846</v>
      </c>
      <c r="AZ76" s="17">
        <v>0</v>
      </c>
      <c r="BA76" s="17">
        <v>0</v>
      </c>
      <c r="BB76" s="17">
        <v>0</v>
      </c>
      <c r="BC76" s="17">
        <f t="shared" si="50"/>
        <v>8557672.0769230761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20">
        <f>SUM(PlanIndicativo[[#This Row],[Ingresos Corrientes de Libre Destinación - ICLD (2022)]:[Otros   (2022)]])</f>
        <v>14578992</v>
      </c>
      <c r="BJ76" s="17">
        <f t="shared" si="44"/>
        <v>2175166.076923077</v>
      </c>
      <c r="BK76" s="17">
        <f t="shared" si="45"/>
        <v>3846153.846153846</v>
      </c>
      <c r="BL76" s="17">
        <v>0</v>
      </c>
      <c r="BM76" s="17">
        <v>0</v>
      </c>
      <c r="BN76" s="17">
        <v>0</v>
      </c>
      <c r="BO76" s="17">
        <f t="shared" si="51"/>
        <v>8557672.0769230761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21">
        <f>SUM(PlanIndicativo[[#This Row],[Ingresos Corrientes de Libre Destinación - ICLD (2023)]:[Otros (2023)]])</f>
        <v>14578992</v>
      </c>
      <c r="BV76" s="21">
        <f>+PlanIndicativo[[#This Row],[Total (2020)]]+PlanIndicativo[[#This Row],[Total  (2021)]]+PlanIndicativo[[#This Row],[Total  (2022)]]+PlanIndicativo[[#This Row],[Total (2023)]]</f>
        <v>72894960</v>
      </c>
      <c r="BW76" s="22" t="s">
        <v>90</v>
      </c>
    </row>
    <row r="77" spans="1:75" ht="21" customHeight="1" x14ac:dyDescent="0.25">
      <c r="A77" s="7">
        <v>1</v>
      </c>
      <c r="B77" s="8" t="s">
        <v>75</v>
      </c>
      <c r="C77" s="7" t="s">
        <v>275</v>
      </c>
      <c r="D77" s="7" t="s">
        <v>276</v>
      </c>
      <c r="E77" s="7" t="s">
        <v>277</v>
      </c>
      <c r="F77" s="8" t="s">
        <v>278</v>
      </c>
      <c r="G77" s="7" t="s">
        <v>279</v>
      </c>
      <c r="H77" s="8" t="s">
        <v>280</v>
      </c>
      <c r="I77" s="9">
        <v>3301053</v>
      </c>
      <c r="J77" s="25" t="s">
        <v>292</v>
      </c>
      <c r="K77" s="25" t="s">
        <v>282</v>
      </c>
      <c r="L77" s="25" t="s">
        <v>283</v>
      </c>
      <c r="M77" s="25" t="s">
        <v>284</v>
      </c>
      <c r="N77" s="25" t="s">
        <v>86</v>
      </c>
      <c r="O77" s="25">
        <v>7</v>
      </c>
      <c r="P77" s="9">
        <v>330105300</v>
      </c>
      <c r="Q77" s="25" t="s">
        <v>293</v>
      </c>
      <c r="R77" s="12" t="s">
        <v>88</v>
      </c>
      <c r="S77" s="13"/>
      <c r="T77" s="14">
        <v>0</v>
      </c>
      <c r="U77" s="15">
        <v>20</v>
      </c>
      <c r="V77" s="30">
        <v>5</v>
      </c>
      <c r="W77" s="30">
        <v>5</v>
      </c>
      <c r="X77" s="30">
        <v>5</v>
      </c>
      <c r="Y77" s="30">
        <v>5</v>
      </c>
      <c r="Z77" s="17">
        <f t="shared" ref="Z77:Z85" si="52">28277159/13</f>
        <v>2175166.076923077</v>
      </c>
      <c r="AA77" s="17">
        <f t="shared" ref="AA77:AA85" si="53">50000000/13</f>
        <v>3846153.846153846</v>
      </c>
      <c r="AB77" s="17">
        <v>0</v>
      </c>
      <c r="AC77" s="17">
        <v>0</v>
      </c>
      <c r="AD77" s="17">
        <v>0</v>
      </c>
      <c r="AE77" s="17">
        <f t="shared" ref="AE77:AE85" si="54">111249737/13</f>
        <v>8557672.0769230761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8">
        <f>SUM(PlanIndicativo[[#This Row],[Ingresos Corrientes de Libre Destinación - ICLD (2020)]:[Otros (2020)]])</f>
        <v>14578992</v>
      </c>
      <c r="AL77" s="17">
        <f>28277159/13*2</f>
        <v>4350332.153846154</v>
      </c>
      <c r="AM77" s="17">
        <f>50000000/13*2</f>
        <v>7692307.692307692</v>
      </c>
      <c r="AN77" s="17">
        <v>0</v>
      </c>
      <c r="AO77" s="17">
        <v>0</v>
      </c>
      <c r="AP77" s="17">
        <v>0</v>
      </c>
      <c r="AQ77" s="17">
        <f>111249737/13*2</f>
        <v>17115344.153846152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9">
        <f>SUM(PlanIndicativo[[#This Row],[Ingresos Corrientes de Libre Destinación - ICLD (2021)]:[Otros  (2021)]])</f>
        <v>29157984</v>
      </c>
      <c r="AX77" s="17">
        <f t="shared" si="42"/>
        <v>2175166.076923077</v>
      </c>
      <c r="AY77" s="17">
        <f t="shared" si="43"/>
        <v>3846153.846153846</v>
      </c>
      <c r="AZ77" s="17">
        <v>0</v>
      </c>
      <c r="BA77" s="17">
        <v>0</v>
      </c>
      <c r="BB77" s="17">
        <v>0</v>
      </c>
      <c r="BC77" s="17">
        <f t="shared" si="50"/>
        <v>8557672.0769230761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20">
        <f>SUM(PlanIndicativo[[#This Row],[Ingresos Corrientes de Libre Destinación - ICLD (2022)]:[Otros   (2022)]])</f>
        <v>14578992</v>
      </c>
      <c r="BJ77" s="17">
        <f t="shared" si="44"/>
        <v>2175166.076923077</v>
      </c>
      <c r="BK77" s="17">
        <f t="shared" si="45"/>
        <v>3846153.846153846</v>
      </c>
      <c r="BL77" s="17">
        <v>0</v>
      </c>
      <c r="BM77" s="17">
        <v>0</v>
      </c>
      <c r="BN77" s="17">
        <v>0</v>
      </c>
      <c r="BO77" s="17">
        <f t="shared" si="51"/>
        <v>8557672.0769230761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21">
        <f>SUM(PlanIndicativo[[#This Row],[Ingresos Corrientes de Libre Destinación - ICLD (2023)]:[Otros (2023)]])</f>
        <v>14578992</v>
      </c>
      <c r="BV77" s="21">
        <f>+PlanIndicativo[[#This Row],[Total (2020)]]+PlanIndicativo[[#This Row],[Total  (2021)]]+PlanIndicativo[[#This Row],[Total  (2022)]]+PlanIndicativo[[#This Row],[Total (2023)]]</f>
        <v>72894960</v>
      </c>
      <c r="BW77" s="22" t="s">
        <v>90</v>
      </c>
    </row>
    <row r="78" spans="1:75" ht="21" customHeight="1" x14ac:dyDescent="0.25">
      <c r="A78" s="7">
        <v>1</v>
      </c>
      <c r="B78" s="8" t="s">
        <v>75</v>
      </c>
      <c r="C78" s="7" t="s">
        <v>275</v>
      </c>
      <c r="D78" s="7" t="s">
        <v>276</v>
      </c>
      <c r="E78" s="7" t="s">
        <v>277</v>
      </c>
      <c r="F78" s="8" t="s">
        <v>278</v>
      </c>
      <c r="G78" s="7" t="s">
        <v>279</v>
      </c>
      <c r="H78" s="8" t="s">
        <v>280</v>
      </c>
      <c r="I78" s="9">
        <v>3301068</v>
      </c>
      <c r="J78" s="25" t="s">
        <v>294</v>
      </c>
      <c r="K78" s="25" t="s">
        <v>282</v>
      </c>
      <c r="L78" s="25" t="s">
        <v>283</v>
      </c>
      <c r="M78" s="25" t="s">
        <v>284</v>
      </c>
      <c r="N78" s="25" t="s">
        <v>86</v>
      </c>
      <c r="O78" s="25">
        <v>8</v>
      </c>
      <c r="P78" s="9">
        <v>330106800</v>
      </c>
      <c r="Q78" s="25" t="s">
        <v>295</v>
      </c>
      <c r="R78" s="12" t="s">
        <v>88</v>
      </c>
      <c r="S78" s="13"/>
      <c r="T78" s="14">
        <v>0</v>
      </c>
      <c r="U78" s="15">
        <v>1</v>
      </c>
      <c r="V78" s="30">
        <v>0</v>
      </c>
      <c r="W78" s="30">
        <v>0</v>
      </c>
      <c r="X78" s="30">
        <v>0</v>
      </c>
      <c r="Y78" s="30">
        <v>1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8">
        <f>SUM(PlanIndicativo[[#This Row],[Ingresos Corrientes de Libre Destinación - ICLD (2020)]:[Otros (2020)]])</f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9">
        <f>SUM(PlanIndicativo[[#This Row],[Ingresos Corrientes de Libre Destinación - ICLD (2021)]:[Otros  (2021)]])</f>
        <v>0</v>
      </c>
      <c r="AX78" s="17">
        <f t="shared" si="42"/>
        <v>2175166.076923077</v>
      </c>
      <c r="AY78" s="17">
        <f t="shared" si="43"/>
        <v>3846153.846153846</v>
      </c>
      <c r="AZ78" s="17">
        <v>0</v>
      </c>
      <c r="BA78" s="17">
        <v>0</v>
      </c>
      <c r="BB78" s="17">
        <v>0</v>
      </c>
      <c r="BC78" s="17">
        <f t="shared" si="50"/>
        <v>8557672.0769230761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20">
        <f>SUM(PlanIndicativo[[#This Row],[Ingresos Corrientes de Libre Destinación - ICLD (2022)]:[Otros   (2022)]])</f>
        <v>14578992</v>
      </c>
      <c r="BJ78" s="17">
        <f t="shared" si="44"/>
        <v>2175166.076923077</v>
      </c>
      <c r="BK78" s="17">
        <f t="shared" si="45"/>
        <v>3846153.846153846</v>
      </c>
      <c r="BL78" s="17">
        <v>0</v>
      </c>
      <c r="BM78" s="17">
        <v>0</v>
      </c>
      <c r="BN78" s="17">
        <v>0</v>
      </c>
      <c r="BO78" s="17">
        <f t="shared" si="51"/>
        <v>8557672.0769230761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21">
        <f>SUM(PlanIndicativo[[#This Row],[Ingresos Corrientes de Libre Destinación - ICLD (2023)]:[Otros (2023)]])</f>
        <v>14578992</v>
      </c>
      <c r="BV78" s="21">
        <f>+PlanIndicativo[[#This Row],[Total (2020)]]+PlanIndicativo[[#This Row],[Total  (2021)]]+PlanIndicativo[[#This Row],[Total  (2022)]]+PlanIndicativo[[#This Row],[Total (2023)]]</f>
        <v>29157984</v>
      </c>
      <c r="BW78" s="22" t="s">
        <v>90</v>
      </c>
    </row>
    <row r="79" spans="1:75" ht="21" customHeight="1" x14ac:dyDescent="0.25">
      <c r="A79" s="7">
        <v>1</v>
      </c>
      <c r="B79" s="8" t="s">
        <v>75</v>
      </c>
      <c r="C79" s="7" t="s">
        <v>275</v>
      </c>
      <c r="D79" s="7" t="s">
        <v>276</v>
      </c>
      <c r="E79" s="7" t="s">
        <v>277</v>
      </c>
      <c r="F79" s="8" t="s">
        <v>278</v>
      </c>
      <c r="G79" s="7" t="s">
        <v>279</v>
      </c>
      <c r="H79" s="8" t="s">
        <v>280</v>
      </c>
      <c r="I79" s="9">
        <v>3301094</v>
      </c>
      <c r="J79" s="25" t="s">
        <v>296</v>
      </c>
      <c r="K79" s="25" t="s">
        <v>282</v>
      </c>
      <c r="L79" s="25" t="s">
        <v>283</v>
      </c>
      <c r="M79" s="25" t="s">
        <v>284</v>
      </c>
      <c r="N79" s="25" t="s">
        <v>86</v>
      </c>
      <c r="O79" s="25">
        <v>10</v>
      </c>
      <c r="P79" s="9">
        <v>330109400</v>
      </c>
      <c r="Q79" s="25" t="s">
        <v>297</v>
      </c>
      <c r="R79" s="12" t="s">
        <v>88</v>
      </c>
      <c r="S79" s="13"/>
      <c r="T79" s="14">
        <v>0</v>
      </c>
      <c r="U79" s="15">
        <v>1</v>
      </c>
      <c r="V79" s="30">
        <v>0</v>
      </c>
      <c r="W79" s="30">
        <v>0</v>
      </c>
      <c r="X79" s="30">
        <v>1</v>
      </c>
      <c r="Y79" s="30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8">
        <f>SUM(PlanIndicativo[[#This Row],[Ingresos Corrientes de Libre Destinación - ICLD (2020)]:[Otros (2020)]])</f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9">
        <f>SUM(PlanIndicativo[[#This Row],[Ingresos Corrientes de Libre Destinación - ICLD (2021)]:[Otros  (2021)]])</f>
        <v>0</v>
      </c>
      <c r="AX79" s="17">
        <f t="shared" si="42"/>
        <v>2175166.076923077</v>
      </c>
      <c r="AY79" s="17">
        <f t="shared" si="43"/>
        <v>3846153.846153846</v>
      </c>
      <c r="AZ79" s="17">
        <v>0</v>
      </c>
      <c r="BA79" s="17">
        <v>0</v>
      </c>
      <c r="BB79" s="17">
        <v>0</v>
      </c>
      <c r="BC79" s="17">
        <f t="shared" si="50"/>
        <v>8557672.0769230761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20">
        <f>SUM(PlanIndicativo[[#This Row],[Ingresos Corrientes de Libre Destinación - ICLD (2022)]:[Otros   (2022)]])</f>
        <v>14578992</v>
      </c>
      <c r="BJ79" s="17">
        <f t="shared" si="44"/>
        <v>2175166.076923077</v>
      </c>
      <c r="BK79" s="17">
        <f t="shared" si="45"/>
        <v>3846153.846153846</v>
      </c>
      <c r="BL79" s="17">
        <v>0</v>
      </c>
      <c r="BM79" s="17">
        <v>0</v>
      </c>
      <c r="BN79" s="17">
        <v>0</v>
      </c>
      <c r="BO79" s="17">
        <f t="shared" si="51"/>
        <v>8557672.0769230761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21">
        <f>SUM(PlanIndicativo[[#This Row],[Ingresos Corrientes de Libre Destinación - ICLD (2023)]:[Otros (2023)]])</f>
        <v>14578992</v>
      </c>
      <c r="BV79" s="21">
        <f>+PlanIndicativo[[#This Row],[Total (2020)]]+PlanIndicativo[[#This Row],[Total  (2021)]]+PlanIndicativo[[#This Row],[Total  (2022)]]+PlanIndicativo[[#This Row],[Total (2023)]]</f>
        <v>29157984</v>
      </c>
      <c r="BW79" s="22" t="s">
        <v>90</v>
      </c>
    </row>
    <row r="80" spans="1:75" ht="21" customHeight="1" x14ac:dyDescent="0.25">
      <c r="A80" s="7">
        <v>1</v>
      </c>
      <c r="B80" s="8" t="s">
        <v>75</v>
      </c>
      <c r="C80" s="7" t="s">
        <v>275</v>
      </c>
      <c r="D80" s="7" t="s">
        <v>276</v>
      </c>
      <c r="E80" s="7" t="s">
        <v>277</v>
      </c>
      <c r="F80" s="8" t="s">
        <v>278</v>
      </c>
      <c r="G80" s="7" t="s">
        <v>279</v>
      </c>
      <c r="H80" s="8" t="s">
        <v>280</v>
      </c>
      <c r="I80" s="9">
        <v>3301096</v>
      </c>
      <c r="J80" s="25" t="s">
        <v>298</v>
      </c>
      <c r="K80" s="25" t="s">
        <v>282</v>
      </c>
      <c r="L80" s="25" t="s">
        <v>283</v>
      </c>
      <c r="M80" s="25" t="s">
        <v>284</v>
      </c>
      <c r="N80" s="25" t="s">
        <v>86</v>
      </c>
      <c r="O80" s="25">
        <v>11</v>
      </c>
      <c r="P80" s="9">
        <v>330109600</v>
      </c>
      <c r="Q80" s="25" t="s">
        <v>298</v>
      </c>
      <c r="R80" s="12" t="s">
        <v>88</v>
      </c>
      <c r="S80" s="13"/>
      <c r="T80" s="14">
        <v>0</v>
      </c>
      <c r="U80" s="15">
        <v>1</v>
      </c>
      <c r="V80" s="30">
        <v>0</v>
      </c>
      <c r="W80" s="30">
        <v>1</v>
      </c>
      <c r="X80" s="30">
        <v>0</v>
      </c>
      <c r="Y80" s="30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8">
        <f>SUM(PlanIndicativo[[#This Row],[Ingresos Corrientes de Libre Destinación - ICLD (2020)]:[Otros (2020)]])</f>
        <v>0</v>
      </c>
      <c r="AL80" s="17">
        <f>28277159/13*2</f>
        <v>4350332.153846154</v>
      </c>
      <c r="AM80" s="17">
        <f>50000000/13*2</f>
        <v>7692307.692307692</v>
      </c>
      <c r="AN80" s="17">
        <v>0</v>
      </c>
      <c r="AO80" s="17">
        <v>0</v>
      </c>
      <c r="AP80" s="17">
        <v>0</v>
      </c>
      <c r="AQ80" s="17">
        <f>111249737/13*2</f>
        <v>17115344.153846152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9">
        <f>SUM(PlanIndicativo[[#This Row],[Ingresos Corrientes de Libre Destinación - ICLD (2021)]:[Otros  (2021)]])</f>
        <v>29157984</v>
      </c>
      <c r="AX80" s="17">
        <f t="shared" si="42"/>
        <v>2175166.076923077</v>
      </c>
      <c r="AY80" s="17">
        <f t="shared" si="43"/>
        <v>3846153.846153846</v>
      </c>
      <c r="AZ80" s="17">
        <v>0</v>
      </c>
      <c r="BA80" s="17">
        <v>0</v>
      </c>
      <c r="BB80" s="17">
        <v>0</v>
      </c>
      <c r="BC80" s="17">
        <f t="shared" si="50"/>
        <v>8557672.0769230761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20">
        <f>SUM(PlanIndicativo[[#This Row],[Ingresos Corrientes de Libre Destinación - ICLD (2022)]:[Otros   (2022)]])</f>
        <v>14578992</v>
      </c>
      <c r="BJ80" s="17">
        <f t="shared" si="44"/>
        <v>2175166.076923077</v>
      </c>
      <c r="BK80" s="17">
        <f t="shared" si="45"/>
        <v>3846153.846153846</v>
      </c>
      <c r="BL80" s="17">
        <v>0</v>
      </c>
      <c r="BM80" s="17">
        <v>0</v>
      </c>
      <c r="BN80" s="17">
        <v>0</v>
      </c>
      <c r="BO80" s="17">
        <f t="shared" si="51"/>
        <v>8557672.0769230761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21">
        <f>SUM(PlanIndicativo[[#This Row],[Ingresos Corrientes de Libre Destinación - ICLD (2023)]:[Otros (2023)]])</f>
        <v>14578992</v>
      </c>
      <c r="BV80" s="21">
        <f>+PlanIndicativo[[#This Row],[Total (2020)]]+PlanIndicativo[[#This Row],[Total  (2021)]]+PlanIndicativo[[#This Row],[Total  (2022)]]+PlanIndicativo[[#This Row],[Total (2023)]]</f>
        <v>58315968</v>
      </c>
      <c r="BW80" s="22" t="s">
        <v>90</v>
      </c>
    </row>
    <row r="81" spans="1:75" ht="21" customHeight="1" x14ac:dyDescent="0.25">
      <c r="A81" s="7">
        <v>1</v>
      </c>
      <c r="B81" s="8" t="s">
        <v>75</v>
      </c>
      <c r="C81" s="7" t="s">
        <v>275</v>
      </c>
      <c r="D81" s="7" t="s">
        <v>276</v>
      </c>
      <c r="E81" s="7" t="s">
        <v>277</v>
      </c>
      <c r="F81" s="8" t="s">
        <v>278</v>
      </c>
      <c r="G81" s="7" t="s">
        <v>279</v>
      </c>
      <c r="H81" s="8" t="s">
        <v>280</v>
      </c>
      <c r="I81" s="9">
        <v>3301097</v>
      </c>
      <c r="J81" s="25" t="s">
        <v>299</v>
      </c>
      <c r="K81" s="25" t="s">
        <v>282</v>
      </c>
      <c r="L81" s="25" t="s">
        <v>283</v>
      </c>
      <c r="M81" s="25" t="s">
        <v>284</v>
      </c>
      <c r="N81" s="25" t="s">
        <v>86</v>
      </c>
      <c r="O81" s="25">
        <v>12</v>
      </c>
      <c r="P81" s="9">
        <v>330109700</v>
      </c>
      <c r="Q81" s="25" t="s">
        <v>299</v>
      </c>
      <c r="R81" s="12" t="s">
        <v>88</v>
      </c>
      <c r="S81" s="13"/>
      <c r="T81" s="14">
        <v>1</v>
      </c>
      <c r="U81" s="15">
        <v>1</v>
      </c>
      <c r="V81" s="30">
        <v>0</v>
      </c>
      <c r="W81" s="30">
        <v>1</v>
      </c>
      <c r="X81" s="30">
        <v>0</v>
      </c>
      <c r="Y81" s="30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8">
        <f>SUM(PlanIndicativo[[#This Row],[Ingresos Corrientes de Libre Destinación - ICLD (2020)]:[Otros (2020)]])</f>
        <v>0</v>
      </c>
      <c r="AL81" s="17">
        <f t="shared" si="40"/>
        <v>2175166.076923077</v>
      </c>
      <c r="AM81" s="17">
        <f t="shared" si="41"/>
        <v>3846153.846153846</v>
      </c>
      <c r="AN81" s="17">
        <v>0</v>
      </c>
      <c r="AO81" s="17">
        <v>0</v>
      </c>
      <c r="AP81" s="17">
        <v>0</v>
      </c>
      <c r="AQ81" s="17">
        <f t="shared" si="49"/>
        <v>8557672.0769230761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9">
        <f>SUM(PlanIndicativo[[#This Row],[Ingresos Corrientes de Libre Destinación - ICLD (2021)]:[Otros  (2021)]])</f>
        <v>14578992</v>
      </c>
      <c r="AX81" s="17">
        <f t="shared" si="42"/>
        <v>2175166.076923077</v>
      </c>
      <c r="AY81" s="17">
        <f t="shared" si="43"/>
        <v>3846153.846153846</v>
      </c>
      <c r="AZ81" s="17">
        <v>0</v>
      </c>
      <c r="BA81" s="17">
        <v>0</v>
      </c>
      <c r="BB81" s="17">
        <v>0</v>
      </c>
      <c r="BC81" s="17">
        <f t="shared" si="50"/>
        <v>8557672.0769230761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20">
        <f>SUM(PlanIndicativo[[#This Row],[Ingresos Corrientes de Libre Destinación - ICLD (2022)]:[Otros   (2022)]])</f>
        <v>14578992</v>
      </c>
      <c r="BJ81" s="17">
        <f t="shared" si="44"/>
        <v>2175166.076923077</v>
      </c>
      <c r="BK81" s="17">
        <f t="shared" si="45"/>
        <v>3846153.846153846</v>
      </c>
      <c r="BL81" s="17">
        <v>0</v>
      </c>
      <c r="BM81" s="17">
        <v>0</v>
      </c>
      <c r="BN81" s="17">
        <v>0</v>
      </c>
      <c r="BO81" s="17">
        <f t="shared" si="51"/>
        <v>8557672.0769230761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21">
        <f>SUM(PlanIndicativo[[#This Row],[Ingresos Corrientes de Libre Destinación - ICLD (2023)]:[Otros (2023)]])</f>
        <v>14578992</v>
      </c>
      <c r="BV81" s="21">
        <f>+PlanIndicativo[[#This Row],[Total (2020)]]+PlanIndicativo[[#This Row],[Total  (2021)]]+PlanIndicativo[[#This Row],[Total  (2022)]]+PlanIndicativo[[#This Row],[Total (2023)]]</f>
        <v>43736976</v>
      </c>
      <c r="BW81" s="22" t="s">
        <v>90</v>
      </c>
    </row>
    <row r="82" spans="1:75" ht="21" customHeight="1" x14ac:dyDescent="0.25">
      <c r="A82" s="7">
        <v>1</v>
      </c>
      <c r="B82" s="8" t="s">
        <v>75</v>
      </c>
      <c r="C82" s="7" t="s">
        <v>275</v>
      </c>
      <c r="D82" s="7" t="s">
        <v>276</v>
      </c>
      <c r="E82" s="7" t="s">
        <v>277</v>
      </c>
      <c r="F82" s="8" t="s">
        <v>278</v>
      </c>
      <c r="G82" s="7" t="s">
        <v>279</v>
      </c>
      <c r="H82" s="8" t="s">
        <v>280</v>
      </c>
      <c r="I82" s="9">
        <v>3301098</v>
      </c>
      <c r="J82" s="25" t="s">
        <v>300</v>
      </c>
      <c r="K82" s="32" t="s">
        <v>301</v>
      </c>
      <c r="L82" s="25" t="s">
        <v>283</v>
      </c>
      <c r="M82" s="25" t="s">
        <v>284</v>
      </c>
      <c r="N82" s="25" t="s">
        <v>86</v>
      </c>
      <c r="O82" s="25">
        <v>6</v>
      </c>
      <c r="P82" s="9">
        <v>330109800</v>
      </c>
      <c r="Q82" s="25" t="s">
        <v>302</v>
      </c>
      <c r="R82" s="12" t="s">
        <v>88</v>
      </c>
      <c r="S82" s="13"/>
      <c r="T82" s="14">
        <v>50</v>
      </c>
      <c r="U82" s="15">
        <v>80</v>
      </c>
      <c r="V82" s="30">
        <v>20</v>
      </c>
      <c r="W82" s="30">
        <v>20</v>
      </c>
      <c r="X82" s="30">
        <v>20</v>
      </c>
      <c r="Y82" s="30">
        <v>20</v>
      </c>
      <c r="Z82" s="17">
        <f t="shared" si="52"/>
        <v>2175166.076923077</v>
      </c>
      <c r="AA82" s="17">
        <f t="shared" si="53"/>
        <v>3846153.846153846</v>
      </c>
      <c r="AB82" s="17">
        <v>0</v>
      </c>
      <c r="AC82" s="17">
        <v>0</v>
      </c>
      <c r="AD82" s="17">
        <v>0</v>
      </c>
      <c r="AE82" s="17">
        <f t="shared" si="54"/>
        <v>8557672.0769230761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8">
        <f>SUM(PlanIndicativo[[#This Row],[Ingresos Corrientes de Libre Destinación - ICLD (2020)]:[Otros (2020)]])</f>
        <v>14578992</v>
      </c>
      <c r="AL82" s="17">
        <f t="shared" si="40"/>
        <v>2175166.076923077</v>
      </c>
      <c r="AM82" s="17">
        <f t="shared" si="41"/>
        <v>3846153.846153846</v>
      </c>
      <c r="AN82" s="17">
        <v>0</v>
      </c>
      <c r="AO82" s="17">
        <v>0</v>
      </c>
      <c r="AP82" s="17">
        <v>0</v>
      </c>
      <c r="AQ82" s="17">
        <f t="shared" si="49"/>
        <v>8557672.0769230761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9">
        <f>SUM(PlanIndicativo[[#This Row],[Ingresos Corrientes de Libre Destinación - ICLD (2021)]:[Otros  (2021)]])</f>
        <v>14578992</v>
      </c>
      <c r="AX82" s="17">
        <f t="shared" si="42"/>
        <v>2175166.076923077</v>
      </c>
      <c r="AY82" s="17">
        <f t="shared" si="43"/>
        <v>3846153.846153846</v>
      </c>
      <c r="AZ82" s="17">
        <v>0</v>
      </c>
      <c r="BA82" s="17">
        <v>0</v>
      </c>
      <c r="BB82" s="17">
        <v>0</v>
      </c>
      <c r="BC82" s="17">
        <f t="shared" si="50"/>
        <v>8557672.0769230761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20">
        <f>SUM(PlanIndicativo[[#This Row],[Ingresos Corrientes de Libre Destinación - ICLD (2022)]:[Otros   (2022)]])</f>
        <v>14578992</v>
      </c>
      <c r="BJ82" s="17">
        <f t="shared" si="44"/>
        <v>2175166.076923077</v>
      </c>
      <c r="BK82" s="17">
        <f t="shared" si="45"/>
        <v>3846153.846153846</v>
      </c>
      <c r="BL82" s="17">
        <v>0</v>
      </c>
      <c r="BM82" s="17">
        <v>0</v>
      </c>
      <c r="BN82" s="17">
        <v>0</v>
      </c>
      <c r="BO82" s="17">
        <f t="shared" si="51"/>
        <v>8557672.0769230761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21">
        <f>SUM(PlanIndicativo[[#This Row],[Ingresos Corrientes de Libre Destinación - ICLD (2023)]:[Otros (2023)]])</f>
        <v>14578992</v>
      </c>
      <c r="BV82" s="21">
        <f>+PlanIndicativo[[#This Row],[Total (2020)]]+PlanIndicativo[[#This Row],[Total  (2021)]]+PlanIndicativo[[#This Row],[Total  (2022)]]+PlanIndicativo[[#This Row],[Total (2023)]]</f>
        <v>58315968</v>
      </c>
      <c r="BW82" s="22" t="s">
        <v>90</v>
      </c>
    </row>
    <row r="83" spans="1:75" ht="21" customHeight="1" x14ac:dyDescent="0.25">
      <c r="A83" s="7">
        <v>1</v>
      </c>
      <c r="B83" s="8" t="s">
        <v>75</v>
      </c>
      <c r="C83" s="7" t="s">
        <v>275</v>
      </c>
      <c r="D83" s="7" t="s">
        <v>276</v>
      </c>
      <c r="E83" s="7" t="s">
        <v>277</v>
      </c>
      <c r="F83" s="8" t="s">
        <v>278</v>
      </c>
      <c r="G83" s="7" t="s">
        <v>279</v>
      </c>
      <c r="H83" s="8" t="s">
        <v>280</v>
      </c>
      <c r="I83" s="9">
        <v>3301085</v>
      </c>
      <c r="J83" s="11" t="s">
        <v>303</v>
      </c>
      <c r="K83" s="10" t="s">
        <v>304</v>
      </c>
      <c r="L83" s="25" t="s">
        <v>283</v>
      </c>
      <c r="M83" s="25" t="s">
        <v>284</v>
      </c>
      <c r="N83" s="25" t="s">
        <v>86</v>
      </c>
      <c r="O83" s="11">
        <v>8</v>
      </c>
      <c r="P83" s="9">
        <v>330108500</v>
      </c>
      <c r="Q83" s="11" t="s">
        <v>305</v>
      </c>
      <c r="R83" s="12" t="s">
        <v>88</v>
      </c>
      <c r="S83" s="13"/>
      <c r="T83" s="14">
        <v>0</v>
      </c>
      <c r="U83" s="15">
        <v>2400</v>
      </c>
      <c r="V83" s="30">
        <v>600</v>
      </c>
      <c r="W83" s="30">
        <v>600</v>
      </c>
      <c r="X83" s="30">
        <v>600</v>
      </c>
      <c r="Y83" s="30">
        <v>600</v>
      </c>
      <c r="Z83" s="17">
        <f t="shared" si="52"/>
        <v>2175166.076923077</v>
      </c>
      <c r="AA83" s="17">
        <f t="shared" si="53"/>
        <v>3846153.846153846</v>
      </c>
      <c r="AB83" s="17">
        <v>0</v>
      </c>
      <c r="AC83" s="17">
        <v>0</v>
      </c>
      <c r="AD83" s="17">
        <v>0</v>
      </c>
      <c r="AE83" s="17">
        <f t="shared" si="54"/>
        <v>8557672.0769230761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8">
        <f>SUM(PlanIndicativo[[#This Row],[Ingresos Corrientes de Libre Destinación - ICLD (2020)]:[Otros (2020)]])</f>
        <v>14578992</v>
      </c>
      <c r="AL83" s="17">
        <f t="shared" si="40"/>
        <v>2175166.076923077</v>
      </c>
      <c r="AM83" s="17">
        <f t="shared" si="41"/>
        <v>3846153.846153846</v>
      </c>
      <c r="AN83" s="17">
        <v>0</v>
      </c>
      <c r="AO83" s="17">
        <v>0</v>
      </c>
      <c r="AP83" s="17">
        <v>0</v>
      </c>
      <c r="AQ83" s="17">
        <f t="shared" si="49"/>
        <v>8557672.0769230761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9">
        <f>SUM(PlanIndicativo[[#This Row],[Ingresos Corrientes de Libre Destinación - ICLD (2021)]:[Otros  (2021)]])</f>
        <v>14578992</v>
      </c>
      <c r="AX83" s="17">
        <f t="shared" si="42"/>
        <v>2175166.076923077</v>
      </c>
      <c r="AY83" s="17">
        <f t="shared" si="43"/>
        <v>3846153.846153846</v>
      </c>
      <c r="AZ83" s="17">
        <v>0</v>
      </c>
      <c r="BA83" s="17">
        <v>0</v>
      </c>
      <c r="BB83" s="17">
        <v>0</v>
      </c>
      <c r="BC83" s="17">
        <f t="shared" si="50"/>
        <v>8557672.0769230761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20">
        <f>SUM(PlanIndicativo[[#This Row],[Ingresos Corrientes de Libre Destinación - ICLD (2022)]:[Otros   (2022)]])</f>
        <v>14578992</v>
      </c>
      <c r="BJ83" s="17">
        <f t="shared" si="44"/>
        <v>2175166.076923077</v>
      </c>
      <c r="BK83" s="17">
        <f t="shared" si="45"/>
        <v>3846153.846153846</v>
      </c>
      <c r="BL83" s="17">
        <v>0</v>
      </c>
      <c r="BM83" s="17">
        <v>0</v>
      </c>
      <c r="BN83" s="17">
        <v>0</v>
      </c>
      <c r="BO83" s="17">
        <f t="shared" si="51"/>
        <v>8557672.0769230761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21">
        <f>SUM(PlanIndicativo[[#This Row],[Ingresos Corrientes de Libre Destinación - ICLD (2023)]:[Otros (2023)]])</f>
        <v>14578992</v>
      </c>
      <c r="BV83" s="21">
        <f>+PlanIndicativo[[#This Row],[Total (2020)]]+PlanIndicativo[[#This Row],[Total  (2021)]]+PlanIndicativo[[#This Row],[Total  (2022)]]+PlanIndicativo[[#This Row],[Total (2023)]]</f>
        <v>58315968</v>
      </c>
      <c r="BW83" s="22" t="s">
        <v>90</v>
      </c>
    </row>
    <row r="84" spans="1:75" ht="21" customHeight="1" x14ac:dyDescent="0.25">
      <c r="A84" s="7">
        <v>1</v>
      </c>
      <c r="B84" s="8" t="s">
        <v>75</v>
      </c>
      <c r="C84" s="7" t="s">
        <v>275</v>
      </c>
      <c r="D84" s="7" t="s">
        <v>276</v>
      </c>
      <c r="E84" s="7" t="s">
        <v>277</v>
      </c>
      <c r="F84" s="8" t="s">
        <v>278</v>
      </c>
      <c r="G84" s="7" t="s">
        <v>279</v>
      </c>
      <c r="H84" s="8" t="s">
        <v>280</v>
      </c>
      <c r="I84" s="9">
        <v>3301051</v>
      </c>
      <c r="J84" s="11" t="s">
        <v>306</v>
      </c>
      <c r="K84" s="11" t="s">
        <v>307</v>
      </c>
      <c r="L84" s="25" t="s">
        <v>283</v>
      </c>
      <c r="M84" s="25" t="s">
        <v>284</v>
      </c>
      <c r="N84" s="25" t="s">
        <v>86</v>
      </c>
      <c r="O84" s="11">
        <v>7</v>
      </c>
      <c r="P84" s="9">
        <v>330105100</v>
      </c>
      <c r="Q84" s="11" t="s">
        <v>202</v>
      </c>
      <c r="R84" s="12" t="s">
        <v>88</v>
      </c>
      <c r="S84" s="13"/>
      <c r="T84" s="14">
        <v>0</v>
      </c>
      <c r="U84" s="15">
        <v>130</v>
      </c>
      <c r="V84" s="30">
        <v>30</v>
      </c>
      <c r="W84" s="30">
        <v>30</v>
      </c>
      <c r="X84" s="30">
        <v>35</v>
      </c>
      <c r="Y84" s="30">
        <v>35</v>
      </c>
      <c r="Z84" s="17">
        <f t="shared" si="52"/>
        <v>2175166.076923077</v>
      </c>
      <c r="AA84" s="17">
        <f t="shared" si="53"/>
        <v>3846153.846153846</v>
      </c>
      <c r="AB84" s="17">
        <v>0</v>
      </c>
      <c r="AC84" s="17">
        <v>0</v>
      </c>
      <c r="AD84" s="17">
        <v>0</v>
      </c>
      <c r="AE84" s="17">
        <f t="shared" si="54"/>
        <v>8557672.0769230761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8">
        <f>SUM(PlanIndicativo[[#This Row],[Ingresos Corrientes de Libre Destinación - ICLD (2020)]:[Otros (2020)]])</f>
        <v>14578992</v>
      </c>
      <c r="AL84" s="17">
        <f t="shared" si="40"/>
        <v>2175166.076923077</v>
      </c>
      <c r="AM84" s="17">
        <f t="shared" si="41"/>
        <v>3846153.846153846</v>
      </c>
      <c r="AN84" s="17">
        <v>0</v>
      </c>
      <c r="AO84" s="17">
        <v>0</v>
      </c>
      <c r="AP84" s="17">
        <v>0</v>
      </c>
      <c r="AQ84" s="17">
        <f t="shared" si="49"/>
        <v>8557672.0769230761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9">
        <f>SUM(PlanIndicativo[[#This Row],[Ingresos Corrientes de Libre Destinación - ICLD (2021)]:[Otros  (2021)]])</f>
        <v>14578992</v>
      </c>
      <c r="AX84" s="17">
        <f t="shared" si="42"/>
        <v>2175166.076923077</v>
      </c>
      <c r="AY84" s="17">
        <f t="shared" si="43"/>
        <v>3846153.846153846</v>
      </c>
      <c r="AZ84" s="17">
        <v>0</v>
      </c>
      <c r="BA84" s="17">
        <v>0</v>
      </c>
      <c r="BB84" s="17">
        <v>0</v>
      </c>
      <c r="BC84" s="17">
        <f t="shared" si="50"/>
        <v>8557672.0769230761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20">
        <f>SUM(PlanIndicativo[[#This Row],[Ingresos Corrientes de Libre Destinación - ICLD (2022)]:[Otros   (2022)]])</f>
        <v>14578992</v>
      </c>
      <c r="BJ84" s="17">
        <f t="shared" si="44"/>
        <v>2175166.076923077</v>
      </c>
      <c r="BK84" s="17">
        <f t="shared" si="45"/>
        <v>3846153.846153846</v>
      </c>
      <c r="BL84" s="17">
        <v>0</v>
      </c>
      <c r="BM84" s="17">
        <v>0</v>
      </c>
      <c r="BN84" s="17">
        <v>0</v>
      </c>
      <c r="BO84" s="17">
        <f t="shared" si="51"/>
        <v>8557672.0769230761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21">
        <f>SUM(PlanIndicativo[[#This Row],[Ingresos Corrientes de Libre Destinación - ICLD (2023)]:[Otros (2023)]])</f>
        <v>14578992</v>
      </c>
      <c r="BV84" s="21">
        <f>+PlanIndicativo[[#This Row],[Total (2020)]]+PlanIndicativo[[#This Row],[Total  (2021)]]+PlanIndicativo[[#This Row],[Total  (2022)]]+PlanIndicativo[[#This Row],[Total (2023)]]</f>
        <v>58315968</v>
      </c>
      <c r="BW84" s="22" t="s">
        <v>90</v>
      </c>
    </row>
    <row r="85" spans="1:75" ht="21" customHeight="1" x14ac:dyDescent="0.25">
      <c r="A85" s="7">
        <v>1</v>
      </c>
      <c r="B85" s="8" t="s">
        <v>75</v>
      </c>
      <c r="C85" s="7" t="s">
        <v>275</v>
      </c>
      <c r="D85" s="7" t="s">
        <v>276</v>
      </c>
      <c r="E85" s="7" t="s">
        <v>277</v>
      </c>
      <c r="F85" s="8" t="s">
        <v>278</v>
      </c>
      <c r="G85" s="7" t="s">
        <v>308</v>
      </c>
      <c r="H85" s="8" t="s">
        <v>309</v>
      </c>
      <c r="I85" s="9">
        <v>3302049</v>
      </c>
      <c r="J85" s="11" t="s">
        <v>310</v>
      </c>
      <c r="K85" s="11" t="s">
        <v>311</v>
      </c>
      <c r="L85" s="25" t="s">
        <v>283</v>
      </c>
      <c r="M85" s="25" t="s">
        <v>284</v>
      </c>
      <c r="N85" s="25" t="s">
        <v>86</v>
      </c>
      <c r="O85" s="11"/>
      <c r="P85" s="9">
        <v>330204900</v>
      </c>
      <c r="Q85" s="11" t="s">
        <v>312</v>
      </c>
      <c r="R85" s="12" t="s">
        <v>88</v>
      </c>
      <c r="S85" s="13"/>
      <c r="T85" s="14">
        <v>0</v>
      </c>
      <c r="U85" s="15">
        <v>4</v>
      </c>
      <c r="V85" s="30">
        <v>1</v>
      </c>
      <c r="W85" s="30">
        <v>1</v>
      </c>
      <c r="X85" s="30">
        <v>1</v>
      </c>
      <c r="Y85" s="30">
        <v>1</v>
      </c>
      <c r="Z85" s="17">
        <f t="shared" si="52"/>
        <v>2175166.076923077</v>
      </c>
      <c r="AA85" s="17">
        <f t="shared" si="53"/>
        <v>3846153.846153846</v>
      </c>
      <c r="AB85" s="17">
        <v>0</v>
      </c>
      <c r="AC85" s="17">
        <v>0</v>
      </c>
      <c r="AD85" s="17">
        <v>0</v>
      </c>
      <c r="AE85" s="17">
        <f t="shared" si="54"/>
        <v>8557672.0769230761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8">
        <f>SUM(PlanIndicativo[[#This Row],[Ingresos Corrientes de Libre Destinación - ICLD (2020)]:[Otros (2020)]])</f>
        <v>14578992</v>
      </c>
      <c r="AL85" s="17">
        <f t="shared" si="40"/>
        <v>2175166.076923077</v>
      </c>
      <c r="AM85" s="17">
        <f t="shared" si="41"/>
        <v>3846153.846153846</v>
      </c>
      <c r="AN85" s="17">
        <v>0</v>
      </c>
      <c r="AO85" s="17">
        <v>0</v>
      </c>
      <c r="AP85" s="17">
        <v>0</v>
      </c>
      <c r="AQ85" s="17">
        <f t="shared" si="49"/>
        <v>8557672.0769230761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9">
        <f>SUM(PlanIndicativo[[#This Row],[Ingresos Corrientes de Libre Destinación - ICLD (2021)]:[Otros  (2021)]])</f>
        <v>14578992</v>
      </c>
      <c r="AX85" s="17">
        <f t="shared" si="42"/>
        <v>2175166.076923077</v>
      </c>
      <c r="AY85" s="17">
        <f t="shared" si="43"/>
        <v>3846153.846153846</v>
      </c>
      <c r="AZ85" s="17">
        <v>0</v>
      </c>
      <c r="BA85" s="17">
        <v>0</v>
      </c>
      <c r="BB85" s="17">
        <v>0</v>
      </c>
      <c r="BC85" s="17">
        <f t="shared" si="50"/>
        <v>8557672.0769230761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20">
        <f>SUM(PlanIndicativo[[#This Row],[Ingresos Corrientes de Libre Destinación - ICLD (2022)]:[Otros   (2022)]])</f>
        <v>14578992</v>
      </c>
      <c r="BJ85" s="17">
        <f t="shared" si="44"/>
        <v>2175166.076923077</v>
      </c>
      <c r="BK85" s="17">
        <f t="shared" si="45"/>
        <v>3846153.846153846</v>
      </c>
      <c r="BL85" s="17">
        <v>0</v>
      </c>
      <c r="BM85" s="17">
        <v>0</v>
      </c>
      <c r="BN85" s="17">
        <v>0</v>
      </c>
      <c r="BO85" s="17">
        <f t="shared" si="51"/>
        <v>8557672.0769230761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21">
        <f>SUM(PlanIndicativo[[#This Row],[Ingresos Corrientes de Libre Destinación - ICLD (2023)]:[Otros (2023)]])</f>
        <v>14578992</v>
      </c>
      <c r="BV85" s="21">
        <f>+PlanIndicativo[[#This Row],[Total (2020)]]+PlanIndicativo[[#This Row],[Total  (2021)]]+PlanIndicativo[[#This Row],[Total  (2022)]]+PlanIndicativo[[#This Row],[Total (2023)]]</f>
        <v>58315968</v>
      </c>
      <c r="BW85" s="22" t="s">
        <v>90</v>
      </c>
    </row>
    <row r="86" spans="1:75" ht="21" customHeight="1" x14ac:dyDescent="0.25">
      <c r="A86" s="7">
        <v>1</v>
      </c>
      <c r="B86" s="8" t="s">
        <v>75</v>
      </c>
      <c r="C86" s="7" t="s">
        <v>313</v>
      </c>
      <c r="D86" s="7" t="s">
        <v>314</v>
      </c>
      <c r="E86" s="7" t="s">
        <v>315</v>
      </c>
      <c r="F86" s="8" t="s">
        <v>316</v>
      </c>
      <c r="G86" s="7" t="s">
        <v>317</v>
      </c>
      <c r="H86" s="8" t="s">
        <v>318</v>
      </c>
      <c r="I86" s="9">
        <v>4301037</v>
      </c>
      <c r="J86" s="11" t="s">
        <v>319</v>
      </c>
      <c r="K86" s="10" t="s">
        <v>320</v>
      </c>
      <c r="L86" s="25" t="s">
        <v>283</v>
      </c>
      <c r="M86" s="11" t="s">
        <v>321</v>
      </c>
      <c r="N86" s="11"/>
      <c r="O86" s="11">
        <v>15</v>
      </c>
      <c r="P86" s="9">
        <v>430103700</v>
      </c>
      <c r="Q86" s="11" t="s">
        <v>322</v>
      </c>
      <c r="R86" s="12" t="s">
        <v>88</v>
      </c>
      <c r="S86" s="13"/>
      <c r="T86" s="14">
        <v>0</v>
      </c>
      <c r="U86" s="15">
        <v>1200</v>
      </c>
      <c r="V86" s="30">
        <v>400</v>
      </c>
      <c r="W86" s="30">
        <v>400</v>
      </c>
      <c r="X86" s="30">
        <v>400</v>
      </c>
      <c r="Y86" s="30">
        <v>400</v>
      </c>
      <c r="Z86" s="17">
        <f t="shared" ref="Z86:Z91" si="55">70000000/8</f>
        <v>8750000</v>
      </c>
      <c r="AA86" s="17">
        <v>0</v>
      </c>
      <c r="AB86" s="17">
        <v>0</v>
      </c>
      <c r="AC86" s="17">
        <v>0</v>
      </c>
      <c r="AD86" s="17">
        <v>0</v>
      </c>
      <c r="AE86" s="17">
        <f t="shared" ref="AE86:AE91" si="56">85017783/8</f>
        <v>10627222.875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8">
        <f>SUM(PlanIndicativo[[#This Row],[Ingresos Corrientes de Libre Destinación - ICLD (2020)]:[Otros (2020)]])</f>
        <v>19377222.875</v>
      </c>
      <c r="AL86" s="17">
        <f t="shared" ref="AL86:AL93" si="57">70000000/8</f>
        <v>8750000</v>
      </c>
      <c r="AM86" s="17">
        <v>0</v>
      </c>
      <c r="AN86" s="17">
        <v>0</v>
      </c>
      <c r="AO86" s="17">
        <v>0</v>
      </c>
      <c r="AP86" s="17">
        <v>0</v>
      </c>
      <c r="AQ86" s="17">
        <f t="shared" ref="AQ86:AQ93" si="58">85017783/8</f>
        <v>10627222.875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9">
        <f>SUM(PlanIndicativo[[#This Row],[Ingresos Corrientes de Libre Destinación - ICLD (2021)]:[Otros  (2021)]])</f>
        <v>19377222.875</v>
      </c>
      <c r="AX86" s="17">
        <f t="shared" ref="AX86:AX93" si="59">70000000/8</f>
        <v>8750000</v>
      </c>
      <c r="AY86" s="17">
        <v>0</v>
      </c>
      <c r="AZ86" s="17">
        <v>0</v>
      </c>
      <c r="BA86" s="17">
        <v>0</v>
      </c>
      <c r="BB86" s="17">
        <v>0</v>
      </c>
      <c r="BC86" s="17">
        <f t="shared" ref="BC86:BC93" si="60">85017783/8</f>
        <v>10627222.875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20">
        <f>SUM(PlanIndicativo[[#This Row],[Ingresos Corrientes de Libre Destinación - ICLD (2022)]:[Otros   (2022)]])</f>
        <v>19377222.875</v>
      </c>
      <c r="BJ86" s="17">
        <f t="shared" ref="BJ86:BJ93" si="61">70000000/8</f>
        <v>8750000</v>
      </c>
      <c r="BK86" s="17">
        <v>0</v>
      </c>
      <c r="BL86" s="17">
        <v>0</v>
      </c>
      <c r="BM86" s="17">
        <v>0</v>
      </c>
      <c r="BN86" s="17">
        <v>0</v>
      </c>
      <c r="BO86" s="17">
        <f t="shared" ref="BO86:BO93" si="62">85017783/8</f>
        <v>10627222.875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21">
        <f>SUM(PlanIndicativo[[#This Row],[Ingresos Corrientes de Libre Destinación - ICLD (2023)]:[Otros (2023)]])</f>
        <v>19377222.875</v>
      </c>
      <c r="BV86" s="21">
        <f>+PlanIndicativo[[#This Row],[Total (2020)]]+PlanIndicativo[[#This Row],[Total  (2021)]]+PlanIndicativo[[#This Row],[Total  (2022)]]+PlanIndicativo[[#This Row],[Total (2023)]]</f>
        <v>77508891.5</v>
      </c>
      <c r="BW86" s="22" t="s">
        <v>90</v>
      </c>
    </row>
    <row r="87" spans="1:75" ht="21" customHeight="1" x14ac:dyDescent="0.25">
      <c r="A87" s="7">
        <v>1</v>
      </c>
      <c r="B87" s="8" t="s">
        <v>75</v>
      </c>
      <c r="C87" s="7" t="s">
        <v>313</v>
      </c>
      <c r="D87" s="7" t="s">
        <v>314</v>
      </c>
      <c r="E87" s="7" t="s">
        <v>315</v>
      </c>
      <c r="F87" s="8" t="s">
        <v>316</v>
      </c>
      <c r="G87" s="7" t="s">
        <v>317</v>
      </c>
      <c r="H87" s="8" t="s">
        <v>318</v>
      </c>
      <c r="I87" s="9">
        <v>4301001</v>
      </c>
      <c r="J87" s="25" t="s">
        <v>323</v>
      </c>
      <c r="K87" s="25" t="s">
        <v>324</v>
      </c>
      <c r="L87" s="25" t="s">
        <v>283</v>
      </c>
      <c r="M87" s="11" t="s">
        <v>321</v>
      </c>
      <c r="N87" s="25"/>
      <c r="O87" s="25">
        <v>15</v>
      </c>
      <c r="P87" s="9">
        <v>430100100</v>
      </c>
      <c r="Q87" s="25" t="s">
        <v>287</v>
      </c>
      <c r="R87" s="12" t="s">
        <v>88</v>
      </c>
      <c r="S87" s="13"/>
      <c r="T87" s="14">
        <v>0</v>
      </c>
      <c r="U87" s="15">
        <v>950</v>
      </c>
      <c r="V87" s="30">
        <v>200</v>
      </c>
      <c r="W87" s="30">
        <v>250</v>
      </c>
      <c r="X87" s="30">
        <v>250</v>
      </c>
      <c r="Y87" s="30">
        <v>250</v>
      </c>
      <c r="Z87" s="17">
        <f t="shared" si="55"/>
        <v>8750000</v>
      </c>
      <c r="AA87" s="17">
        <v>0</v>
      </c>
      <c r="AB87" s="17">
        <v>0</v>
      </c>
      <c r="AC87" s="17">
        <v>0</v>
      </c>
      <c r="AD87" s="17">
        <v>0</v>
      </c>
      <c r="AE87" s="17">
        <f t="shared" si="56"/>
        <v>10627222.875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8">
        <f>SUM(PlanIndicativo[[#This Row],[Ingresos Corrientes de Libre Destinación - ICLD (2020)]:[Otros (2020)]])</f>
        <v>19377222.875</v>
      </c>
      <c r="AL87" s="17">
        <f t="shared" si="57"/>
        <v>8750000</v>
      </c>
      <c r="AM87" s="17">
        <v>0</v>
      </c>
      <c r="AN87" s="17">
        <v>0</v>
      </c>
      <c r="AO87" s="17">
        <v>0</v>
      </c>
      <c r="AP87" s="17">
        <v>0</v>
      </c>
      <c r="AQ87" s="17">
        <f t="shared" si="58"/>
        <v>10627222.875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9">
        <f>SUM(PlanIndicativo[[#This Row],[Ingresos Corrientes de Libre Destinación - ICLD (2021)]:[Otros  (2021)]])</f>
        <v>19377222.875</v>
      </c>
      <c r="AX87" s="17">
        <f t="shared" si="59"/>
        <v>8750000</v>
      </c>
      <c r="AY87" s="17">
        <v>0</v>
      </c>
      <c r="AZ87" s="17">
        <v>0</v>
      </c>
      <c r="BA87" s="17">
        <v>0</v>
      </c>
      <c r="BB87" s="17">
        <v>0</v>
      </c>
      <c r="BC87" s="17">
        <f t="shared" si="60"/>
        <v>10627222.875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20">
        <f>SUM(PlanIndicativo[[#This Row],[Ingresos Corrientes de Libre Destinación - ICLD (2022)]:[Otros   (2022)]])</f>
        <v>19377222.875</v>
      </c>
      <c r="BJ87" s="17">
        <f t="shared" si="61"/>
        <v>8750000</v>
      </c>
      <c r="BK87" s="17">
        <v>0</v>
      </c>
      <c r="BL87" s="17">
        <v>0</v>
      </c>
      <c r="BM87" s="17">
        <v>0</v>
      </c>
      <c r="BN87" s="17">
        <v>0</v>
      </c>
      <c r="BO87" s="17">
        <f t="shared" si="62"/>
        <v>10627222.875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21">
        <f>SUM(PlanIndicativo[[#This Row],[Ingresos Corrientes de Libre Destinación - ICLD (2023)]:[Otros (2023)]])</f>
        <v>19377222.875</v>
      </c>
      <c r="BV87" s="21">
        <f>+PlanIndicativo[[#This Row],[Total (2020)]]+PlanIndicativo[[#This Row],[Total  (2021)]]+PlanIndicativo[[#This Row],[Total  (2022)]]+PlanIndicativo[[#This Row],[Total (2023)]]</f>
        <v>77508891.5</v>
      </c>
      <c r="BW87" s="22" t="s">
        <v>90</v>
      </c>
    </row>
    <row r="88" spans="1:75" ht="21" customHeight="1" x14ac:dyDescent="0.25">
      <c r="A88" s="7">
        <v>1</v>
      </c>
      <c r="B88" s="8" t="s">
        <v>75</v>
      </c>
      <c r="C88" s="7" t="s">
        <v>313</v>
      </c>
      <c r="D88" s="7" t="s">
        <v>314</v>
      </c>
      <c r="E88" s="7" t="s">
        <v>315</v>
      </c>
      <c r="F88" s="8" t="s">
        <v>316</v>
      </c>
      <c r="G88" s="7" t="s">
        <v>317</v>
      </c>
      <c r="H88" s="8" t="s">
        <v>318</v>
      </c>
      <c r="I88" s="9">
        <v>4301004</v>
      </c>
      <c r="J88" s="11" t="s">
        <v>325</v>
      </c>
      <c r="K88" s="11" t="s">
        <v>324</v>
      </c>
      <c r="L88" s="25" t="s">
        <v>283</v>
      </c>
      <c r="M88" s="11" t="s">
        <v>321</v>
      </c>
      <c r="N88" s="11"/>
      <c r="O88" s="11">
        <v>20</v>
      </c>
      <c r="P88" s="9">
        <v>430100400</v>
      </c>
      <c r="Q88" s="11" t="s">
        <v>326</v>
      </c>
      <c r="R88" s="12" t="s">
        <v>88</v>
      </c>
      <c r="S88" s="13"/>
      <c r="T88" s="14">
        <v>0</v>
      </c>
      <c r="U88" s="15">
        <v>4</v>
      </c>
      <c r="V88" s="30">
        <v>1</v>
      </c>
      <c r="W88" s="30">
        <v>1</v>
      </c>
      <c r="X88" s="30">
        <v>1</v>
      </c>
      <c r="Y88" s="30">
        <v>1</v>
      </c>
      <c r="Z88" s="17">
        <f t="shared" si="55"/>
        <v>8750000</v>
      </c>
      <c r="AA88" s="17">
        <v>0</v>
      </c>
      <c r="AB88" s="17">
        <v>0</v>
      </c>
      <c r="AC88" s="17">
        <v>0</v>
      </c>
      <c r="AD88" s="17">
        <v>0</v>
      </c>
      <c r="AE88" s="17">
        <f t="shared" si="56"/>
        <v>10627222.875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8">
        <f>SUM(PlanIndicativo[[#This Row],[Ingresos Corrientes de Libre Destinación - ICLD (2020)]:[Otros (2020)]])</f>
        <v>19377222.875</v>
      </c>
      <c r="AL88" s="17">
        <f t="shared" si="57"/>
        <v>8750000</v>
      </c>
      <c r="AM88" s="17">
        <v>0</v>
      </c>
      <c r="AN88" s="17">
        <v>0</v>
      </c>
      <c r="AO88" s="17">
        <v>0</v>
      </c>
      <c r="AP88" s="17">
        <v>0</v>
      </c>
      <c r="AQ88" s="17">
        <f t="shared" si="58"/>
        <v>10627222.875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9">
        <f>SUM(PlanIndicativo[[#This Row],[Ingresos Corrientes de Libre Destinación - ICLD (2021)]:[Otros  (2021)]])</f>
        <v>19377222.875</v>
      </c>
      <c r="AX88" s="17">
        <f t="shared" si="59"/>
        <v>8750000</v>
      </c>
      <c r="AY88" s="17">
        <v>0</v>
      </c>
      <c r="AZ88" s="17">
        <v>0</v>
      </c>
      <c r="BA88" s="17">
        <v>0</v>
      </c>
      <c r="BB88" s="17">
        <v>0</v>
      </c>
      <c r="BC88" s="17">
        <f t="shared" si="60"/>
        <v>10627222.875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20">
        <f>SUM(PlanIndicativo[[#This Row],[Ingresos Corrientes de Libre Destinación - ICLD (2022)]:[Otros   (2022)]])</f>
        <v>19377222.875</v>
      </c>
      <c r="BJ88" s="17">
        <f t="shared" si="61"/>
        <v>8750000</v>
      </c>
      <c r="BK88" s="17">
        <v>0</v>
      </c>
      <c r="BL88" s="17">
        <v>0</v>
      </c>
      <c r="BM88" s="17">
        <v>0</v>
      </c>
      <c r="BN88" s="17">
        <v>0</v>
      </c>
      <c r="BO88" s="17">
        <f t="shared" si="62"/>
        <v>10627222.875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21">
        <f>SUM(PlanIndicativo[[#This Row],[Ingresos Corrientes de Libre Destinación - ICLD (2023)]:[Otros (2023)]])</f>
        <v>19377222.875</v>
      </c>
      <c r="BV88" s="21">
        <f>+PlanIndicativo[[#This Row],[Total (2020)]]+PlanIndicativo[[#This Row],[Total  (2021)]]+PlanIndicativo[[#This Row],[Total  (2022)]]+PlanIndicativo[[#This Row],[Total (2023)]]</f>
        <v>77508891.5</v>
      </c>
      <c r="BW88" s="22" t="s">
        <v>90</v>
      </c>
    </row>
    <row r="89" spans="1:75" ht="21" customHeight="1" x14ac:dyDescent="0.25">
      <c r="A89" s="7">
        <v>1</v>
      </c>
      <c r="B89" s="8" t="s">
        <v>75</v>
      </c>
      <c r="C89" s="7" t="s">
        <v>313</v>
      </c>
      <c r="D89" s="7" t="s">
        <v>314</v>
      </c>
      <c r="E89" s="7" t="s">
        <v>315</v>
      </c>
      <c r="F89" s="8" t="s">
        <v>316</v>
      </c>
      <c r="G89" s="7" t="s">
        <v>317</v>
      </c>
      <c r="H89" s="8" t="s">
        <v>318</v>
      </c>
      <c r="I89" s="9">
        <v>4301007</v>
      </c>
      <c r="J89" s="11" t="s">
        <v>327</v>
      </c>
      <c r="K89" s="11" t="s">
        <v>328</v>
      </c>
      <c r="L89" s="25" t="s">
        <v>283</v>
      </c>
      <c r="M89" s="11" t="s">
        <v>321</v>
      </c>
      <c r="N89" s="11"/>
      <c r="O89" s="11">
        <v>30</v>
      </c>
      <c r="P89" s="9">
        <v>430100700</v>
      </c>
      <c r="Q89" s="11" t="s">
        <v>329</v>
      </c>
      <c r="R89" s="12" t="s">
        <v>88</v>
      </c>
      <c r="S89" s="13"/>
      <c r="T89" s="14">
        <v>0</v>
      </c>
      <c r="U89" s="15">
        <v>350</v>
      </c>
      <c r="V89" s="30">
        <v>80</v>
      </c>
      <c r="W89" s="30">
        <v>90</v>
      </c>
      <c r="X89" s="30">
        <v>90</v>
      </c>
      <c r="Y89" s="30">
        <v>90</v>
      </c>
      <c r="Z89" s="17">
        <f t="shared" si="55"/>
        <v>8750000</v>
      </c>
      <c r="AA89" s="17">
        <v>0</v>
      </c>
      <c r="AB89" s="17">
        <v>0</v>
      </c>
      <c r="AC89" s="17">
        <v>0</v>
      </c>
      <c r="AD89" s="17">
        <v>0</v>
      </c>
      <c r="AE89" s="17">
        <f t="shared" si="56"/>
        <v>10627222.875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8">
        <f>SUM(PlanIndicativo[[#This Row],[Ingresos Corrientes de Libre Destinación - ICLD (2020)]:[Otros (2020)]])</f>
        <v>19377222.875</v>
      </c>
      <c r="AL89" s="17">
        <f>70000000/8*2</f>
        <v>17500000</v>
      </c>
      <c r="AM89" s="17">
        <v>0</v>
      </c>
      <c r="AN89" s="17">
        <v>0</v>
      </c>
      <c r="AO89" s="17">
        <v>0</v>
      </c>
      <c r="AP89" s="17">
        <v>0</v>
      </c>
      <c r="AQ89" s="17">
        <f>85017783/8*2</f>
        <v>21254445.75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9">
        <f>SUM(PlanIndicativo[[#This Row],[Ingresos Corrientes de Libre Destinación - ICLD (2021)]:[Otros  (2021)]])</f>
        <v>38754445.75</v>
      </c>
      <c r="AX89" s="17">
        <f t="shared" si="59"/>
        <v>8750000</v>
      </c>
      <c r="AY89" s="17">
        <v>0</v>
      </c>
      <c r="AZ89" s="17">
        <v>0</v>
      </c>
      <c r="BA89" s="17">
        <v>0</v>
      </c>
      <c r="BB89" s="17">
        <v>0</v>
      </c>
      <c r="BC89" s="17">
        <f t="shared" si="60"/>
        <v>10627222.875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20">
        <f>SUM(PlanIndicativo[[#This Row],[Ingresos Corrientes de Libre Destinación - ICLD (2022)]:[Otros   (2022)]])</f>
        <v>19377222.875</v>
      </c>
      <c r="BJ89" s="17">
        <f t="shared" si="61"/>
        <v>8750000</v>
      </c>
      <c r="BK89" s="17">
        <v>0</v>
      </c>
      <c r="BL89" s="17">
        <v>0</v>
      </c>
      <c r="BM89" s="17">
        <v>0</v>
      </c>
      <c r="BN89" s="17">
        <v>0</v>
      </c>
      <c r="BO89" s="17">
        <f t="shared" si="62"/>
        <v>10627222.875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21">
        <f>SUM(PlanIndicativo[[#This Row],[Ingresos Corrientes de Libre Destinación - ICLD (2023)]:[Otros (2023)]])</f>
        <v>19377222.875</v>
      </c>
      <c r="BV89" s="21">
        <f>+PlanIndicativo[[#This Row],[Total (2020)]]+PlanIndicativo[[#This Row],[Total  (2021)]]+PlanIndicativo[[#This Row],[Total  (2022)]]+PlanIndicativo[[#This Row],[Total (2023)]]</f>
        <v>96886114.375</v>
      </c>
      <c r="BW89" s="22" t="s">
        <v>90</v>
      </c>
    </row>
    <row r="90" spans="1:75" ht="21" customHeight="1" x14ac:dyDescent="0.25">
      <c r="A90" s="7">
        <v>1</v>
      </c>
      <c r="B90" s="8" t="s">
        <v>75</v>
      </c>
      <c r="C90" s="7" t="s">
        <v>313</v>
      </c>
      <c r="D90" s="7" t="s">
        <v>314</v>
      </c>
      <c r="E90" s="7" t="s">
        <v>315</v>
      </c>
      <c r="F90" s="8" t="s">
        <v>316</v>
      </c>
      <c r="G90" s="7" t="s">
        <v>317</v>
      </c>
      <c r="H90" s="8" t="s">
        <v>318</v>
      </c>
      <c r="I90" s="9">
        <v>4301031</v>
      </c>
      <c r="J90" s="11" t="s">
        <v>330</v>
      </c>
      <c r="K90" s="11" t="s">
        <v>324</v>
      </c>
      <c r="L90" s="25" t="s">
        <v>283</v>
      </c>
      <c r="M90" s="11" t="s">
        <v>321</v>
      </c>
      <c r="N90" s="11"/>
      <c r="O90" s="11">
        <v>10</v>
      </c>
      <c r="P90" s="9">
        <v>430103100</v>
      </c>
      <c r="Q90" s="11" t="s">
        <v>297</v>
      </c>
      <c r="R90" s="12" t="s">
        <v>88</v>
      </c>
      <c r="S90" s="13"/>
      <c r="T90" s="14">
        <v>1</v>
      </c>
      <c r="U90" s="15">
        <v>1</v>
      </c>
      <c r="V90" s="30">
        <v>1</v>
      </c>
      <c r="W90" s="30">
        <v>0</v>
      </c>
      <c r="X90" s="30">
        <v>0</v>
      </c>
      <c r="Y90" s="30">
        <v>0</v>
      </c>
      <c r="Z90" s="17">
        <f t="shared" si="55"/>
        <v>8750000</v>
      </c>
      <c r="AA90" s="17">
        <v>0</v>
      </c>
      <c r="AB90" s="17">
        <v>0</v>
      </c>
      <c r="AC90" s="17">
        <v>0</v>
      </c>
      <c r="AD90" s="17">
        <v>0</v>
      </c>
      <c r="AE90" s="17">
        <f t="shared" si="56"/>
        <v>10627222.875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8">
        <f>SUM(PlanIndicativo[[#This Row],[Ingresos Corrientes de Libre Destinación - ICLD (2020)]:[Otros (2020)]])</f>
        <v>19377222.875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9">
        <f>SUM(PlanIndicativo[[#This Row],[Ingresos Corrientes de Libre Destinación - ICLD (2021)]:[Otros  (2021)]])</f>
        <v>0</v>
      </c>
      <c r="AX90" s="17">
        <f t="shared" si="59"/>
        <v>8750000</v>
      </c>
      <c r="AY90" s="17">
        <v>0</v>
      </c>
      <c r="AZ90" s="17">
        <v>0</v>
      </c>
      <c r="BA90" s="17">
        <v>0</v>
      </c>
      <c r="BB90" s="17">
        <v>0</v>
      </c>
      <c r="BC90" s="17">
        <f t="shared" si="60"/>
        <v>10627222.875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20">
        <f>SUM(PlanIndicativo[[#This Row],[Ingresos Corrientes de Libre Destinación - ICLD (2022)]:[Otros   (2022)]])</f>
        <v>19377222.875</v>
      </c>
      <c r="BJ90" s="17">
        <f t="shared" si="61"/>
        <v>8750000</v>
      </c>
      <c r="BK90" s="17">
        <v>0</v>
      </c>
      <c r="BL90" s="17">
        <v>0</v>
      </c>
      <c r="BM90" s="17">
        <v>0</v>
      </c>
      <c r="BN90" s="17">
        <v>0</v>
      </c>
      <c r="BO90" s="17">
        <f t="shared" si="62"/>
        <v>10627222.875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21">
        <f>SUM(PlanIndicativo[[#This Row],[Ingresos Corrientes de Libre Destinación - ICLD (2023)]:[Otros (2023)]])</f>
        <v>19377222.875</v>
      </c>
      <c r="BV90" s="21">
        <f>+PlanIndicativo[[#This Row],[Total (2020)]]+PlanIndicativo[[#This Row],[Total  (2021)]]+PlanIndicativo[[#This Row],[Total  (2022)]]+PlanIndicativo[[#This Row],[Total (2023)]]</f>
        <v>58131668.625</v>
      </c>
      <c r="BW90" s="22" t="s">
        <v>90</v>
      </c>
    </row>
    <row r="91" spans="1:75" ht="21" customHeight="1" x14ac:dyDescent="0.25">
      <c r="A91" s="7">
        <v>1</v>
      </c>
      <c r="B91" s="8" t="s">
        <v>75</v>
      </c>
      <c r="C91" s="7" t="s">
        <v>313</v>
      </c>
      <c r="D91" s="7" t="s">
        <v>314</v>
      </c>
      <c r="E91" s="7" t="s">
        <v>315</v>
      </c>
      <c r="F91" s="8" t="s">
        <v>316</v>
      </c>
      <c r="G91" s="7" t="s">
        <v>317</v>
      </c>
      <c r="H91" s="8" t="s">
        <v>318</v>
      </c>
      <c r="I91" s="9">
        <v>4301032</v>
      </c>
      <c r="J91" s="11" t="s">
        <v>331</v>
      </c>
      <c r="K91" s="11" t="s">
        <v>324</v>
      </c>
      <c r="L91" s="25" t="s">
        <v>283</v>
      </c>
      <c r="M91" s="11" t="s">
        <v>321</v>
      </c>
      <c r="N91" s="11"/>
      <c r="O91" s="11">
        <v>10</v>
      </c>
      <c r="P91" s="9">
        <v>430103200</v>
      </c>
      <c r="Q91" s="11" t="s">
        <v>332</v>
      </c>
      <c r="R91" s="12" t="s">
        <v>88</v>
      </c>
      <c r="S91" s="13"/>
      <c r="T91" s="14">
        <v>0</v>
      </c>
      <c r="U91" s="15">
        <v>12</v>
      </c>
      <c r="V91" s="30">
        <v>3</v>
      </c>
      <c r="W91" s="30">
        <v>3</v>
      </c>
      <c r="X91" s="30">
        <v>3</v>
      </c>
      <c r="Y91" s="30">
        <v>3</v>
      </c>
      <c r="Z91" s="17">
        <f t="shared" si="55"/>
        <v>8750000</v>
      </c>
      <c r="AA91" s="17">
        <v>0</v>
      </c>
      <c r="AB91" s="17">
        <v>0</v>
      </c>
      <c r="AC91" s="17">
        <v>0</v>
      </c>
      <c r="AD91" s="17">
        <v>0</v>
      </c>
      <c r="AE91" s="17">
        <f t="shared" si="56"/>
        <v>10627222.875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8">
        <f>SUM(PlanIndicativo[[#This Row],[Ingresos Corrientes de Libre Destinación - ICLD (2020)]:[Otros (2020)]])</f>
        <v>19377222.875</v>
      </c>
      <c r="AL91" s="17">
        <f t="shared" si="57"/>
        <v>8750000</v>
      </c>
      <c r="AM91" s="17">
        <v>0</v>
      </c>
      <c r="AN91" s="17">
        <v>0</v>
      </c>
      <c r="AO91" s="17">
        <v>0</v>
      </c>
      <c r="AP91" s="17">
        <v>0</v>
      </c>
      <c r="AQ91" s="17">
        <f t="shared" si="58"/>
        <v>10627222.875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9">
        <f>SUM(PlanIndicativo[[#This Row],[Ingresos Corrientes de Libre Destinación - ICLD (2021)]:[Otros  (2021)]])</f>
        <v>19377222.875</v>
      </c>
      <c r="AX91" s="17">
        <f t="shared" si="59"/>
        <v>8750000</v>
      </c>
      <c r="AY91" s="17">
        <v>0</v>
      </c>
      <c r="AZ91" s="17">
        <v>0</v>
      </c>
      <c r="BA91" s="17">
        <v>0</v>
      </c>
      <c r="BB91" s="17">
        <v>0</v>
      </c>
      <c r="BC91" s="17">
        <f t="shared" si="60"/>
        <v>10627222.875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20">
        <f>SUM(PlanIndicativo[[#This Row],[Ingresos Corrientes de Libre Destinación - ICLD (2022)]:[Otros   (2022)]])</f>
        <v>19377222.875</v>
      </c>
      <c r="BJ91" s="17">
        <f t="shared" si="61"/>
        <v>8750000</v>
      </c>
      <c r="BK91" s="17">
        <v>0</v>
      </c>
      <c r="BL91" s="17">
        <v>0</v>
      </c>
      <c r="BM91" s="17">
        <v>0</v>
      </c>
      <c r="BN91" s="17">
        <v>0</v>
      </c>
      <c r="BO91" s="17">
        <f t="shared" si="62"/>
        <v>10627222.875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21">
        <f>SUM(PlanIndicativo[[#This Row],[Ingresos Corrientes de Libre Destinación - ICLD (2023)]:[Otros (2023)]])</f>
        <v>19377222.875</v>
      </c>
      <c r="BV91" s="21">
        <f>+PlanIndicativo[[#This Row],[Total (2020)]]+PlanIndicativo[[#This Row],[Total  (2021)]]+PlanIndicativo[[#This Row],[Total  (2022)]]+PlanIndicativo[[#This Row],[Total (2023)]]</f>
        <v>77508891.5</v>
      </c>
      <c r="BW91" s="22" t="s">
        <v>90</v>
      </c>
    </row>
    <row r="92" spans="1:75" ht="21" customHeight="1" x14ac:dyDescent="0.25">
      <c r="A92" s="7">
        <v>1</v>
      </c>
      <c r="B92" s="8" t="s">
        <v>75</v>
      </c>
      <c r="C92" s="7" t="s">
        <v>313</v>
      </c>
      <c r="D92" s="7" t="s">
        <v>314</v>
      </c>
      <c r="E92" s="7" t="s">
        <v>315</v>
      </c>
      <c r="F92" s="8" t="s">
        <v>316</v>
      </c>
      <c r="G92" s="7" t="s">
        <v>333</v>
      </c>
      <c r="H92" s="8" t="s">
        <v>334</v>
      </c>
      <c r="I92" s="7" t="s">
        <v>335</v>
      </c>
      <c r="J92" s="25" t="s">
        <v>336</v>
      </c>
      <c r="K92" s="32" t="s">
        <v>337</v>
      </c>
      <c r="L92" s="25" t="s">
        <v>283</v>
      </c>
      <c r="M92" s="11" t="s">
        <v>321</v>
      </c>
      <c r="N92" s="25"/>
      <c r="O92" s="25"/>
      <c r="P92" s="9">
        <v>430205800</v>
      </c>
      <c r="Q92" s="25" t="s">
        <v>336</v>
      </c>
      <c r="R92" s="12" t="s">
        <v>88</v>
      </c>
      <c r="S92" s="13"/>
      <c r="T92" s="14">
        <v>2</v>
      </c>
      <c r="U92" s="15">
        <v>2</v>
      </c>
      <c r="V92" s="30">
        <v>0</v>
      </c>
      <c r="W92" s="30">
        <v>1</v>
      </c>
      <c r="X92" s="30">
        <v>0</v>
      </c>
      <c r="Y92" s="30">
        <v>1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8">
        <f>SUM(PlanIndicativo[[#This Row],[Ingresos Corrientes de Libre Destinación - ICLD (2020)]:[Otros (2020)]])</f>
        <v>0</v>
      </c>
      <c r="AL92" s="17">
        <f t="shared" si="57"/>
        <v>8750000</v>
      </c>
      <c r="AM92" s="17">
        <v>0</v>
      </c>
      <c r="AN92" s="17">
        <v>0</v>
      </c>
      <c r="AO92" s="17">
        <v>0</v>
      </c>
      <c r="AP92" s="17">
        <v>0</v>
      </c>
      <c r="AQ92" s="17">
        <f t="shared" si="58"/>
        <v>10627222.875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9">
        <f>SUM(PlanIndicativo[[#This Row],[Ingresos Corrientes de Libre Destinación - ICLD (2021)]:[Otros  (2021)]])</f>
        <v>19377222.875</v>
      </c>
      <c r="AX92" s="17">
        <f t="shared" si="59"/>
        <v>8750000</v>
      </c>
      <c r="AY92" s="17">
        <v>0</v>
      </c>
      <c r="AZ92" s="17">
        <v>0</v>
      </c>
      <c r="BA92" s="17">
        <v>0</v>
      </c>
      <c r="BB92" s="17">
        <v>0</v>
      </c>
      <c r="BC92" s="17">
        <f t="shared" si="60"/>
        <v>10627222.875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20">
        <f>SUM(PlanIndicativo[[#This Row],[Ingresos Corrientes de Libre Destinación - ICLD (2022)]:[Otros   (2022)]])</f>
        <v>19377222.875</v>
      </c>
      <c r="BJ92" s="17">
        <f t="shared" si="61"/>
        <v>8750000</v>
      </c>
      <c r="BK92" s="17">
        <v>0</v>
      </c>
      <c r="BL92" s="17">
        <v>0</v>
      </c>
      <c r="BM92" s="17">
        <v>0</v>
      </c>
      <c r="BN92" s="17">
        <v>0</v>
      </c>
      <c r="BO92" s="17">
        <f t="shared" si="62"/>
        <v>10627222.875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21">
        <f>SUM(PlanIndicativo[[#This Row],[Ingresos Corrientes de Libre Destinación - ICLD (2023)]:[Otros (2023)]])</f>
        <v>19377222.875</v>
      </c>
      <c r="BV92" s="21">
        <f>+PlanIndicativo[[#This Row],[Total (2020)]]+PlanIndicativo[[#This Row],[Total  (2021)]]+PlanIndicativo[[#This Row],[Total  (2022)]]+PlanIndicativo[[#This Row],[Total (2023)]]</f>
        <v>58131668.625</v>
      </c>
      <c r="BW92" s="22" t="s">
        <v>90</v>
      </c>
    </row>
    <row r="93" spans="1:75" ht="21" customHeight="1" x14ac:dyDescent="0.25">
      <c r="A93" s="7">
        <v>1</v>
      </c>
      <c r="B93" s="8" t="s">
        <v>75</v>
      </c>
      <c r="C93" s="7" t="s">
        <v>313</v>
      </c>
      <c r="D93" s="7" t="s">
        <v>314</v>
      </c>
      <c r="E93" s="7" t="s">
        <v>315</v>
      </c>
      <c r="F93" s="8" t="s">
        <v>316</v>
      </c>
      <c r="G93" s="7" t="s">
        <v>333</v>
      </c>
      <c r="H93" s="8" t="s">
        <v>334</v>
      </c>
      <c r="I93" s="7" t="s">
        <v>338</v>
      </c>
      <c r="J93" s="25" t="s">
        <v>152</v>
      </c>
      <c r="K93" s="25" t="s">
        <v>339</v>
      </c>
      <c r="L93" s="25" t="s">
        <v>283</v>
      </c>
      <c r="M93" s="11" t="s">
        <v>321</v>
      </c>
      <c r="N93" s="25"/>
      <c r="O93" s="25"/>
      <c r="P93" s="9">
        <v>430206200</v>
      </c>
      <c r="Q93" s="25" t="s">
        <v>340</v>
      </c>
      <c r="R93" s="12" t="s">
        <v>88</v>
      </c>
      <c r="S93" s="13"/>
      <c r="T93" s="14">
        <v>0</v>
      </c>
      <c r="U93" s="15">
        <v>8</v>
      </c>
      <c r="V93" s="30">
        <v>2</v>
      </c>
      <c r="W93" s="30">
        <v>2</v>
      </c>
      <c r="X93" s="30">
        <v>2</v>
      </c>
      <c r="Y93" s="30">
        <v>2</v>
      </c>
      <c r="Z93" s="17">
        <f>70000000/8*2</f>
        <v>17500000</v>
      </c>
      <c r="AA93" s="17">
        <v>0</v>
      </c>
      <c r="AB93" s="17">
        <v>0</v>
      </c>
      <c r="AC93" s="17">
        <v>0</v>
      </c>
      <c r="AD93" s="17">
        <v>0</v>
      </c>
      <c r="AE93" s="17">
        <f>85017783/8*2</f>
        <v>21254445.75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8">
        <f>SUM(PlanIndicativo[[#This Row],[Ingresos Corrientes de Libre Destinación - ICLD (2020)]:[Otros (2020)]])</f>
        <v>38754445.75</v>
      </c>
      <c r="AL93" s="17">
        <f t="shared" si="57"/>
        <v>8750000</v>
      </c>
      <c r="AM93" s="17">
        <v>0</v>
      </c>
      <c r="AN93" s="17">
        <v>0</v>
      </c>
      <c r="AO93" s="17">
        <v>0</v>
      </c>
      <c r="AP93" s="17">
        <v>0</v>
      </c>
      <c r="AQ93" s="17">
        <f t="shared" si="58"/>
        <v>10627222.875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9">
        <f>SUM(PlanIndicativo[[#This Row],[Ingresos Corrientes de Libre Destinación - ICLD (2021)]:[Otros  (2021)]])</f>
        <v>19377222.875</v>
      </c>
      <c r="AX93" s="17">
        <f t="shared" si="59"/>
        <v>8750000</v>
      </c>
      <c r="AY93" s="17">
        <v>0</v>
      </c>
      <c r="AZ93" s="17">
        <v>0</v>
      </c>
      <c r="BA93" s="17">
        <v>0</v>
      </c>
      <c r="BB93" s="17">
        <v>0</v>
      </c>
      <c r="BC93" s="17">
        <f t="shared" si="60"/>
        <v>10627222.875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20">
        <f>SUM(PlanIndicativo[[#This Row],[Ingresos Corrientes de Libre Destinación - ICLD (2022)]:[Otros   (2022)]])</f>
        <v>19377222.875</v>
      </c>
      <c r="BJ93" s="17">
        <f t="shared" si="61"/>
        <v>8750000</v>
      </c>
      <c r="BK93" s="17">
        <v>0</v>
      </c>
      <c r="BL93" s="17">
        <v>0</v>
      </c>
      <c r="BM93" s="17">
        <v>0</v>
      </c>
      <c r="BN93" s="17">
        <v>0</v>
      </c>
      <c r="BO93" s="17">
        <f t="shared" si="62"/>
        <v>10627222.875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21">
        <f>SUM(PlanIndicativo[[#This Row],[Ingresos Corrientes de Libre Destinación - ICLD (2023)]:[Otros (2023)]])</f>
        <v>19377222.875</v>
      </c>
      <c r="BV93" s="21">
        <f>+PlanIndicativo[[#This Row],[Total (2020)]]+PlanIndicativo[[#This Row],[Total  (2021)]]+PlanIndicativo[[#This Row],[Total  (2022)]]+PlanIndicativo[[#This Row],[Total (2023)]]</f>
        <v>96886114.375</v>
      </c>
      <c r="BW93" s="22" t="s">
        <v>90</v>
      </c>
    </row>
    <row r="94" spans="1:75" ht="21" customHeight="1" x14ac:dyDescent="0.25">
      <c r="A94" s="7">
        <v>1</v>
      </c>
      <c r="B94" s="8" t="s">
        <v>75</v>
      </c>
      <c r="C94" s="7" t="s">
        <v>341</v>
      </c>
      <c r="D94" s="7" t="s">
        <v>342</v>
      </c>
      <c r="E94" s="7" t="s">
        <v>343</v>
      </c>
      <c r="F94" s="8" t="s">
        <v>344</v>
      </c>
      <c r="G94" s="7" t="s">
        <v>345</v>
      </c>
      <c r="H94" s="8" t="s">
        <v>346</v>
      </c>
      <c r="I94" s="9">
        <v>4101046</v>
      </c>
      <c r="J94" s="25" t="s">
        <v>347</v>
      </c>
      <c r="K94" s="25" t="s">
        <v>348</v>
      </c>
      <c r="L94" s="25" t="s">
        <v>84</v>
      </c>
      <c r="M94" s="25" t="s">
        <v>349</v>
      </c>
      <c r="N94" s="25" t="s">
        <v>86</v>
      </c>
      <c r="O94" s="25">
        <v>7</v>
      </c>
      <c r="P94" s="9">
        <v>410104600</v>
      </c>
      <c r="Q94" s="25" t="s">
        <v>350</v>
      </c>
      <c r="R94" s="12" t="s">
        <v>88</v>
      </c>
      <c r="S94" s="13" t="s">
        <v>137</v>
      </c>
      <c r="T94" s="14">
        <v>0</v>
      </c>
      <c r="U94" s="15">
        <v>4</v>
      </c>
      <c r="V94" s="30">
        <v>1</v>
      </c>
      <c r="W94" s="30">
        <v>1</v>
      </c>
      <c r="X94" s="30">
        <v>1</v>
      </c>
      <c r="Y94" s="30">
        <v>1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f t="shared" ref="AE94:AE102" si="63">44750000/9</f>
        <v>4972222.222222222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8">
        <f>SUM(PlanIndicativo[[#This Row],[Ingresos Corrientes de Libre Destinación - ICLD (2020)]:[Otros (2020)]])</f>
        <v>4972222.222222222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f t="shared" ref="AQ94:AQ102" si="64">44750000/9</f>
        <v>4972222.222222222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9">
        <f>SUM(PlanIndicativo[[#This Row],[Ingresos Corrientes de Libre Destinación - ICLD (2021)]:[Otros  (2021)]])</f>
        <v>4972222.222222222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f t="shared" ref="BC94:BC102" si="65">44750000/9</f>
        <v>4972222.222222222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20">
        <f>SUM(PlanIndicativo[[#This Row],[Ingresos Corrientes de Libre Destinación - ICLD (2022)]:[Otros   (2022)]])</f>
        <v>4972222.222222222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f t="shared" ref="BO94:BO102" si="66">44750000/9</f>
        <v>4972222.222222222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21">
        <f>SUM(PlanIndicativo[[#This Row],[Ingresos Corrientes de Libre Destinación - ICLD (2023)]:[Otros (2023)]])</f>
        <v>4972222.222222222</v>
      </c>
      <c r="BV94" s="21">
        <f>+PlanIndicativo[[#This Row],[Total (2020)]]+PlanIndicativo[[#This Row],[Total  (2021)]]+PlanIndicativo[[#This Row],[Total  (2022)]]+PlanIndicativo[[#This Row],[Total (2023)]]</f>
        <v>19888888.888888888</v>
      </c>
      <c r="BW94" s="22" t="s">
        <v>351</v>
      </c>
    </row>
    <row r="95" spans="1:75" ht="21" customHeight="1" x14ac:dyDescent="0.25">
      <c r="A95" s="7">
        <v>1</v>
      </c>
      <c r="B95" s="8" t="s">
        <v>75</v>
      </c>
      <c r="C95" s="7" t="s">
        <v>341</v>
      </c>
      <c r="D95" s="7" t="s">
        <v>342</v>
      </c>
      <c r="E95" s="7" t="s">
        <v>343</v>
      </c>
      <c r="F95" s="8" t="s">
        <v>344</v>
      </c>
      <c r="G95" s="7" t="s">
        <v>345</v>
      </c>
      <c r="H95" s="8" t="s">
        <v>346</v>
      </c>
      <c r="I95" s="9">
        <v>4101023</v>
      </c>
      <c r="J95" s="25" t="s">
        <v>352</v>
      </c>
      <c r="K95" s="25" t="s">
        <v>353</v>
      </c>
      <c r="L95" s="25" t="s">
        <v>84</v>
      </c>
      <c r="M95" s="25" t="s">
        <v>354</v>
      </c>
      <c r="N95" s="25" t="s">
        <v>86</v>
      </c>
      <c r="O95" s="25">
        <v>10</v>
      </c>
      <c r="P95" s="9">
        <v>410102300</v>
      </c>
      <c r="Q95" s="25" t="s">
        <v>355</v>
      </c>
      <c r="R95" s="12" t="s">
        <v>88</v>
      </c>
      <c r="S95" s="13" t="s">
        <v>93</v>
      </c>
      <c r="T95" s="14">
        <v>0</v>
      </c>
      <c r="U95" s="15">
        <v>850</v>
      </c>
      <c r="V95" s="30">
        <v>212</v>
      </c>
      <c r="W95" s="30">
        <v>212</v>
      </c>
      <c r="X95" s="30">
        <v>213</v>
      </c>
      <c r="Y95" s="30">
        <v>213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f t="shared" si="63"/>
        <v>4972222.222222222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8">
        <f>SUM(PlanIndicativo[[#This Row],[Ingresos Corrientes de Libre Destinación - ICLD (2020)]:[Otros (2020)]])</f>
        <v>4972222.222222222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f t="shared" si="64"/>
        <v>4972222.222222222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9">
        <f>SUM(PlanIndicativo[[#This Row],[Ingresos Corrientes de Libre Destinación - ICLD (2021)]:[Otros  (2021)]])</f>
        <v>4972222.222222222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f t="shared" si="65"/>
        <v>4972222.222222222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20">
        <f>SUM(PlanIndicativo[[#This Row],[Ingresos Corrientes de Libre Destinación - ICLD (2022)]:[Otros   (2022)]])</f>
        <v>4972222.222222222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f t="shared" si="66"/>
        <v>4972222.222222222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21">
        <f>SUM(PlanIndicativo[[#This Row],[Ingresos Corrientes de Libre Destinación - ICLD (2023)]:[Otros (2023)]])</f>
        <v>4972222.222222222</v>
      </c>
      <c r="BV95" s="21">
        <f>+PlanIndicativo[[#This Row],[Total (2020)]]+PlanIndicativo[[#This Row],[Total  (2021)]]+PlanIndicativo[[#This Row],[Total  (2022)]]+PlanIndicativo[[#This Row],[Total (2023)]]</f>
        <v>19888888.888888888</v>
      </c>
      <c r="BW95" s="22" t="s">
        <v>351</v>
      </c>
    </row>
    <row r="96" spans="1:75" ht="21" customHeight="1" x14ac:dyDescent="0.25">
      <c r="A96" s="7">
        <v>1</v>
      </c>
      <c r="B96" s="8" t="s">
        <v>75</v>
      </c>
      <c r="C96" s="7" t="s">
        <v>341</v>
      </c>
      <c r="D96" s="7" t="s">
        <v>342</v>
      </c>
      <c r="E96" s="7" t="s">
        <v>343</v>
      </c>
      <c r="F96" s="8" t="s">
        <v>344</v>
      </c>
      <c r="G96" s="7" t="s">
        <v>345</v>
      </c>
      <c r="H96" s="8" t="s">
        <v>346</v>
      </c>
      <c r="I96" s="9">
        <v>4101025</v>
      </c>
      <c r="J96" s="25" t="s">
        <v>356</v>
      </c>
      <c r="K96" s="25" t="s">
        <v>357</v>
      </c>
      <c r="L96" s="25" t="s">
        <v>84</v>
      </c>
      <c r="M96" s="25" t="s">
        <v>354</v>
      </c>
      <c r="N96" s="25" t="s">
        <v>86</v>
      </c>
      <c r="O96" s="25">
        <v>12</v>
      </c>
      <c r="P96" s="9">
        <v>410102500</v>
      </c>
      <c r="Q96" s="25" t="s">
        <v>358</v>
      </c>
      <c r="R96" s="12" t="s">
        <v>88</v>
      </c>
      <c r="S96" s="13" t="s">
        <v>93</v>
      </c>
      <c r="T96" s="14">
        <v>0</v>
      </c>
      <c r="U96" s="15">
        <v>850</v>
      </c>
      <c r="V96" s="30">
        <v>212</v>
      </c>
      <c r="W96" s="30">
        <v>212</v>
      </c>
      <c r="X96" s="30">
        <v>213</v>
      </c>
      <c r="Y96" s="30">
        <v>213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f>44750000/9*2</f>
        <v>9944444.444444444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8">
        <f>SUM(PlanIndicativo[[#This Row],[Ingresos Corrientes de Libre Destinación - ICLD (2020)]:[Otros (2020)]])</f>
        <v>9944444.444444444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f t="shared" si="64"/>
        <v>4972222.222222222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9">
        <f>SUM(PlanIndicativo[[#This Row],[Ingresos Corrientes de Libre Destinación - ICLD (2021)]:[Otros  (2021)]])</f>
        <v>4972222.222222222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f t="shared" si="65"/>
        <v>4972222.222222222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20">
        <f>SUM(PlanIndicativo[[#This Row],[Ingresos Corrientes de Libre Destinación - ICLD (2022)]:[Otros   (2022)]])</f>
        <v>4972222.222222222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f t="shared" si="66"/>
        <v>4972222.222222222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21">
        <f>SUM(PlanIndicativo[[#This Row],[Ingresos Corrientes de Libre Destinación - ICLD (2023)]:[Otros (2023)]])</f>
        <v>4972222.222222222</v>
      </c>
      <c r="BV96" s="21">
        <f>+PlanIndicativo[[#This Row],[Total (2020)]]+PlanIndicativo[[#This Row],[Total  (2021)]]+PlanIndicativo[[#This Row],[Total  (2022)]]+PlanIndicativo[[#This Row],[Total (2023)]]</f>
        <v>24861111.111111112</v>
      </c>
      <c r="BW96" s="22" t="s">
        <v>351</v>
      </c>
    </row>
    <row r="97" spans="1:75" ht="21" customHeight="1" x14ac:dyDescent="0.25">
      <c r="A97" s="7">
        <v>1</v>
      </c>
      <c r="B97" s="8" t="s">
        <v>75</v>
      </c>
      <c r="C97" s="7" t="s">
        <v>341</v>
      </c>
      <c r="D97" s="7" t="s">
        <v>342</v>
      </c>
      <c r="E97" s="7" t="s">
        <v>343</v>
      </c>
      <c r="F97" s="8" t="s">
        <v>344</v>
      </c>
      <c r="G97" s="7" t="s">
        <v>345</v>
      </c>
      <c r="H97" s="8" t="s">
        <v>346</v>
      </c>
      <c r="I97" s="9">
        <v>4101026</v>
      </c>
      <c r="J97" s="11" t="s">
        <v>359</v>
      </c>
      <c r="K97" s="10" t="s">
        <v>360</v>
      </c>
      <c r="L97" s="25" t="s">
        <v>84</v>
      </c>
      <c r="M97" s="25" t="s">
        <v>354</v>
      </c>
      <c r="N97" s="25" t="s">
        <v>86</v>
      </c>
      <c r="O97" s="11">
        <v>15</v>
      </c>
      <c r="P97" s="9">
        <v>410102600</v>
      </c>
      <c r="Q97" s="11" t="s">
        <v>361</v>
      </c>
      <c r="R97" s="12" t="s">
        <v>88</v>
      </c>
      <c r="S97" s="13" t="s">
        <v>93</v>
      </c>
      <c r="T97" s="14">
        <v>0</v>
      </c>
      <c r="U97" s="15">
        <v>2</v>
      </c>
      <c r="V97" s="30">
        <v>0</v>
      </c>
      <c r="W97" s="30">
        <v>1</v>
      </c>
      <c r="X97" s="30">
        <v>1</v>
      </c>
      <c r="Y97" s="30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8">
        <f>SUM(PlanIndicativo[[#This Row],[Ingresos Corrientes de Libre Destinación - ICLD (2020)]:[Otros (2020)]])</f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f t="shared" si="64"/>
        <v>4972222.222222222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9">
        <f>SUM(PlanIndicativo[[#This Row],[Ingresos Corrientes de Libre Destinación - ICLD (2021)]:[Otros  (2021)]])</f>
        <v>4972222.222222222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f t="shared" si="65"/>
        <v>4972222.222222222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20">
        <f>SUM(PlanIndicativo[[#This Row],[Ingresos Corrientes de Libre Destinación - ICLD (2022)]:[Otros   (2022)]])</f>
        <v>4972222.222222222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f t="shared" si="66"/>
        <v>4972222.222222222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21">
        <f>SUM(PlanIndicativo[[#This Row],[Ingresos Corrientes de Libre Destinación - ICLD (2023)]:[Otros (2023)]])</f>
        <v>4972222.222222222</v>
      </c>
      <c r="BV97" s="21">
        <f>+PlanIndicativo[[#This Row],[Total (2020)]]+PlanIndicativo[[#This Row],[Total  (2021)]]+PlanIndicativo[[#This Row],[Total  (2022)]]+PlanIndicativo[[#This Row],[Total (2023)]]</f>
        <v>14916666.666666666</v>
      </c>
      <c r="BW97" s="22" t="s">
        <v>351</v>
      </c>
    </row>
    <row r="98" spans="1:75" ht="21" customHeight="1" x14ac:dyDescent="0.25">
      <c r="A98" s="7">
        <v>1</v>
      </c>
      <c r="B98" s="8" t="s">
        <v>75</v>
      </c>
      <c r="C98" s="7" t="s">
        <v>341</v>
      </c>
      <c r="D98" s="7" t="s">
        <v>342</v>
      </c>
      <c r="E98" s="7" t="s">
        <v>343</v>
      </c>
      <c r="F98" s="8" t="s">
        <v>344</v>
      </c>
      <c r="G98" s="7" t="s">
        <v>345</v>
      </c>
      <c r="H98" s="8" t="s">
        <v>346</v>
      </c>
      <c r="I98" s="9">
        <v>4101031</v>
      </c>
      <c r="J98" s="11" t="s">
        <v>362</v>
      </c>
      <c r="K98" s="11" t="s">
        <v>363</v>
      </c>
      <c r="L98" s="25" t="s">
        <v>84</v>
      </c>
      <c r="M98" s="25" t="s">
        <v>354</v>
      </c>
      <c r="N98" s="25" t="s">
        <v>86</v>
      </c>
      <c r="O98" s="11">
        <v>15</v>
      </c>
      <c r="P98" s="9">
        <v>410103100</v>
      </c>
      <c r="Q98" s="11" t="s">
        <v>364</v>
      </c>
      <c r="R98" s="12" t="s">
        <v>88</v>
      </c>
      <c r="S98" s="13" t="s">
        <v>89</v>
      </c>
      <c r="T98" s="14">
        <v>0</v>
      </c>
      <c r="U98" s="15">
        <v>850</v>
      </c>
      <c r="V98" s="30">
        <v>850</v>
      </c>
      <c r="W98" s="30">
        <v>850</v>
      </c>
      <c r="X98" s="30">
        <v>850</v>
      </c>
      <c r="Y98" s="30">
        <v>850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f t="shared" si="63"/>
        <v>4972222.222222222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8">
        <f>SUM(PlanIndicativo[[#This Row],[Ingresos Corrientes de Libre Destinación - ICLD (2020)]:[Otros (2020)]])</f>
        <v>4972222.222222222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f t="shared" si="64"/>
        <v>4972222.222222222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9">
        <f>SUM(PlanIndicativo[[#This Row],[Ingresos Corrientes de Libre Destinación - ICLD (2021)]:[Otros  (2021)]])</f>
        <v>4972222.222222222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f t="shared" si="65"/>
        <v>4972222.222222222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20">
        <f>SUM(PlanIndicativo[[#This Row],[Ingresos Corrientes de Libre Destinación - ICLD (2022)]:[Otros   (2022)]])</f>
        <v>4972222.222222222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f t="shared" si="66"/>
        <v>4972222.222222222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21">
        <f>SUM(PlanIndicativo[[#This Row],[Ingresos Corrientes de Libre Destinación - ICLD (2023)]:[Otros (2023)]])</f>
        <v>4972222.222222222</v>
      </c>
      <c r="BV98" s="21">
        <f>+PlanIndicativo[[#This Row],[Total (2020)]]+PlanIndicativo[[#This Row],[Total  (2021)]]+PlanIndicativo[[#This Row],[Total  (2022)]]+PlanIndicativo[[#This Row],[Total (2023)]]</f>
        <v>19888888.888888888</v>
      </c>
      <c r="BW98" s="22" t="s">
        <v>351</v>
      </c>
    </row>
    <row r="99" spans="1:75" ht="21" customHeight="1" x14ac:dyDescent="0.25">
      <c r="A99" s="7">
        <v>1</v>
      </c>
      <c r="B99" s="8" t="s">
        <v>75</v>
      </c>
      <c r="C99" s="7" t="s">
        <v>341</v>
      </c>
      <c r="D99" s="7" t="s">
        <v>342</v>
      </c>
      <c r="E99" s="7" t="s">
        <v>343</v>
      </c>
      <c r="F99" s="8" t="s">
        <v>344</v>
      </c>
      <c r="G99" s="7" t="s">
        <v>345</v>
      </c>
      <c r="H99" s="8" t="s">
        <v>346</v>
      </c>
      <c r="I99" s="9">
        <v>4101042</v>
      </c>
      <c r="J99" s="11" t="s">
        <v>365</v>
      </c>
      <c r="K99" s="10" t="s">
        <v>360</v>
      </c>
      <c r="L99" s="25" t="s">
        <v>84</v>
      </c>
      <c r="M99" s="25" t="s">
        <v>354</v>
      </c>
      <c r="N99" s="25" t="s">
        <v>86</v>
      </c>
      <c r="O99" s="11">
        <v>12</v>
      </c>
      <c r="P99" s="9">
        <v>410104200</v>
      </c>
      <c r="Q99" s="11" t="s">
        <v>366</v>
      </c>
      <c r="R99" s="12" t="s">
        <v>88</v>
      </c>
      <c r="S99" s="13" t="s">
        <v>93</v>
      </c>
      <c r="T99" s="14">
        <v>0</v>
      </c>
      <c r="U99" s="15">
        <v>25</v>
      </c>
      <c r="V99" s="30">
        <v>6</v>
      </c>
      <c r="W99" s="30">
        <v>6</v>
      </c>
      <c r="X99" s="30">
        <v>6</v>
      </c>
      <c r="Y99" s="30">
        <v>7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f t="shared" si="63"/>
        <v>4972222.222222222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8">
        <f>SUM(PlanIndicativo[[#This Row],[Ingresos Corrientes de Libre Destinación - ICLD (2020)]:[Otros (2020)]])</f>
        <v>4972222.222222222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f>44750000/9*2</f>
        <v>9944444.444444444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9">
        <f>SUM(PlanIndicativo[[#This Row],[Ingresos Corrientes de Libre Destinación - ICLD (2021)]:[Otros  (2021)]])</f>
        <v>9944444.444444444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f t="shared" si="65"/>
        <v>4972222.222222222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20">
        <f>SUM(PlanIndicativo[[#This Row],[Ingresos Corrientes de Libre Destinación - ICLD (2022)]:[Otros   (2022)]])</f>
        <v>4972222.222222222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f t="shared" si="66"/>
        <v>4972222.222222222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21">
        <f>SUM(PlanIndicativo[[#This Row],[Ingresos Corrientes de Libre Destinación - ICLD (2023)]:[Otros (2023)]])</f>
        <v>4972222.222222222</v>
      </c>
      <c r="BV99" s="21">
        <f>+PlanIndicativo[[#This Row],[Total (2020)]]+PlanIndicativo[[#This Row],[Total  (2021)]]+PlanIndicativo[[#This Row],[Total  (2022)]]+PlanIndicativo[[#This Row],[Total (2023)]]</f>
        <v>24861111.111111112</v>
      </c>
      <c r="BW99" s="22" t="s">
        <v>351</v>
      </c>
    </row>
    <row r="100" spans="1:75" ht="21" customHeight="1" x14ac:dyDescent="0.25">
      <c r="A100" s="7">
        <v>1</v>
      </c>
      <c r="B100" s="8" t="s">
        <v>75</v>
      </c>
      <c r="C100" s="7" t="s">
        <v>341</v>
      </c>
      <c r="D100" s="7" t="s">
        <v>342</v>
      </c>
      <c r="E100" s="7" t="s">
        <v>343</v>
      </c>
      <c r="F100" s="8" t="s">
        <v>344</v>
      </c>
      <c r="G100" s="7" t="s">
        <v>345</v>
      </c>
      <c r="H100" s="8" t="s">
        <v>346</v>
      </c>
      <c r="I100" s="9">
        <v>4101047</v>
      </c>
      <c r="J100" s="11" t="s">
        <v>367</v>
      </c>
      <c r="K100" s="11" t="s">
        <v>363</v>
      </c>
      <c r="L100" s="25" t="s">
        <v>84</v>
      </c>
      <c r="M100" s="25" t="s">
        <v>354</v>
      </c>
      <c r="N100" s="25" t="s">
        <v>86</v>
      </c>
      <c r="O100" s="11">
        <v>10</v>
      </c>
      <c r="P100" s="9">
        <v>410104700</v>
      </c>
      <c r="Q100" s="11" t="s">
        <v>368</v>
      </c>
      <c r="R100" s="12" t="s">
        <v>88</v>
      </c>
      <c r="S100" s="13" t="s">
        <v>93</v>
      </c>
      <c r="T100" s="14">
        <v>0</v>
      </c>
      <c r="U100" s="15">
        <v>1</v>
      </c>
      <c r="V100" s="30">
        <v>1</v>
      </c>
      <c r="W100" s="30">
        <v>0</v>
      </c>
      <c r="X100" s="30">
        <v>0</v>
      </c>
      <c r="Y100" s="30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f t="shared" si="63"/>
        <v>4972222.222222222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8">
        <f>SUM(PlanIndicativo[[#This Row],[Ingresos Corrientes de Libre Destinación - ICLD (2020)]:[Otros (2020)]])</f>
        <v>4972222.222222222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9">
        <f>SUM(PlanIndicativo[[#This Row],[Ingresos Corrientes de Libre Destinación - ICLD (2021)]:[Otros  (2021)]])</f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f t="shared" si="65"/>
        <v>4972222.222222222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20">
        <f>SUM(PlanIndicativo[[#This Row],[Ingresos Corrientes de Libre Destinación - ICLD (2022)]:[Otros   (2022)]])</f>
        <v>4972222.222222222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f t="shared" si="66"/>
        <v>4972222.222222222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21">
        <f>SUM(PlanIndicativo[[#This Row],[Ingresos Corrientes de Libre Destinación - ICLD (2023)]:[Otros (2023)]])</f>
        <v>4972222.222222222</v>
      </c>
      <c r="BV100" s="21">
        <f>+PlanIndicativo[[#This Row],[Total (2020)]]+PlanIndicativo[[#This Row],[Total  (2021)]]+PlanIndicativo[[#This Row],[Total  (2022)]]+PlanIndicativo[[#This Row],[Total (2023)]]</f>
        <v>14916666.666666666</v>
      </c>
      <c r="BW100" s="22" t="s">
        <v>351</v>
      </c>
    </row>
    <row r="101" spans="1:75" ht="21" customHeight="1" x14ac:dyDescent="0.25">
      <c r="A101" s="7">
        <v>1</v>
      </c>
      <c r="B101" s="8" t="s">
        <v>75</v>
      </c>
      <c r="C101" s="7" t="s">
        <v>341</v>
      </c>
      <c r="D101" s="7" t="s">
        <v>342</v>
      </c>
      <c r="E101" s="7" t="s">
        <v>343</v>
      </c>
      <c r="F101" s="8" t="s">
        <v>344</v>
      </c>
      <c r="G101" s="7" t="s">
        <v>345</v>
      </c>
      <c r="H101" s="8" t="s">
        <v>346</v>
      </c>
      <c r="I101" s="9">
        <v>4101073</v>
      </c>
      <c r="J101" s="11" t="s">
        <v>369</v>
      </c>
      <c r="K101" s="10" t="s">
        <v>360</v>
      </c>
      <c r="L101" s="25" t="s">
        <v>84</v>
      </c>
      <c r="M101" s="25" t="s">
        <v>354</v>
      </c>
      <c r="N101" s="25" t="s">
        <v>86</v>
      </c>
      <c r="O101" s="11">
        <v>7</v>
      </c>
      <c r="P101" s="9">
        <v>410107300</v>
      </c>
      <c r="Q101" s="11" t="s">
        <v>370</v>
      </c>
      <c r="R101" s="12" t="s">
        <v>88</v>
      </c>
      <c r="S101" s="13" t="s">
        <v>93</v>
      </c>
      <c r="T101" s="14">
        <v>0</v>
      </c>
      <c r="U101" s="15">
        <v>25</v>
      </c>
      <c r="V101" s="30">
        <v>6</v>
      </c>
      <c r="W101" s="30">
        <v>6</v>
      </c>
      <c r="X101" s="30">
        <v>6</v>
      </c>
      <c r="Y101" s="30">
        <v>7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f t="shared" si="63"/>
        <v>4972222.222222222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8">
        <f>SUM(PlanIndicativo[[#This Row],[Ingresos Corrientes de Libre Destinación - ICLD (2020)]:[Otros (2020)]])</f>
        <v>4972222.222222222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f t="shared" si="64"/>
        <v>4972222.222222222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9">
        <f>SUM(PlanIndicativo[[#This Row],[Ingresos Corrientes de Libre Destinación - ICLD (2021)]:[Otros  (2021)]])</f>
        <v>4972222.222222222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f t="shared" si="65"/>
        <v>4972222.222222222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20">
        <f>SUM(PlanIndicativo[[#This Row],[Ingresos Corrientes de Libre Destinación - ICLD (2022)]:[Otros   (2022)]])</f>
        <v>4972222.222222222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f t="shared" si="66"/>
        <v>4972222.222222222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21">
        <f>SUM(PlanIndicativo[[#This Row],[Ingresos Corrientes de Libre Destinación - ICLD (2023)]:[Otros (2023)]])</f>
        <v>4972222.222222222</v>
      </c>
      <c r="BV101" s="21">
        <f>+PlanIndicativo[[#This Row],[Total (2020)]]+PlanIndicativo[[#This Row],[Total  (2021)]]+PlanIndicativo[[#This Row],[Total  (2022)]]+PlanIndicativo[[#This Row],[Total (2023)]]</f>
        <v>19888888.888888888</v>
      </c>
      <c r="BW101" s="22" t="s">
        <v>351</v>
      </c>
    </row>
    <row r="102" spans="1:75" ht="21" customHeight="1" x14ac:dyDescent="0.25">
      <c r="A102" s="7">
        <v>1</v>
      </c>
      <c r="B102" s="8" t="s">
        <v>75</v>
      </c>
      <c r="C102" s="7" t="s">
        <v>341</v>
      </c>
      <c r="D102" s="7" t="s">
        <v>342</v>
      </c>
      <c r="E102" s="7" t="s">
        <v>343</v>
      </c>
      <c r="F102" s="8" t="s">
        <v>344</v>
      </c>
      <c r="G102" s="7" t="s">
        <v>345</v>
      </c>
      <c r="H102" s="8" t="s">
        <v>346</v>
      </c>
      <c r="I102" s="9">
        <v>4101074</v>
      </c>
      <c r="J102" s="11" t="s">
        <v>371</v>
      </c>
      <c r="K102" s="11" t="s">
        <v>372</v>
      </c>
      <c r="L102" s="25" t="s">
        <v>84</v>
      </c>
      <c r="M102" s="25" t="s">
        <v>354</v>
      </c>
      <c r="N102" s="25" t="s">
        <v>86</v>
      </c>
      <c r="O102" s="11">
        <v>12</v>
      </c>
      <c r="P102" s="9">
        <v>410107400</v>
      </c>
      <c r="Q102" s="11" t="s">
        <v>373</v>
      </c>
      <c r="R102" s="12" t="s">
        <v>88</v>
      </c>
      <c r="S102" s="13" t="s">
        <v>93</v>
      </c>
      <c r="T102" s="14">
        <v>0</v>
      </c>
      <c r="U102" s="15">
        <v>25</v>
      </c>
      <c r="V102" s="30">
        <v>6</v>
      </c>
      <c r="W102" s="30">
        <v>6</v>
      </c>
      <c r="X102" s="30">
        <v>6</v>
      </c>
      <c r="Y102" s="30">
        <v>7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f t="shared" si="63"/>
        <v>4972222.222222222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8">
        <f>SUM(PlanIndicativo[[#This Row],[Ingresos Corrientes de Libre Destinación - ICLD (2020)]:[Otros (2020)]])</f>
        <v>4972222.222222222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f t="shared" si="64"/>
        <v>4972222.222222222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9">
        <f>SUM(PlanIndicativo[[#This Row],[Ingresos Corrientes de Libre Destinación - ICLD (2021)]:[Otros  (2021)]])</f>
        <v>4972222.222222222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f t="shared" si="65"/>
        <v>4972222.222222222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20">
        <f>SUM(PlanIndicativo[[#This Row],[Ingresos Corrientes de Libre Destinación - ICLD (2022)]:[Otros   (2022)]])</f>
        <v>4972222.222222222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f t="shared" si="66"/>
        <v>4972222.222222222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21">
        <f>SUM(PlanIndicativo[[#This Row],[Ingresos Corrientes de Libre Destinación - ICLD (2023)]:[Otros (2023)]])</f>
        <v>4972222.222222222</v>
      </c>
      <c r="BV102" s="21">
        <f>+PlanIndicativo[[#This Row],[Total (2020)]]+PlanIndicativo[[#This Row],[Total  (2021)]]+PlanIndicativo[[#This Row],[Total  (2022)]]+PlanIndicativo[[#This Row],[Total (2023)]]</f>
        <v>19888888.888888888</v>
      </c>
      <c r="BW102" s="22" t="s">
        <v>351</v>
      </c>
    </row>
    <row r="103" spans="1:75" ht="21" customHeight="1" x14ac:dyDescent="0.25">
      <c r="A103" s="7">
        <v>1</v>
      </c>
      <c r="B103" s="8" t="s">
        <v>75</v>
      </c>
      <c r="C103" s="7" t="s">
        <v>341</v>
      </c>
      <c r="D103" s="7" t="s">
        <v>342</v>
      </c>
      <c r="E103" s="7" t="s">
        <v>343</v>
      </c>
      <c r="F103" s="8" t="s">
        <v>344</v>
      </c>
      <c r="G103" s="7" t="s">
        <v>374</v>
      </c>
      <c r="H103" s="8" t="s">
        <v>375</v>
      </c>
      <c r="I103" s="9">
        <v>4102001</v>
      </c>
      <c r="J103" s="11" t="s">
        <v>376</v>
      </c>
      <c r="K103" s="11" t="s">
        <v>377</v>
      </c>
      <c r="L103" s="11" t="s">
        <v>378</v>
      </c>
      <c r="M103" s="11" t="s">
        <v>379</v>
      </c>
      <c r="N103" s="11" t="s">
        <v>107</v>
      </c>
      <c r="O103" s="11"/>
      <c r="P103" s="9">
        <v>410200100</v>
      </c>
      <c r="Q103" s="11" t="s">
        <v>380</v>
      </c>
      <c r="R103" s="12" t="s">
        <v>88</v>
      </c>
      <c r="S103" s="13" t="s">
        <v>93</v>
      </c>
      <c r="T103" s="14">
        <v>0</v>
      </c>
      <c r="U103" s="15">
        <v>250</v>
      </c>
      <c r="V103" s="30">
        <v>60</v>
      </c>
      <c r="W103" s="30">
        <v>60</v>
      </c>
      <c r="X103" s="30">
        <v>60</v>
      </c>
      <c r="Y103" s="30">
        <v>70</v>
      </c>
      <c r="Z103" s="17">
        <f t="shared" ref="Z103:Z108" si="67">(23655548/2)/6</f>
        <v>1971295.6666666667</v>
      </c>
      <c r="AA103" s="17">
        <v>0</v>
      </c>
      <c r="AB103" s="17">
        <v>0</v>
      </c>
      <c r="AC103" s="17">
        <v>0</v>
      </c>
      <c r="AD103" s="17">
        <v>0</v>
      </c>
      <c r="AE103" s="17">
        <f>(23655548/2)/6</f>
        <v>1971295.6666666667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8">
        <f>SUM(PlanIndicativo[[#This Row],[Ingresos Corrientes de Libre Destinación - ICLD (2020)]:[Otros (2020)]])</f>
        <v>3942591.3333333335</v>
      </c>
      <c r="AL103" s="17">
        <f t="shared" ref="AL103:AL108" si="68">(23655548/2)/6</f>
        <v>1971295.6666666667</v>
      </c>
      <c r="AM103" s="17">
        <v>0</v>
      </c>
      <c r="AN103" s="17">
        <v>0</v>
      </c>
      <c r="AO103" s="17">
        <v>0</v>
      </c>
      <c r="AP103" s="17">
        <v>0</v>
      </c>
      <c r="AQ103" s="17">
        <f>(23655548/2)/6</f>
        <v>1971295.6666666667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9">
        <f>SUM(PlanIndicativo[[#This Row],[Ingresos Corrientes de Libre Destinación - ICLD (2021)]:[Otros  (2021)]])</f>
        <v>3942591.3333333335</v>
      </c>
      <c r="AX103" s="17">
        <f t="shared" ref="AX103:AX108" si="69">(23655548/2)/6</f>
        <v>1971295.6666666667</v>
      </c>
      <c r="AY103" s="17">
        <v>0</v>
      </c>
      <c r="AZ103" s="17">
        <v>0</v>
      </c>
      <c r="BA103" s="17">
        <v>0</v>
      </c>
      <c r="BB103" s="17">
        <v>0</v>
      </c>
      <c r="BC103" s="17">
        <f>(23655548/2)/6</f>
        <v>1971295.6666666667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20">
        <f>SUM(PlanIndicativo[[#This Row],[Ingresos Corrientes de Libre Destinación - ICLD (2022)]:[Otros   (2022)]])</f>
        <v>3942591.3333333335</v>
      </c>
      <c r="BJ103" s="17">
        <f t="shared" ref="BJ103:BJ108" si="70">(23655548/2)/6</f>
        <v>1971295.6666666667</v>
      </c>
      <c r="BK103" s="17">
        <v>0</v>
      </c>
      <c r="BL103" s="17">
        <v>0</v>
      </c>
      <c r="BM103" s="17">
        <v>0</v>
      </c>
      <c r="BN103" s="17">
        <v>0</v>
      </c>
      <c r="BO103" s="17">
        <f>(23655548/2)/6</f>
        <v>1971295.6666666667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21">
        <f>SUM(PlanIndicativo[[#This Row],[Ingresos Corrientes de Libre Destinación - ICLD (2023)]:[Otros (2023)]])</f>
        <v>3942591.3333333335</v>
      </c>
      <c r="BV103" s="21">
        <f>+PlanIndicativo[[#This Row],[Total (2020)]]+PlanIndicativo[[#This Row],[Total  (2021)]]+PlanIndicativo[[#This Row],[Total  (2022)]]+PlanIndicativo[[#This Row],[Total (2023)]]</f>
        <v>15770365.333333334</v>
      </c>
      <c r="BW103" s="22" t="s">
        <v>381</v>
      </c>
    </row>
    <row r="104" spans="1:75" ht="21" customHeight="1" x14ac:dyDescent="0.25">
      <c r="A104" s="7">
        <v>1</v>
      </c>
      <c r="B104" s="8" t="s">
        <v>75</v>
      </c>
      <c r="C104" s="7" t="s">
        <v>341</v>
      </c>
      <c r="D104" s="7" t="s">
        <v>342</v>
      </c>
      <c r="E104" s="7" t="s">
        <v>343</v>
      </c>
      <c r="F104" s="8" t="s">
        <v>344</v>
      </c>
      <c r="G104" s="7" t="s">
        <v>374</v>
      </c>
      <c r="H104" s="8" t="s">
        <v>375</v>
      </c>
      <c r="I104" s="9">
        <v>4102003</v>
      </c>
      <c r="J104" s="11" t="s">
        <v>382</v>
      </c>
      <c r="K104" s="10" t="s">
        <v>383</v>
      </c>
      <c r="L104" s="11" t="s">
        <v>378</v>
      </c>
      <c r="M104" s="11" t="s">
        <v>379</v>
      </c>
      <c r="N104" s="11" t="s">
        <v>107</v>
      </c>
      <c r="O104" s="11"/>
      <c r="P104" s="9">
        <v>410200300</v>
      </c>
      <c r="Q104" s="11" t="s">
        <v>384</v>
      </c>
      <c r="R104" s="12" t="s">
        <v>88</v>
      </c>
      <c r="S104" s="13" t="s">
        <v>93</v>
      </c>
      <c r="T104" s="14">
        <v>0</v>
      </c>
      <c r="U104" s="15">
        <v>8</v>
      </c>
      <c r="V104" s="30">
        <v>2</v>
      </c>
      <c r="W104" s="30">
        <v>2</v>
      </c>
      <c r="X104" s="30">
        <v>2</v>
      </c>
      <c r="Y104" s="30">
        <v>2</v>
      </c>
      <c r="Z104" s="17">
        <f>(23655548/2)/6*2</f>
        <v>3942591.3333333335</v>
      </c>
      <c r="AA104" s="17">
        <v>0</v>
      </c>
      <c r="AB104" s="17">
        <v>0</v>
      </c>
      <c r="AC104" s="17">
        <v>0</v>
      </c>
      <c r="AD104" s="17">
        <v>0</v>
      </c>
      <c r="AE104" s="17">
        <f>(23655548/2)/6*2</f>
        <v>3942591.3333333335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8">
        <f>SUM(PlanIndicativo[[#This Row],[Ingresos Corrientes de Libre Destinación - ICLD (2020)]:[Otros (2020)]])</f>
        <v>7885182.666666667</v>
      </c>
      <c r="AL104" s="17">
        <f>(23655548/2)/6*2</f>
        <v>3942591.3333333335</v>
      </c>
      <c r="AM104" s="17">
        <v>0</v>
      </c>
      <c r="AN104" s="17">
        <v>0</v>
      </c>
      <c r="AO104" s="17">
        <v>0</v>
      </c>
      <c r="AP104" s="17">
        <v>0</v>
      </c>
      <c r="AQ104" s="17">
        <f>(23655548/2)/6*2</f>
        <v>3942591.3333333335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9">
        <f>SUM(PlanIndicativo[[#This Row],[Ingresos Corrientes de Libre Destinación - ICLD (2021)]:[Otros  (2021)]])</f>
        <v>7885182.666666667</v>
      </c>
      <c r="AX104" s="17">
        <f t="shared" si="69"/>
        <v>1971295.6666666667</v>
      </c>
      <c r="AY104" s="17">
        <v>0</v>
      </c>
      <c r="AZ104" s="17">
        <v>0</v>
      </c>
      <c r="BA104" s="17">
        <v>0</v>
      </c>
      <c r="BB104" s="17">
        <v>0</v>
      </c>
      <c r="BC104" s="17">
        <f t="shared" ref="BC104:BC108" si="71">(23655548/2)/6</f>
        <v>1971295.6666666667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20">
        <f>SUM(PlanIndicativo[[#This Row],[Ingresos Corrientes de Libre Destinación - ICLD (2022)]:[Otros   (2022)]])</f>
        <v>3942591.3333333335</v>
      </c>
      <c r="BJ104" s="17">
        <f t="shared" si="70"/>
        <v>1971295.6666666667</v>
      </c>
      <c r="BK104" s="17">
        <v>0</v>
      </c>
      <c r="BL104" s="17">
        <v>0</v>
      </c>
      <c r="BM104" s="17">
        <v>0</v>
      </c>
      <c r="BN104" s="17">
        <v>0</v>
      </c>
      <c r="BO104" s="17">
        <f t="shared" ref="BO104:BO108" si="72">(23655548/2)/6</f>
        <v>1971295.6666666667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21">
        <f>SUM(PlanIndicativo[[#This Row],[Ingresos Corrientes de Libre Destinación - ICLD (2023)]:[Otros (2023)]])</f>
        <v>3942591.3333333335</v>
      </c>
      <c r="BV104" s="21">
        <f>+PlanIndicativo[[#This Row],[Total (2020)]]+PlanIndicativo[[#This Row],[Total  (2021)]]+PlanIndicativo[[#This Row],[Total  (2022)]]+PlanIndicativo[[#This Row],[Total (2023)]]</f>
        <v>23655548</v>
      </c>
      <c r="BW104" s="22" t="s">
        <v>381</v>
      </c>
    </row>
    <row r="105" spans="1:75" ht="21" customHeight="1" x14ac:dyDescent="0.25">
      <c r="A105" s="7">
        <v>1</v>
      </c>
      <c r="B105" s="8" t="s">
        <v>75</v>
      </c>
      <c r="C105" s="7" t="s">
        <v>341</v>
      </c>
      <c r="D105" s="7" t="s">
        <v>342</v>
      </c>
      <c r="E105" s="7" t="s">
        <v>343</v>
      </c>
      <c r="F105" s="8" t="s">
        <v>344</v>
      </c>
      <c r="G105" s="7" t="s">
        <v>374</v>
      </c>
      <c r="H105" s="8" t="s">
        <v>375</v>
      </c>
      <c r="I105" s="9">
        <v>4102006</v>
      </c>
      <c r="J105" s="11" t="s">
        <v>385</v>
      </c>
      <c r="K105" s="11" t="s">
        <v>377</v>
      </c>
      <c r="L105" s="11" t="s">
        <v>378</v>
      </c>
      <c r="M105" s="11" t="s">
        <v>379</v>
      </c>
      <c r="N105" s="11" t="s">
        <v>107</v>
      </c>
      <c r="O105" s="11"/>
      <c r="P105" s="9">
        <v>410200600</v>
      </c>
      <c r="Q105" s="11" t="s">
        <v>386</v>
      </c>
      <c r="R105" s="12" t="s">
        <v>88</v>
      </c>
      <c r="S105" s="13" t="s">
        <v>93</v>
      </c>
      <c r="T105" s="14">
        <v>0</v>
      </c>
      <c r="U105" s="15">
        <v>1</v>
      </c>
      <c r="V105" s="30">
        <v>0</v>
      </c>
      <c r="W105" s="30">
        <v>0</v>
      </c>
      <c r="X105" s="30">
        <v>1</v>
      </c>
      <c r="Y105" s="30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8">
        <f>SUM(PlanIndicativo[[#This Row],[Ingresos Corrientes de Libre Destinación - ICLD (2020)]:[Otros (2020)]])</f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9">
        <f>SUM(PlanIndicativo[[#This Row],[Ingresos Corrientes de Libre Destinación - ICLD (2021)]:[Otros  (2021)]])</f>
        <v>0</v>
      </c>
      <c r="AX105" s="17">
        <f t="shared" si="69"/>
        <v>1971295.6666666667</v>
      </c>
      <c r="AY105" s="17">
        <v>0</v>
      </c>
      <c r="AZ105" s="17">
        <v>0</v>
      </c>
      <c r="BA105" s="17">
        <v>0</v>
      </c>
      <c r="BB105" s="17">
        <v>0</v>
      </c>
      <c r="BC105" s="17">
        <f t="shared" si="71"/>
        <v>1971295.6666666667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20">
        <f>SUM(PlanIndicativo[[#This Row],[Ingresos Corrientes de Libre Destinación - ICLD (2022)]:[Otros   (2022)]])</f>
        <v>3942591.3333333335</v>
      </c>
      <c r="BJ105" s="17">
        <f t="shared" si="70"/>
        <v>1971295.6666666667</v>
      </c>
      <c r="BK105" s="17">
        <v>0</v>
      </c>
      <c r="BL105" s="17">
        <v>0</v>
      </c>
      <c r="BM105" s="17">
        <v>0</v>
      </c>
      <c r="BN105" s="17">
        <v>0</v>
      </c>
      <c r="BO105" s="17">
        <f t="shared" si="72"/>
        <v>1971295.6666666667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21">
        <f>SUM(PlanIndicativo[[#This Row],[Ingresos Corrientes de Libre Destinación - ICLD (2023)]:[Otros (2023)]])</f>
        <v>3942591.3333333335</v>
      </c>
      <c r="BV105" s="21">
        <f>+PlanIndicativo[[#This Row],[Total (2020)]]+PlanIndicativo[[#This Row],[Total  (2021)]]+PlanIndicativo[[#This Row],[Total  (2022)]]+PlanIndicativo[[#This Row],[Total (2023)]]</f>
        <v>7885182.666666667</v>
      </c>
      <c r="BW105" s="22" t="s">
        <v>381</v>
      </c>
    </row>
    <row r="106" spans="1:75" ht="21" customHeight="1" x14ac:dyDescent="0.25">
      <c r="A106" s="7">
        <v>1</v>
      </c>
      <c r="B106" s="8" t="s">
        <v>75</v>
      </c>
      <c r="C106" s="7" t="s">
        <v>341</v>
      </c>
      <c r="D106" s="7" t="s">
        <v>342</v>
      </c>
      <c r="E106" s="7" t="s">
        <v>343</v>
      </c>
      <c r="F106" s="8" t="s">
        <v>344</v>
      </c>
      <c r="G106" s="7" t="s">
        <v>374</v>
      </c>
      <c r="H106" s="8" t="s">
        <v>375</v>
      </c>
      <c r="I106" s="9">
        <v>4102007</v>
      </c>
      <c r="J106" s="11" t="s">
        <v>387</v>
      </c>
      <c r="K106" s="11" t="s">
        <v>377</v>
      </c>
      <c r="L106" s="11" t="s">
        <v>378</v>
      </c>
      <c r="M106" s="11" t="s">
        <v>379</v>
      </c>
      <c r="N106" s="11" t="s">
        <v>107</v>
      </c>
      <c r="O106" s="11"/>
      <c r="P106" s="9">
        <v>410200700</v>
      </c>
      <c r="Q106" s="11" t="s">
        <v>388</v>
      </c>
      <c r="R106" s="12" t="s">
        <v>88</v>
      </c>
      <c r="S106" s="13" t="s">
        <v>93</v>
      </c>
      <c r="T106" s="14">
        <v>0</v>
      </c>
      <c r="U106" s="15">
        <v>1</v>
      </c>
      <c r="V106" s="30">
        <v>0</v>
      </c>
      <c r="W106" s="30">
        <v>0</v>
      </c>
      <c r="X106" s="30">
        <v>0</v>
      </c>
      <c r="Y106" s="30">
        <v>1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8">
        <f>SUM(PlanIndicativo[[#This Row],[Ingresos Corrientes de Libre Destinación - ICLD (2020)]:[Otros (2020)]])</f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9">
        <f>SUM(PlanIndicativo[[#This Row],[Ingresos Corrientes de Libre Destinación - ICLD (2021)]:[Otros  (2021)]])</f>
        <v>0</v>
      </c>
      <c r="AX106" s="17">
        <f t="shared" si="69"/>
        <v>1971295.6666666667</v>
      </c>
      <c r="AY106" s="17">
        <v>0</v>
      </c>
      <c r="AZ106" s="17">
        <v>0</v>
      </c>
      <c r="BA106" s="17">
        <v>0</v>
      </c>
      <c r="BB106" s="17">
        <v>0</v>
      </c>
      <c r="BC106" s="17">
        <f t="shared" si="71"/>
        <v>1971295.6666666667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20">
        <f>SUM(PlanIndicativo[[#This Row],[Ingresos Corrientes de Libre Destinación - ICLD (2022)]:[Otros   (2022)]])</f>
        <v>3942591.3333333335</v>
      </c>
      <c r="BJ106" s="17">
        <f t="shared" si="70"/>
        <v>1971295.6666666667</v>
      </c>
      <c r="BK106" s="17">
        <v>0</v>
      </c>
      <c r="BL106" s="17">
        <v>0</v>
      </c>
      <c r="BM106" s="17">
        <v>0</v>
      </c>
      <c r="BN106" s="17">
        <v>0</v>
      </c>
      <c r="BO106" s="17">
        <f t="shared" si="72"/>
        <v>1971295.6666666667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21">
        <f>SUM(PlanIndicativo[[#This Row],[Ingresos Corrientes de Libre Destinación - ICLD (2023)]:[Otros (2023)]])</f>
        <v>3942591.3333333335</v>
      </c>
      <c r="BV106" s="21">
        <f>+PlanIndicativo[[#This Row],[Total (2020)]]+PlanIndicativo[[#This Row],[Total  (2021)]]+PlanIndicativo[[#This Row],[Total  (2022)]]+PlanIndicativo[[#This Row],[Total (2023)]]</f>
        <v>7885182.666666667</v>
      </c>
      <c r="BW106" s="22" t="s">
        <v>381</v>
      </c>
    </row>
    <row r="107" spans="1:75" ht="21" customHeight="1" x14ac:dyDescent="0.25">
      <c r="A107" s="7">
        <v>1</v>
      </c>
      <c r="B107" s="8" t="s">
        <v>75</v>
      </c>
      <c r="C107" s="7" t="s">
        <v>341</v>
      </c>
      <c r="D107" s="7" t="s">
        <v>342</v>
      </c>
      <c r="E107" s="7" t="s">
        <v>343</v>
      </c>
      <c r="F107" s="8" t="s">
        <v>344</v>
      </c>
      <c r="G107" s="7" t="s">
        <v>374</v>
      </c>
      <c r="H107" s="8" t="s">
        <v>375</v>
      </c>
      <c r="I107" s="9">
        <v>4102022</v>
      </c>
      <c r="J107" s="11" t="s">
        <v>389</v>
      </c>
      <c r="K107" s="11" t="s">
        <v>377</v>
      </c>
      <c r="L107" s="11" t="s">
        <v>378</v>
      </c>
      <c r="M107" s="11" t="s">
        <v>379</v>
      </c>
      <c r="N107" s="11" t="s">
        <v>107</v>
      </c>
      <c r="O107" s="11"/>
      <c r="P107" s="9">
        <v>410202200</v>
      </c>
      <c r="Q107" s="11" t="s">
        <v>390</v>
      </c>
      <c r="R107" s="12" t="s">
        <v>88</v>
      </c>
      <c r="S107" s="13" t="s">
        <v>93</v>
      </c>
      <c r="T107" s="14">
        <v>0</v>
      </c>
      <c r="U107" s="15">
        <v>12</v>
      </c>
      <c r="V107" s="30">
        <v>3</v>
      </c>
      <c r="W107" s="30">
        <v>3</v>
      </c>
      <c r="X107" s="30">
        <v>3</v>
      </c>
      <c r="Y107" s="30">
        <v>3</v>
      </c>
      <c r="Z107" s="17">
        <f>(23655548/2)/6*2</f>
        <v>3942591.3333333335</v>
      </c>
      <c r="AA107" s="17">
        <v>0</v>
      </c>
      <c r="AB107" s="17">
        <v>0</v>
      </c>
      <c r="AC107" s="17">
        <v>0</v>
      </c>
      <c r="AD107" s="17">
        <v>0</v>
      </c>
      <c r="AE107" s="17">
        <f>(23655548/2)/6*2</f>
        <v>3942591.3333333335</v>
      </c>
      <c r="AF107" s="17">
        <v>0</v>
      </c>
      <c r="AG107" s="17">
        <v>0</v>
      </c>
      <c r="AH107" s="17">
        <v>0</v>
      </c>
      <c r="AI107" s="17">
        <v>0</v>
      </c>
      <c r="AJ107" s="17">
        <v>0</v>
      </c>
      <c r="AK107" s="18">
        <f>SUM(PlanIndicativo[[#This Row],[Ingresos Corrientes de Libre Destinación - ICLD (2020)]:[Otros (2020)]])</f>
        <v>7885182.666666667</v>
      </c>
      <c r="AL107" s="17">
        <f>(23655548/2)/6*2</f>
        <v>3942591.3333333335</v>
      </c>
      <c r="AM107" s="17">
        <v>0</v>
      </c>
      <c r="AN107" s="17">
        <v>0</v>
      </c>
      <c r="AO107" s="17">
        <v>0</v>
      </c>
      <c r="AP107" s="17">
        <v>0</v>
      </c>
      <c r="AQ107" s="17">
        <f>(23655548/2)/6*2</f>
        <v>3942591.3333333335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9">
        <f>SUM(PlanIndicativo[[#This Row],[Ingresos Corrientes de Libre Destinación - ICLD (2021)]:[Otros  (2021)]])</f>
        <v>7885182.666666667</v>
      </c>
      <c r="AX107" s="17">
        <f t="shared" si="69"/>
        <v>1971295.6666666667</v>
      </c>
      <c r="AY107" s="17">
        <v>0</v>
      </c>
      <c r="AZ107" s="17">
        <v>0</v>
      </c>
      <c r="BA107" s="17">
        <v>0</v>
      </c>
      <c r="BB107" s="17">
        <v>0</v>
      </c>
      <c r="BC107" s="17">
        <f t="shared" si="71"/>
        <v>1971295.6666666667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20">
        <f>SUM(PlanIndicativo[[#This Row],[Ingresos Corrientes de Libre Destinación - ICLD (2022)]:[Otros   (2022)]])</f>
        <v>3942591.3333333335</v>
      </c>
      <c r="BJ107" s="17">
        <f t="shared" si="70"/>
        <v>1971295.6666666667</v>
      </c>
      <c r="BK107" s="17">
        <v>0</v>
      </c>
      <c r="BL107" s="17">
        <v>0</v>
      </c>
      <c r="BM107" s="17">
        <v>0</v>
      </c>
      <c r="BN107" s="17">
        <v>0</v>
      </c>
      <c r="BO107" s="17">
        <f t="shared" si="72"/>
        <v>1971295.6666666667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21">
        <f>SUM(PlanIndicativo[[#This Row],[Ingresos Corrientes de Libre Destinación - ICLD (2023)]:[Otros (2023)]])</f>
        <v>3942591.3333333335</v>
      </c>
      <c r="BV107" s="21">
        <f>+PlanIndicativo[[#This Row],[Total (2020)]]+PlanIndicativo[[#This Row],[Total  (2021)]]+PlanIndicativo[[#This Row],[Total  (2022)]]+PlanIndicativo[[#This Row],[Total (2023)]]</f>
        <v>23655548</v>
      </c>
      <c r="BW107" s="22" t="s">
        <v>381</v>
      </c>
    </row>
    <row r="108" spans="1:75" ht="21" customHeight="1" x14ac:dyDescent="0.25">
      <c r="A108" s="7">
        <v>1</v>
      </c>
      <c r="B108" s="8" t="s">
        <v>75</v>
      </c>
      <c r="C108" s="7" t="s">
        <v>341</v>
      </c>
      <c r="D108" s="7" t="s">
        <v>342</v>
      </c>
      <c r="E108" s="7" t="s">
        <v>343</v>
      </c>
      <c r="F108" s="8" t="s">
        <v>344</v>
      </c>
      <c r="G108" s="7" t="s">
        <v>374</v>
      </c>
      <c r="H108" s="8" t="s">
        <v>375</v>
      </c>
      <c r="I108" s="9">
        <v>4102037</v>
      </c>
      <c r="J108" s="11" t="s">
        <v>391</v>
      </c>
      <c r="K108" s="11" t="s">
        <v>377</v>
      </c>
      <c r="L108" s="11" t="s">
        <v>378</v>
      </c>
      <c r="M108" s="11" t="s">
        <v>379</v>
      </c>
      <c r="N108" s="11" t="s">
        <v>107</v>
      </c>
      <c r="O108" s="11"/>
      <c r="P108" s="9">
        <v>410203700</v>
      </c>
      <c r="Q108" s="11" t="s">
        <v>392</v>
      </c>
      <c r="R108" s="12" t="s">
        <v>88</v>
      </c>
      <c r="S108" s="13" t="s">
        <v>93</v>
      </c>
      <c r="T108" s="14">
        <v>0</v>
      </c>
      <c r="U108" s="15">
        <v>50</v>
      </c>
      <c r="V108" s="30">
        <v>12</v>
      </c>
      <c r="W108" s="30">
        <v>13</v>
      </c>
      <c r="X108" s="30">
        <v>13</v>
      </c>
      <c r="Y108" s="30">
        <v>12</v>
      </c>
      <c r="Z108" s="17">
        <f t="shared" si="67"/>
        <v>1971295.6666666667</v>
      </c>
      <c r="AA108" s="17">
        <v>0</v>
      </c>
      <c r="AB108" s="17">
        <v>0</v>
      </c>
      <c r="AC108" s="17">
        <v>0</v>
      </c>
      <c r="AD108" s="17">
        <v>0</v>
      </c>
      <c r="AE108" s="17">
        <f t="shared" ref="AE108" si="73">(23655548/2)/6</f>
        <v>1971295.6666666667</v>
      </c>
      <c r="AF108" s="17">
        <v>0</v>
      </c>
      <c r="AG108" s="17">
        <v>0</v>
      </c>
      <c r="AH108" s="17">
        <v>0</v>
      </c>
      <c r="AI108" s="17">
        <v>0</v>
      </c>
      <c r="AJ108" s="17">
        <v>0</v>
      </c>
      <c r="AK108" s="18">
        <f>SUM(PlanIndicativo[[#This Row],[Ingresos Corrientes de Libre Destinación - ICLD (2020)]:[Otros (2020)]])</f>
        <v>3942591.3333333335</v>
      </c>
      <c r="AL108" s="17">
        <f t="shared" si="68"/>
        <v>1971295.6666666667</v>
      </c>
      <c r="AM108" s="17">
        <v>0</v>
      </c>
      <c r="AN108" s="17">
        <v>0</v>
      </c>
      <c r="AO108" s="17">
        <v>0</v>
      </c>
      <c r="AP108" s="17">
        <v>0</v>
      </c>
      <c r="AQ108" s="17">
        <f t="shared" ref="AQ108" si="74">(23655548/2)/6</f>
        <v>1971295.6666666667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9">
        <f>SUM(PlanIndicativo[[#This Row],[Ingresos Corrientes de Libre Destinación - ICLD (2021)]:[Otros  (2021)]])</f>
        <v>3942591.3333333335</v>
      </c>
      <c r="AX108" s="17">
        <f t="shared" si="69"/>
        <v>1971295.6666666667</v>
      </c>
      <c r="AY108" s="17">
        <v>0</v>
      </c>
      <c r="AZ108" s="17">
        <v>0</v>
      </c>
      <c r="BA108" s="17">
        <v>0</v>
      </c>
      <c r="BB108" s="17">
        <v>0</v>
      </c>
      <c r="BC108" s="17">
        <f t="shared" si="71"/>
        <v>1971295.6666666667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20">
        <f>SUM(PlanIndicativo[[#This Row],[Ingresos Corrientes de Libre Destinación - ICLD (2022)]:[Otros   (2022)]])</f>
        <v>3942591.3333333335</v>
      </c>
      <c r="BJ108" s="17">
        <f t="shared" si="70"/>
        <v>1971295.6666666667</v>
      </c>
      <c r="BK108" s="17">
        <v>0</v>
      </c>
      <c r="BL108" s="17">
        <v>0</v>
      </c>
      <c r="BM108" s="17">
        <v>0</v>
      </c>
      <c r="BN108" s="17">
        <v>0</v>
      </c>
      <c r="BO108" s="17">
        <f t="shared" si="72"/>
        <v>1971295.6666666667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21">
        <f>SUM(PlanIndicativo[[#This Row],[Ingresos Corrientes de Libre Destinación - ICLD (2023)]:[Otros (2023)]])</f>
        <v>3942591.3333333335</v>
      </c>
      <c r="BV108" s="21">
        <f>+PlanIndicativo[[#This Row],[Total (2020)]]+PlanIndicativo[[#This Row],[Total  (2021)]]+PlanIndicativo[[#This Row],[Total  (2022)]]+PlanIndicativo[[#This Row],[Total (2023)]]</f>
        <v>15770365.333333334</v>
      </c>
      <c r="BW108" s="22" t="s">
        <v>381</v>
      </c>
    </row>
    <row r="109" spans="1:75" ht="21" customHeight="1" x14ac:dyDescent="0.25">
      <c r="A109" s="7">
        <v>1</v>
      </c>
      <c r="B109" s="8" t="s">
        <v>75</v>
      </c>
      <c r="C109" s="7" t="s">
        <v>341</v>
      </c>
      <c r="D109" s="7" t="s">
        <v>342</v>
      </c>
      <c r="E109" s="7" t="s">
        <v>343</v>
      </c>
      <c r="F109" s="8" t="s">
        <v>344</v>
      </c>
      <c r="G109" s="7" t="s">
        <v>393</v>
      </c>
      <c r="H109" s="8" t="s">
        <v>394</v>
      </c>
      <c r="I109" s="9">
        <v>4103004</v>
      </c>
      <c r="J109" s="11" t="s">
        <v>395</v>
      </c>
      <c r="K109" s="11" t="s">
        <v>396</v>
      </c>
      <c r="L109" s="11" t="s">
        <v>84</v>
      </c>
      <c r="M109" s="11" t="s">
        <v>349</v>
      </c>
      <c r="N109" s="25" t="s">
        <v>86</v>
      </c>
      <c r="O109" s="11"/>
      <c r="P109" s="9">
        <v>410300400</v>
      </c>
      <c r="Q109" s="11" t="s">
        <v>397</v>
      </c>
      <c r="R109" s="12" t="s">
        <v>88</v>
      </c>
      <c r="S109" s="13" t="s">
        <v>93</v>
      </c>
      <c r="T109" s="14">
        <v>0</v>
      </c>
      <c r="U109" s="15">
        <v>40</v>
      </c>
      <c r="V109" s="30">
        <v>10</v>
      </c>
      <c r="W109" s="30">
        <v>10</v>
      </c>
      <c r="X109" s="30">
        <v>10</v>
      </c>
      <c r="Y109" s="30">
        <v>10</v>
      </c>
      <c r="Z109" s="17">
        <f t="shared" ref="Z109:Z115" si="75">13517456/11</f>
        <v>1228859.6363636365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>
        <v>0</v>
      </c>
      <c r="AJ109" s="17">
        <v>0</v>
      </c>
      <c r="AK109" s="18">
        <f>SUM(PlanIndicativo[[#This Row],[Ingresos Corrientes de Libre Destinación - ICLD (2020)]:[Otros (2020)]])</f>
        <v>1228859.6363636365</v>
      </c>
      <c r="AL109" s="17">
        <f t="shared" ref="AL109:AL115" si="76">13517456/11</f>
        <v>1228859.6363636365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9">
        <f>SUM(PlanIndicativo[[#This Row],[Ingresos Corrientes de Libre Destinación - ICLD (2021)]:[Otros  (2021)]])</f>
        <v>1228859.6363636365</v>
      </c>
      <c r="AX109" s="17">
        <f t="shared" ref="AX109:AX119" si="77">13517456/11</f>
        <v>1228859.6363636365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20">
        <f>SUM(PlanIndicativo[[#This Row],[Ingresos Corrientes de Libre Destinación - ICLD (2022)]:[Otros   (2022)]])</f>
        <v>1228859.6363636365</v>
      </c>
      <c r="BJ109" s="17">
        <f t="shared" ref="BJ109:BJ119" si="78">13517456/11</f>
        <v>1228859.6363636365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21">
        <f>SUM(PlanIndicativo[[#This Row],[Ingresos Corrientes de Libre Destinación - ICLD (2023)]:[Otros (2023)]])</f>
        <v>1228859.6363636365</v>
      </c>
      <c r="BV109" s="21">
        <f>+PlanIndicativo[[#This Row],[Total (2020)]]+PlanIndicativo[[#This Row],[Total  (2021)]]+PlanIndicativo[[#This Row],[Total  (2022)]]+PlanIndicativo[[#This Row],[Total (2023)]]</f>
        <v>4915438.5454545459</v>
      </c>
      <c r="BW109" s="22" t="s">
        <v>351</v>
      </c>
    </row>
    <row r="110" spans="1:75" ht="21" customHeight="1" x14ac:dyDescent="0.25">
      <c r="A110" s="7">
        <v>1</v>
      </c>
      <c r="B110" s="8" t="s">
        <v>75</v>
      </c>
      <c r="C110" s="7" t="s">
        <v>341</v>
      </c>
      <c r="D110" s="7" t="s">
        <v>342</v>
      </c>
      <c r="E110" s="7" t="s">
        <v>343</v>
      </c>
      <c r="F110" s="8" t="s">
        <v>344</v>
      </c>
      <c r="G110" s="7" t="s">
        <v>393</v>
      </c>
      <c r="H110" s="8" t="s">
        <v>394</v>
      </c>
      <c r="I110" s="9">
        <v>4103005</v>
      </c>
      <c r="J110" s="11" t="s">
        <v>398</v>
      </c>
      <c r="K110" s="10" t="s">
        <v>399</v>
      </c>
      <c r="L110" s="11" t="s">
        <v>84</v>
      </c>
      <c r="M110" s="11" t="s">
        <v>349</v>
      </c>
      <c r="N110" s="25" t="s">
        <v>86</v>
      </c>
      <c r="O110" s="11"/>
      <c r="P110" s="9">
        <v>410300500</v>
      </c>
      <c r="Q110" s="11" t="s">
        <v>400</v>
      </c>
      <c r="R110" s="12" t="s">
        <v>88</v>
      </c>
      <c r="S110" s="13" t="s">
        <v>93</v>
      </c>
      <c r="T110" s="14">
        <v>0</v>
      </c>
      <c r="U110" s="15">
        <v>4</v>
      </c>
      <c r="V110" s="30">
        <v>1</v>
      </c>
      <c r="W110" s="30">
        <v>1</v>
      </c>
      <c r="X110" s="30">
        <v>1</v>
      </c>
      <c r="Y110" s="30">
        <v>1</v>
      </c>
      <c r="Z110" s="17">
        <f t="shared" si="75"/>
        <v>1228859.6363636365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8">
        <f>SUM(PlanIndicativo[[#This Row],[Ingresos Corrientes de Libre Destinación - ICLD (2020)]:[Otros (2020)]])</f>
        <v>1228859.6363636365</v>
      </c>
      <c r="AL110" s="17">
        <f t="shared" si="76"/>
        <v>1228859.6363636365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9">
        <f>SUM(PlanIndicativo[[#This Row],[Ingresos Corrientes de Libre Destinación - ICLD (2021)]:[Otros  (2021)]])</f>
        <v>1228859.6363636365</v>
      </c>
      <c r="AX110" s="17">
        <f t="shared" si="77"/>
        <v>1228859.6363636365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20">
        <f>SUM(PlanIndicativo[[#This Row],[Ingresos Corrientes de Libre Destinación - ICLD (2022)]:[Otros   (2022)]])</f>
        <v>1228859.6363636365</v>
      </c>
      <c r="BJ110" s="17">
        <f t="shared" si="78"/>
        <v>1228859.6363636365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21">
        <f>SUM(PlanIndicativo[[#This Row],[Ingresos Corrientes de Libre Destinación - ICLD (2023)]:[Otros (2023)]])</f>
        <v>1228859.6363636365</v>
      </c>
      <c r="BV110" s="21">
        <f>+PlanIndicativo[[#This Row],[Total (2020)]]+PlanIndicativo[[#This Row],[Total  (2021)]]+PlanIndicativo[[#This Row],[Total  (2022)]]+PlanIndicativo[[#This Row],[Total (2023)]]</f>
        <v>4915438.5454545459</v>
      </c>
      <c r="BW110" s="22" t="s">
        <v>351</v>
      </c>
    </row>
    <row r="111" spans="1:75" ht="21" customHeight="1" x14ac:dyDescent="0.25">
      <c r="A111" s="7">
        <v>1</v>
      </c>
      <c r="B111" s="8" t="s">
        <v>75</v>
      </c>
      <c r="C111" s="7" t="s">
        <v>341</v>
      </c>
      <c r="D111" s="7" t="s">
        <v>342</v>
      </c>
      <c r="E111" s="7" t="s">
        <v>343</v>
      </c>
      <c r="F111" s="8" t="s">
        <v>344</v>
      </c>
      <c r="G111" s="7" t="s">
        <v>393</v>
      </c>
      <c r="H111" s="8" t="s">
        <v>394</v>
      </c>
      <c r="I111" s="9">
        <v>4103009</v>
      </c>
      <c r="J111" s="11" t="s">
        <v>401</v>
      </c>
      <c r="K111" s="11" t="s">
        <v>402</v>
      </c>
      <c r="L111" s="11" t="s">
        <v>84</v>
      </c>
      <c r="M111" s="11" t="s">
        <v>349</v>
      </c>
      <c r="N111" s="25" t="s">
        <v>86</v>
      </c>
      <c r="O111" s="11"/>
      <c r="P111" s="9">
        <v>410300900</v>
      </c>
      <c r="Q111" s="11" t="s">
        <v>403</v>
      </c>
      <c r="R111" s="12" t="s">
        <v>88</v>
      </c>
      <c r="S111" s="13" t="s">
        <v>93</v>
      </c>
      <c r="T111" s="14">
        <v>0</v>
      </c>
      <c r="U111" s="15">
        <v>10</v>
      </c>
      <c r="V111" s="30">
        <v>2</v>
      </c>
      <c r="W111" s="30">
        <v>3</v>
      </c>
      <c r="X111" s="30">
        <v>2</v>
      </c>
      <c r="Y111" s="30">
        <v>3</v>
      </c>
      <c r="Z111" s="17">
        <f t="shared" si="75"/>
        <v>1228859.6363636365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8">
        <f>SUM(PlanIndicativo[[#This Row],[Ingresos Corrientes de Libre Destinación - ICLD (2020)]:[Otros (2020)]])</f>
        <v>1228859.6363636365</v>
      </c>
      <c r="AL111" s="17">
        <f t="shared" si="76"/>
        <v>1228859.6363636365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9">
        <f>SUM(PlanIndicativo[[#This Row],[Ingresos Corrientes de Libre Destinación - ICLD (2021)]:[Otros  (2021)]])</f>
        <v>1228859.6363636365</v>
      </c>
      <c r="AX111" s="17">
        <f t="shared" si="77"/>
        <v>1228859.6363636365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20">
        <f>SUM(PlanIndicativo[[#This Row],[Ingresos Corrientes de Libre Destinación - ICLD (2022)]:[Otros   (2022)]])</f>
        <v>1228859.6363636365</v>
      </c>
      <c r="BJ111" s="17">
        <f t="shared" si="78"/>
        <v>1228859.6363636365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21">
        <f>SUM(PlanIndicativo[[#This Row],[Ingresos Corrientes de Libre Destinación - ICLD (2023)]:[Otros (2023)]])</f>
        <v>1228859.6363636365</v>
      </c>
      <c r="BV111" s="21">
        <f>+PlanIndicativo[[#This Row],[Total (2020)]]+PlanIndicativo[[#This Row],[Total  (2021)]]+PlanIndicativo[[#This Row],[Total  (2022)]]+PlanIndicativo[[#This Row],[Total (2023)]]</f>
        <v>4915438.5454545459</v>
      </c>
      <c r="BW111" s="22" t="s">
        <v>351</v>
      </c>
    </row>
    <row r="112" spans="1:75" ht="21" customHeight="1" x14ac:dyDescent="0.25">
      <c r="A112" s="7">
        <v>1</v>
      </c>
      <c r="B112" s="8" t="s">
        <v>75</v>
      </c>
      <c r="C112" s="7" t="s">
        <v>341</v>
      </c>
      <c r="D112" s="7" t="s">
        <v>342</v>
      </c>
      <c r="E112" s="7" t="s">
        <v>343</v>
      </c>
      <c r="F112" s="8" t="s">
        <v>344</v>
      </c>
      <c r="G112" s="7" t="s">
        <v>393</v>
      </c>
      <c r="H112" s="8" t="s">
        <v>394</v>
      </c>
      <c r="I112" s="9">
        <v>4103010</v>
      </c>
      <c r="J112" s="11" t="s">
        <v>404</v>
      </c>
      <c r="K112" s="11" t="s">
        <v>402</v>
      </c>
      <c r="L112" s="11" t="s">
        <v>84</v>
      </c>
      <c r="M112" s="11" t="s">
        <v>349</v>
      </c>
      <c r="N112" s="25" t="s">
        <v>86</v>
      </c>
      <c r="O112" s="11"/>
      <c r="P112" s="9">
        <v>410301000</v>
      </c>
      <c r="Q112" s="11" t="s">
        <v>405</v>
      </c>
      <c r="R112" s="12" t="s">
        <v>88</v>
      </c>
      <c r="S112" s="13" t="s">
        <v>93</v>
      </c>
      <c r="T112" s="14">
        <v>0</v>
      </c>
      <c r="U112" s="15">
        <v>20</v>
      </c>
      <c r="V112" s="30">
        <v>4</v>
      </c>
      <c r="W112" s="30">
        <v>6</v>
      </c>
      <c r="X112" s="30">
        <v>4</v>
      </c>
      <c r="Y112" s="30">
        <v>6</v>
      </c>
      <c r="Z112" s="17">
        <f t="shared" si="75"/>
        <v>1228859.6363636365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8">
        <f>SUM(PlanIndicativo[[#This Row],[Ingresos Corrientes de Libre Destinación - ICLD (2020)]:[Otros (2020)]])</f>
        <v>1228859.6363636365</v>
      </c>
      <c r="AL112" s="17">
        <f t="shared" si="76"/>
        <v>1228859.6363636365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9">
        <f>SUM(PlanIndicativo[[#This Row],[Ingresos Corrientes de Libre Destinación - ICLD (2021)]:[Otros  (2021)]])</f>
        <v>1228859.6363636365</v>
      </c>
      <c r="AX112" s="17">
        <f t="shared" si="77"/>
        <v>1228859.6363636365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20">
        <f>SUM(PlanIndicativo[[#This Row],[Ingresos Corrientes de Libre Destinación - ICLD (2022)]:[Otros   (2022)]])</f>
        <v>1228859.6363636365</v>
      </c>
      <c r="BJ112" s="17">
        <f t="shared" si="78"/>
        <v>1228859.6363636365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21">
        <f>SUM(PlanIndicativo[[#This Row],[Ingresos Corrientes de Libre Destinación - ICLD (2023)]:[Otros (2023)]])</f>
        <v>1228859.6363636365</v>
      </c>
      <c r="BV112" s="21">
        <f>+PlanIndicativo[[#This Row],[Total (2020)]]+PlanIndicativo[[#This Row],[Total  (2021)]]+PlanIndicativo[[#This Row],[Total  (2022)]]+PlanIndicativo[[#This Row],[Total (2023)]]</f>
        <v>4915438.5454545459</v>
      </c>
      <c r="BW112" s="22" t="s">
        <v>351</v>
      </c>
    </row>
    <row r="113" spans="1:75" ht="21" customHeight="1" x14ac:dyDescent="0.25">
      <c r="A113" s="7">
        <v>1</v>
      </c>
      <c r="B113" s="8" t="s">
        <v>75</v>
      </c>
      <c r="C113" s="7" t="s">
        <v>341</v>
      </c>
      <c r="D113" s="7" t="s">
        <v>342</v>
      </c>
      <c r="E113" s="7" t="s">
        <v>343</v>
      </c>
      <c r="F113" s="8" t="s">
        <v>344</v>
      </c>
      <c r="G113" s="7" t="s">
        <v>393</v>
      </c>
      <c r="H113" s="8" t="s">
        <v>394</v>
      </c>
      <c r="I113" s="9">
        <v>4103050</v>
      </c>
      <c r="J113" s="11" t="s">
        <v>406</v>
      </c>
      <c r="K113" s="11" t="s">
        <v>396</v>
      </c>
      <c r="L113" s="11" t="s">
        <v>84</v>
      </c>
      <c r="M113" s="11" t="s">
        <v>349</v>
      </c>
      <c r="N113" s="25" t="s">
        <v>86</v>
      </c>
      <c r="O113" s="11"/>
      <c r="P113" s="9">
        <v>410305000</v>
      </c>
      <c r="Q113" s="11" t="s">
        <v>407</v>
      </c>
      <c r="R113" s="12" t="s">
        <v>88</v>
      </c>
      <c r="S113" s="13" t="s">
        <v>93</v>
      </c>
      <c r="T113" s="14">
        <v>0</v>
      </c>
      <c r="U113" s="15">
        <v>100</v>
      </c>
      <c r="V113" s="30">
        <v>25</v>
      </c>
      <c r="W113" s="30">
        <v>25</v>
      </c>
      <c r="X113" s="30">
        <v>25</v>
      </c>
      <c r="Y113" s="30">
        <v>25</v>
      </c>
      <c r="Z113" s="17">
        <f t="shared" si="75"/>
        <v>1228859.6363636365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8">
        <f>SUM(PlanIndicativo[[#This Row],[Ingresos Corrientes de Libre Destinación - ICLD (2020)]:[Otros (2020)]])</f>
        <v>1228859.6363636365</v>
      </c>
      <c r="AL113" s="17">
        <f t="shared" si="76"/>
        <v>1228859.6363636365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9">
        <f>SUM(PlanIndicativo[[#This Row],[Ingresos Corrientes de Libre Destinación - ICLD (2021)]:[Otros  (2021)]])</f>
        <v>1228859.6363636365</v>
      </c>
      <c r="AX113" s="17">
        <f t="shared" si="77"/>
        <v>1228859.6363636365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20">
        <f>SUM(PlanIndicativo[[#This Row],[Ingresos Corrientes de Libre Destinación - ICLD (2022)]:[Otros   (2022)]])</f>
        <v>1228859.6363636365</v>
      </c>
      <c r="BJ113" s="17">
        <f t="shared" si="78"/>
        <v>1228859.6363636365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21">
        <f>SUM(PlanIndicativo[[#This Row],[Ingresos Corrientes de Libre Destinación - ICLD (2023)]:[Otros (2023)]])</f>
        <v>1228859.6363636365</v>
      </c>
      <c r="BV113" s="21">
        <f>+PlanIndicativo[[#This Row],[Total (2020)]]+PlanIndicativo[[#This Row],[Total  (2021)]]+PlanIndicativo[[#This Row],[Total  (2022)]]+PlanIndicativo[[#This Row],[Total (2023)]]</f>
        <v>4915438.5454545459</v>
      </c>
      <c r="BW113" s="22" t="s">
        <v>351</v>
      </c>
    </row>
    <row r="114" spans="1:75" ht="21" customHeight="1" x14ac:dyDescent="0.25">
      <c r="A114" s="7">
        <v>1</v>
      </c>
      <c r="B114" s="8" t="s">
        <v>75</v>
      </c>
      <c r="C114" s="7" t="s">
        <v>341</v>
      </c>
      <c r="D114" s="7" t="s">
        <v>342</v>
      </c>
      <c r="E114" s="7" t="s">
        <v>343</v>
      </c>
      <c r="F114" s="8" t="s">
        <v>344</v>
      </c>
      <c r="G114" s="7" t="s">
        <v>393</v>
      </c>
      <c r="H114" s="8" t="s">
        <v>394</v>
      </c>
      <c r="I114" s="9">
        <v>4103051</v>
      </c>
      <c r="J114" s="11" t="s">
        <v>408</v>
      </c>
      <c r="K114" s="11" t="s">
        <v>402</v>
      </c>
      <c r="L114" s="11" t="s">
        <v>84</v>
      </c>
      <c r="M114" s="11" t="s">
        <v>349</v>
      </c>
      <c r="N114" s="25" t="s">
        <v>86</v>
      </c>
      <c r="O114" s="11"/>
      <c r="P114" s="9">
        <v>410305100</v>
      </c>
      <c r="Q114" s="11" t="s">
        <v>409</v>
      </c>
      <c r="R114" s="12" t="s">
        <v>88</v>
      </c>
      <c r="S114" s="13" t="s">
        <v>93</v>
      </c>
      <c r="T114" s="14">
        <v>0</v>
      </c>
      <c r="U114" s="15">
        <v>100</v>
      </c>
      <c r="V114" s="30">
        <v>25</v>
      </c>
      <c r="W114" s="30">
        <v>25</v>
      </c>
      <c r="X114" s="30">
        <v>25</v>
      </c>
      <c r="Y114" s="30">
        <v>25</v>
      </c>
      <c r="Z114" s="17">
        <f t="shared" si="75"/>
        <v>1228859.6363636365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8">
        <f>SUM(PlanIndicativo[[#This Row],[Ingresos Corrientes de Libre Destinación - ICLD (2020)]:[Otros (2020)]])</f>
        <v>1228859.6363636365</v>
      </c>
      <c r="AL114" s="17">
        <f t="shared" si="76"/>
        <v>1228859.6363636365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9">
        <f>SUM(PlanIndicativo[[#This Row],[Ingresos Corrientes de Libre Destinación - ICLD (2021)]:[Otros  (2021)]])</f>
        <v>1228859.6363636365</v>
      </c>
      <c r="AX114" s="17">
        <f t="shared" si="77"/>
        <v>1228859.6363636365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20">
        <f>SUM(PlanIndicativo[[#This Row],[Ingresos Corrientes de Libre Destinación - ICLD (2022)]:[Otros   (2022)]])</f>
        <v>1228859.6363636365</v>
      </c>
      <c r="BJ114" s="17">
        <f t="shared" si="78"/>
        <v>1228859.6363636365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21">
        <f>SUM(PlanIndicativo[[#This Row],[Ingresos Corrientes de Libre Destinación - ICLD (2023)]:[Otros (2023)]])</f>
        <v>1228859.6363636365</v>
      </c>
      <c r="BV114" s="21">
        <f>+PlanIndicativo[[#This Row],[Total (2020)]]+PlanIndicativo[[#This Row],[Total  (2021)]]+PlanIndicativo[[#This Row],[Total  (2022)]]+PlanIndicativo[[#This Row],[Total (2023)]]</f>
        <v>4915438.5454545459</v>
      </c>
      <c r="BW114" s="22" t="s">
        <v>351</v>
      </c>
    </row>
    <row r="115" spans="1:75" ht="21" customHeight="1" x14ac:dyDescent="0.25">
      <c r="A115" s="7">
        <v>1</v>
      </c>
      <c r="B115" s="8" t="s">
        <v>75</v>
      </c>
      <c r="C115" s="7" t="s">
        <v>341</v>
      </c>
      <c r="D115" s="7" t="s">
        <v>342</v>
      </c>
      <c r="E115" s="7" t="s">
        <v>343</v>
      </c>
      <c r="F115" s="8" t="s">
        <v>344</v>
      </c>
      <c r="G115" s="7" t="s">
        <v>393</v>
      </c>
      <c r="H115" s="8" t="s">
        <v>394</v>
      </c>
      <c r="I115" s="9">
        <v>4103052</v>
      </c>
      <c r="J115" s="11" t="s">
        <v>410</v>
      </c>
      <c r="K115" s="11" t="s">
        <v>396</v>
      </c>
      <c r="L115" s="11" t="s">
        <v>84</v>
      </c>
      <c r="M115" s="11" t="s">
        <v>349</v>
      </c>
      <c r="N115" s="25" t="s">
        <v>86</v>
      </c>
      <c r="O115" s="11"/>
      <c r="P115" s="9">
        <v>410305200</v>
      </c>
      <c r="Q115" s="11" t="s">
        <v>411</v>
      </c>
      <c r="R115" s="31" t="s">
        <v>88</v>
      </c>
      <c r="S115" s="13" t="s">
        <v>93</v>
      </c>
      <c r="T115" s="14">
        <v>0</v>
      </c>
      <c r="U115" s="15">
        <v>800</v>
      </c>
      <c r="V115" s="30">
        <v>200</v>
      </c>
      <c r="W115" s="30">
        <v>200</v>
      </c>
      <c r="X115" s="30">
        <v>200</v>
      </c>
      <c r="Y115" s="30">
        <v>200</v>
      </c>
      <c r="Z115" s="17">
        <f t="shared" si="75"/>
        <v>1228859.6363636365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8">
        <f>SUM(PlanIndicativo[[#This Row],[Ingresos Corrientes de Libre Destinación - ICLD (2020)]:[Otros (2020)]])</f>
        <v>1228859.6363636365</v>
      </c>
      <c r="AL115" s="17">
        <f t="shared" si="76"/>
        <v>1228859.6363636365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9">
        <f>SUM(PlanIndicativo[[#This Row],[Ingresos Corrientes de Libre Destinación - ICLD (2021)]:[Otros  (2021)]])</f>
        <v>1228859.6363636365</v>
      </c>
      <c r="AX115" s="17">
        <f t="shared" si="77"/>
        <v>1228859.6363636365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20">
        <f>SUM(PlanIndicativo[[#This Row],[Ingresos Corrientes de Libre Destinación - ICLD (2022)]:[Otros   (2022)]])</f>
        <v>1228859.6363636365</v>
      </c>
      <c r="BJ115" s="17">
        <f t="shared" si="78"/>
        <v>1228859.6363636365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21">
        <f>SUM(PlanIndicativo[[#This Row],[Ingresos Corrientes de Libre Destinación - ICLD (2023)]:[Otros (2023)]])</f>
        <v>1228859.6363636365</v>
      </c>
      <c r="BV115" s="21">
        <f>+PlanIndicativo[[#This Row],[Total (2020)]]+PlanIndicativo[[#This Row],[Total  (2021)]]+PlanIndicativo[[#This Row],[Total  (2022)]]+PlanIndicativo[[#This Row],[Total (2023)]]</f>
        <v>4915438.5454545459</v>
      </c>
      <c r="BW115" s="22" t="s">
        <v>351</v>
      </c>
    </row>
    <row r="116" spans="1:75" ht="21" customHeight="1" x14ac:dyDescent="0.25">
      <c r="A116" s="7">
        <v>1</v>
      </c>
      <c r="B116" s="8" t="s">
        <v>75</v>
      </c>
      <c r="C116" s="7" t="s">
        <v>341</v>
      </c>
      <c r="D116" s="7" t="s">
        <v>342</v>
      </c>
      <c r="E116" s="7" t="s">
        <v>343</v>
      </c>
      <c r="F116" s="8" t="s">
        <v>344</v>
      </c>
      <c r="G116" s="7" t="s">
        <v>393</v>
      </c>
      <c r="H116" s="8" t="s">
        <v>394</v>
      </c>
      <c r="I116" s="9">
        <v>4103053</v>
      </c>
      <c r="J116" s="25" t="s">
        <v>412</v>
      </c>
      <c r="K116" s="25" t="s">
        <v>402</v>
      </c>
      <c r="L116" s="11" t="s">
        <v>84</v>
      </c>
      <c r="M116" s="11" t="s">
        <v>349</v>
      </c>
      <c r="N116" s="25" t="s">
        <v>86</v>
      </c>
      <c r="O116" s="25"/>
      <c r="P116" s="9">
        <v>410305300</v>
      </c>
      <c r="Q116" s="25" t="s">
        <v>413</v>
      </c>
      <c r="R116" s="12" t="s">
        <v>88</v>
      </c>
      <c r="S116" s="13" t="s">
        <v>93</v>
      </c>
      <c r="T116" s="14">
        <v>0</v>
      </c>
      <c r="U116" s="15">
        <v>100</v>
      </c>
      <c r="V116" s="30">
        <v>25</v>
      </c>
      <c r="W116" s="30">
        <v>25</v>
      </c>
      <c r="X116" s="30">
        <v>25</v>
      </c>
      <c r="Y116" s="30">
        <v>25</v>
      </c>
      <c r="Z116" s="17">
        <f>13517456/11*2</f>
        <v>2457719.2727272729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8">
        <f>SUM(PlanIndicativo[[#This Row],[Ingresos Corrientes de Libre Destinación - ICLD (2020)]:[Otros (2020)]])</f>
        <v>2457719.2727272729</v>
      </c>
      <c r="AL116" s="17">
        <f>13517456/11*2</f>
        <v>2457719.2727272729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9">
        <f>SUM(PlanIndicativo[[#This Row],[Ingresos Corrientes de Libre Destinación - ICLD (2021)]:[Otros  (2021)]])</f>
        <v>2457719.2727272729</v>
      </c>
      <c r="AX116" s="17">
        <f t="shared" si="77"/>
        <v>1228859.6363636365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20">
        <f>SUM(PlanIndicativo[[#This Row],[Ingresos Corrientes de Libre Destinación - ICLD (2022)]:[Otros   (2022)]])</f>
        <v>1228859.6363636365</v>
      </c>
      <c r="BJ116" s="17">
        <f t="shared" si="78"/>
        <v>1228859.6363636365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21">
        <f>SUM(PlanIndicativo[[#This Row],[Ingresos Corrientes de Libre Destinación - ICLD (2023)]:[Otros (2023)]])</f>
        <v>1228859.6363636365</v>
      </c>
      <c r="BV116" s="21">
        <f>+PlanIndicativo[[#This Row],[Total (2020)]]+PlanIndicativo[[#This Row],[Total  (2021)]]+PlanIndicativo[[#This Row],[Total  (2022)]]+PlanIndicativo[[#This Row],[Total (2023)]]</f>
        <v>7373157.8181818193</v>
      </c>
      <c r="BW116" s="22" t="s">
        <v>351</v>
      </c>
    </row>
    <row r="117" spans="1:75" ht="21" customHeight="1" x14ac:dyDescent="0.25">
      <c r="A117" s="7">
        <v>1</v>
      </c>
      <c r="B117" s="8" t="s">
        <v>75</v>
      </c>
      <c r="C117" s="7" t="s">
        <v>341</v>
      </c>
      <c r="D117" s="7" t="s">
        <v>342</v>
      </c>
      <c r="E117" s="7" t="s">
        <v>343</v>
      </c>
      <c r="F117" s="8" t="s">
        <v>344</v>
      </c>
      <c r="G117" s="7" t="s">
        <v>393</v>
      </c>
      <c r="H117" s="8" t="s">
        <v>394</v>
      </c>
      <c r="I117" s="9">
        <v>4103055</v>
      </c>
      <c r="J117" s="25" t="s">
        <v>414</v>
      </c>
      <c r="K117" s="25" t="s">
        <v>396</v>
      </c>
      <c r="L117" s="11" t="s">
        <v>84</v>
      </c>
      <c r="M117" s="11" t="s">
        <v>349</v>
      </c>
      <c r="N117" s="25" t="s">
        <v>86</v>
      </c>
      <c r="O117" s="25"/>
      <c r="P117" s="9">
        <v>410305500</v>
      </c>
      <c r="Q117" s="25" t="s">
        <v>415</v>
      </c>
      <c r="R117" s="12" t="s">
        <v>88</v>
      </c>
      <c r="S117" s="13" t="s">
        <v>93</v>
      </c>
      <c r="T117" s="14">
        <v>0</v>
      </c>
      <c r="U117" s="15">
        <v>50</v>
      </c>
      <c r="V117" s="30">
        <v>12</v>
      </c>
      <c r="W117" s="30">
        <v>13</v>
      </c>
      <c r="X117" s="30">
        <v>13</v>
      </c>
      <c r="Y117" s="30">
        <v>12</v>
      </c>
      <c r="Z117" s="17">
        <f>13517456/11*2</f>
        <v>2457719.2727272729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8">
        <f>SUM(PlanIndicativo[[#This Row],[Ingresos Corrientes de Libre Destinación - ICLD (2020)]:[Otros (2020)]])</f>
        <v>2457719.2727272729</v>
      </c>
      <c r="AL117" s="17">
        <f>13517456/11*2</f>
        <v>2457719.2727272729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9">
        <f>SUM(PlanIndicativo[[#This Row],[Ingresos Corrientes de Libre Destinación - ICLD (2021)]:[Otros  (2021)]])</f>
        <v>2457719.2727272729</v>
      </c>
      <c r="AX117" s="17">
        <f t="shared" si="77"/>
        <v>1228859.6363636365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20">
        <f>SUM(PlanIndicativo[[#This Row],[Ingresos Corrientes de Libre Destinación - ICLD (2022)]:[Otros   (2022)]])</f>
        <v>1228859.6363636365</v>
      </c>
      <c r="BJ117" s="17">
        <f t="shared" si="78"/>
        <v>1228859.6363636365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21">
        <f>SUM(PlanIndicativo[[#This Row],[Ingresos Corrientes de Libre Destinación - ICLD (2023)]:[Otros (2023)]])</f>
        <v>1228859.6363636365</v>
      </c>
      <c r="BV117" s="21">
        <f>+PlanIndicativo[[#This Row],[Total (2020)]]+PlanIndicativo[[#This Row],[Total  (2021)]]+PlanIndicativo[[#This Row],[Total  (2022)]]+PlanIndicativo[[#This Row],[Total (2023)]]</f>
        <v>7373157.8181818193</v>
      </c>
      <c r="BW117" s="22" t="s">
        <v>351</v>
      </c>
    </row>
    <row r="118" spans="1:75" ht="21" customHeight="1" x14ac:dyDescent="0.25">
      <c r="A118" s="7">
        <v>1</v>
      </c>
      <c r="B118" s="8" t="s">
        <v>75</v>
      </c>
      <c r="C118" s="7" t="s">
        <v>341</v>
      </c>
      <c r="D118" s="7" t="s">
        <v>342</v>
      </c>
      <c r="E118" s="7" t="s">
        <v>343</v>
      </c>
      <c r="F118" s="8" t="s">
        <v>344</v>
      </c>
      <c r="G118" s="7" t="s">
        <v>393</v>
      </c>
      <c r="H118" s="8" t="s">
        <v>394</v>
      </c>
      <c r="I118" s="9">
        <v>4103058</v>
      </c>
      <c r="J118" s="25" t="s">
        <v>416</v>
      </c>
      <c r="K118" s="25" t="s">
        <v>402</v>
      </c>
      <c r="L118" s="11" t="s">
        <v>84</v>
      </c>
      <c r="M118" s="11" t="s">
        <v>349</v>
      </c>
      <c r="N118" s="25" t="s">
        <v>86</v>
      </c>
      <c r="O118" s="25"/>
      <c r="P118" s="9">
        <v>410305800</v>
      </c>
      <c r="Q118" s="25" t="s">
        <v>417</v>
      </c>
      <c r="R118" s="12" t="s">
        <v>88</v>
      </c>
      <c r="S118" s="13" t="s">
        <v>93</v>
      </c>
      <c r="T118" s="14">
        <v>0</v>
      </c>
      <c r="U118" s="15">
        <v>1</v>
      </c>
      <c r="V118" s="30">
        <v>0</v>
      </c>
      <c r="W118" s="30">
        <v>0</v>
      </c>
      <c r="X118" s="30">
        <v>1</v>
      </c>
      <c r="Y118" s="30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8">
        <f>SUM(PlanIndicativo[[#This Row],[Ingresos Corrientes de Libre Destinación - ICLD (2020)]:[Otros (2020)]])</f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9">
        <f>SUM(PlanIndicativo[[#This Row],[Ingresos Corrientes de Libre Destinación - ICLD (2021)]:[Otros  (2021)]])</f>
        <v>0</v>
      </c>
      <c r="AX118" s="17">
        <f t="shared" si="77"/>
        <v>1228859.6363636365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20">
        <f>SUM(PlanIndicativo[[#This Row],[Ingresos Corrientes de Libre Destinación - ICLD (2022)]:[Otros   (2022)]])</f>
        <v>1228859.6363636365</v>
      </c>
      <c r="BJ118" s="17">
        <f t="shared" si="78"/>
        <v>1228859.6363636365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0</v>
      </c>
      <c r="BU118" s="21">
        <f>SUM(PlanIndicativo[[#This Row],[Ingresos Corrientes de Libre Destinación - ICLD (2023)]:[Otros (2023)]])</f>
        <v>1228859.6363636365</v>
      </c>
      <c r="BV118" s="21">
        <f>+PlanIndicativo[[#This Row],[Total (2020)]]+PlanIndicativo[[#This Row],[Total  (2021)]]+PlanIndicativo[[#This Row],[Total  (2022)]]+PlanIndicativo[[#This Row],[Total (2023)]]</f>
        <v>2457719.2727272729</v>
      </c>
      <c r="BW118" s="22" t="s">
        <v>351</v>
      </c>
    </row>
    <row r="119" spans="1:75" ht="21" customHeight="1" x14ac:dyDescent="0.25">
      <c r="A119" s="7">
        <v>1</v>
      </c>
      <c r="B119" s="8" t="s">
        <v>75</v>
      </c>
      <c r="C119" s="7" t="s">
        <v>341</v>
      </c>
      <c r="D119" s="7" t="s">
        <v>342</v>
      </c>
      <c r="E119" s="7" t="s">
        <v>343</v>
      </c>
      <c r="F119" s="8" t="s">
        <v>344</v>
      </c>
      <c r="G119" s="7" t="s">
        <v>393</v>
      </c>
      <c r="H119" s="8" t="s">
        <v>394</v>
      </c>
      <c r="I119" s="9">
        <v>4103059</v>
      </c>
      <c r="J119" s="25" t="s">
        <v>418</v>
      </c>
      <c r="K119" s="25" t="s">
        <v>396</v>
      </c>
      <c r="L119" s="11" t="s">
        <v>84</v>
      </c>
      <c r="M119" s="11" t="s">
        <v>349</v>
      </c>
      <c r="N119" s="25" t="s">
        <v>86</v>
      </c>
      <c r="O119" s="25"/>
      <c r="P119" s="9">
        <v>410305900</v>
      </c>
      <c r="Q119" s="25" t="s">
        <v>419</v>
      </c>
      <c r="R119" s="12" t="s">
        <v>88</v>
      </c>
      <c r="S119" s="13" t="s">
        <v>93</v>
      </c>
      <c r="T119" s="14">
        <v>0</v>
      </c>
      <c r="U119" s="15">
        <v>1</v>
      </c>
      <c r="V119" s="30">
        <v>0</v>
      </c>
      <c r="W119" s="30">
        <v>0</v>
      </c>
      <c r="X119" s="30">
        <v>1</v>
      </c>
      <c r="Y119" s="30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8">
        <f>SUM(PlanIndicativo[[#This Row],[Ingresos Corrientes de Libre Destinación - ICLD (2020)]:[Otros (2020)]])</f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9">
        <f>SUM(PlanIndicativo[[#This Row],[Ingresos Corrientes de Libre Destinación - ICLD (2021)]:[Otros  (2021)]])</f>
        <v>0</v>
      </c>
      <c r="AX119" s="17">
        <f t="shared" si="77"/>
        <v>1228859.6363636365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20">
        <f>SUM(PlanIndicativo[[#This Row],[Ingresos Corrientes de Libre Destinación - ICLD (2022)]:[Otros   (2022)]])</f>
        <v>1228859.6363636365</v>
      </c>
      <c r="BJ119" s="17">
        <f t="shared" si="78"/>
        <v>1228859.6363636365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21">
        <f>SUM(PlanIndicativo[[#This Row],[Ingresos Corrientes de Libre Destinación - ICLD (2023)]:[Otros (2023)]])</f>
        <v>1228859.6363636365</v>
      </c>
      <c r="BV119" s="21">
        <f>+PlanIndicativo[[#This Row],[Total (2020)]]+PlanIndicativo[[#This Row],[Total  (2021)]]+PlanIndicativo[[#This Row],[Total  (2022)]]+PlanIndicativo[[#This Row],[Total (2023)]]</f>
        <v>2457719.2727272729</v>
      </c>
      <c r="BW119" s="22" t="s">
        <v>351</v>
      </c>
    </row>
    <row r="120" spans="1:75" ht="21" customHeight="1" x14ac:dyDescent="0.25">
      <c r="A120" s="7">
        <v>1</v>
      </c>
      <c r="B120" s="8" t="s">
        <v>75</v>
      </c>
      <c r="C120" s="7" t="s">
        <v>341</v>
      </c>
      <c r="D120" s="7" t="s">
        <v>342</v>
      </c>
      <c r="E120" s="7" t="s">
        <v>343</v>
      </c>
      <c r="F120" s="8" t="s">
        <v>344</v>
      </c>
      <c r="G120" s="7" t="s">
        <v>420</v>
      </c>
      <c r="H120" s="8" t="s">
        <v>421</v>
      </c>
      <c r="I120" s="7">
        <v>4104035</v>
      </c>
      <c r="J120" s="25" t="s">
        <v>422</v>
      </c>
      <c r="K120" s="25" t="s">
        <v>423</v>
      </c>
      <c r="L120" s="11" t="s">
        <v>84</v>
      </c>
      <c r="M120" s="11" t="s">
        <v>349</v>
      </c>
      <c r="N120" s="25" t="s">
        <v>86</v>
      </c>
      <c r="O120" s="25"/>
      <c r="P120" s="33">
        <v>410403500</v>
      </c>
      <c r="Q120" s="25" t="s">
        <v>424</v>
      </c>
      <c r="R120" s="12" t="s">
        <v>88</v>
      </c>
      <c r="S120" s="13" t="s">
        <v>93</v>
      </c>
      <c r="T120" s="14">
        <v>0</v>
      </c>
      <c r="U120" s="15">
        <v>50</v>
      </c>
      <c r="V120" s="30">
        <v>12</v>
      </c>
      <c r="W120" s="30">
        <v>13</v>
      </c>
      <c r="X120" s="30">
        <v>13</v>
      </c>
      <c r="Y120" s="30">
        <v>12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10000000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8">
        <f>SUM(PlanIndicativo[[#This Row],[Ingresos Corrientes de Libre Destinación - ICLD (2020)]:[Otros (2020)]])</f>
        <v>10000000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10000000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9">
        <f>SUM(PlanIndicativo[[#This Row],[Ingresos Corrientes de Libre Destinación - ICLD (2021)]:[Otros  (2021)]])</f>
        <v>10000000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10000000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20">
        <f>SUM(PlanIndicativo[[#This Row],[Ingresos Corrientes de Libre Destinación - ICLD (2022)]:[Otros   (2022)]])</f>
        <v>10000000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10000000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21">
        <f>SUM(PlanIndicativo[[#This Row],[Ingresos Corrientes de Libre Destinación - ICLD (2023)]:[Otros (2023)]])</f>
        <v>10000000</v>
      </c>
      <c r="BV120" s="21">
        <f>+PlanIndicativo[[#This Row],[Total (2020)]]+PlanIndicativo[[#This Row],[Total  (2021)]]+PlanIndicativo[[#This Row],[Total  (2022)]]+PlanIndicativo[[#This Row],[Total (2023)]]</f>
        <v>40000000</v>
      </c>
      <c r="BW120" s="22" t="s">
        <v>351</v>
      </c>
    </row>
    <row r="121" spans="1:75" ht="21" customHeight="1" x14ac:dyDescent="0.25">
      <c r="A121" s="7">
        <v>1</v>
      </c>
      <c r="B121" s="8" t="s">
        <v>75</v>
      </c>
      <c r="C121" s="7" t="s">
        <v>341</v>
      </c>
      <c r="D121" s="7" t="s">
        <v>342</v>
      </c>
      <c r="E121" s="7" t="s">
        <v>343</v>
      </c>
      <c r="F121" s="8" t="s">
        <v>344</v>
      </c>
      <c r="G121" s="7" t="s">
        <v>425</v>
      </c>
      <c r="H121" s="8" t="s">
        <v>426</v>
      </c>
      <c r="I121" s="7">
        <v>4104014</v>
      </c>
      <c r="J121" s="26" t="s">
        <v>427</v>
      </c>
      <c r="K121" s="26" t="s">
        <v>428</v>
      </c>
      <c r="L121" s="11" t="s">
        <v>84</v>
      </c>
      <c r="M121" s="11" t="s">
        <v>349</v>
      </c>
      <c r="N121" s="25" t="s">
        <v>86</v>
      </c>
      <c r="O121" s="26">
        <v>50</v>
      </c>
      <c r="P121" s="33">
        <v>410401400</v>
      </c>
      <c r="Q121" s="26" t="s">
        <v>429</v>
      </c>
      <c r="R121" s="12" t="s">
        <v>88</v>
      </c>
      <c r="S121" s="13" t="s">
        <v>93</v>
      </c>
      <c r="T121" s="27">
        <v>0</v>
      </c>
      <c r="U121" s="28">
        <v>1</v>
      </c>
      <c r="V121" s="34">
        <v>1</v>
      </c>
      <c r="W121" s="34">
        <v>0</v>
      </c>
      <c r="X121" s="34">
        <v>0</v>
      </c>
      <c r="Y121" s="34">
        <v>0</v>
      </c>
      <c r="Z121" s="17">
        <f t="shared" ref="Z121:Z123" si="79">90000000/3</f>
        <v>30000000</v>
      </c>
      <c r="AA121" s="17">
        <v>0</v>
      </c>
      <c r="AB121" s="17">
        <v>0</v>
      </c>
      <c r="AC121" s="17">
        <v>0</v>
      </c>
      <c r="AD121" s="17">
        <v>0</v>
      </c>
      <c r="AE121" s="17">
        <f t="shared" ref="AE121:AE123" si="80">3000000/3</f>
        <v>1000000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8">
        <f>SUM(PlanIndicativo[[#This Row],[Ingresos Corrientes de Libre Destinación - ICLD (2020)]:[Otros (2020)]])</f>
        <v>31000000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9">
        <f>SUM(PlanIndicativo[[#This Row],[Ingresos Corrientes de Libre Destinación - ICLD (2021)]:[Otros  (2021)]])</f>
        <v>0</v>
      </c>
      <c r="AX121" s="17">
        <f t="shared" ref="AX121:AX123" si="81">90000000/3</f>
        <v>30000000</v>
      </c>
      <c r="AY121" s="17">
        <v>0</v>
      </c>
      <c r="AZ121" s="17">
        <v>0</v>
      </c>
      <c r="BA121" s="17">
        <v>0</v>
      </c>
      <c r="BB121" s="17">
        <v>0</v>
      </c>
      <c r="BC121" s="17">
        <f t="shared" ref="BC121:BC123" si="82">3000000/3</f>
        <v>1000000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20">
        <f>SUM(PlanIndicativo[[#This Row],[Ingresos Corrientes de Libre Destinación - ICLD (2022)]:[Otros   (2022)]])</f>
        <v>31000000</v>
      </c>
      <c r="BJ121" s="17">
        <f t="shared" ref="BJ121:BJ123" si="83">90000000/3</f>
        <v>30000000</v>
      </c>
      <c r="BK121" s="17">
        <v>0</v>
      </c>
      <c r="BL121" s="17">
        <v>0</v>
      </c>
      <c r="BM121" s="17">
        <v>0</v>
      </c>
      <c r="BN121" s="17">
        <v>0</v>
      </c>
      <c r="BO121" s="17">
        <f t="shared" ref="BO121:BO123" si="84">3000000/3</f>
        <v>1000000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21">
        <f>SUM(PlanIndicativo[[#This Row],[Ingresos Corrientes de Libre Destinación - ICLD (2023)]:[Otros (2023)]])</f>
        <v>31000000</v>
      </c>
      <c r="BV121" s="21">
        <f>+PlanIndicativo[[#This Row],[Total (2020)]]+PlanIndicativo[[#This Row],[Total  (2021)]]+PlanIndicativo[[#This Row],[Total  (2022)]]+PlanIndicativo[[#This Row],[Total (2023)]]</f>
        <v>93000000</v>
      </c>
      <c r="BW121" s="22" t="s">
        <v>351</v>
      </c>
    </row>
    <row r="122" spans="1:75" ht="21" customHeight="1" x14ac:dyDescent="0.25">
      <c r="A122" s="7">
        <v>1</v>
      </c>
      <c r="B122" s="8" t="s">
        <v>75</v>
      </c>
      <c r="C122" s="7" t="s">
        <v>341</v>
      </c>
      <c r="D122" s="7" t="s">
        <v>342</v>
      </c>
      <c r="E122" s="7" t="s">
        <v>343</v>
      </c>
      <c r="F122" s="8" t="s">
        <v>344</v>
      </c>
      <c r="G122" s="7" t="s">
        <v>425</v>
      </c>
      <c r="H122" s="8" t="s">
        <v>426</v>
      </c>
      <c r="I122" s="7">
        <v>4104015</v>
      </c>
      <c r="J122" s="25" t="s">
        <v>430</v>
      </c>
      <c r="K122" s="25" t="s">
        <v>431</v>
      </c>
      <c r="L122" s="11" t="s">
        <v>84</v>
      </c>
      <c r="M122" s="11" t="s">
        <v>349</v>
      </c>
      <c r="N122" s="25" t="s">
        <v>86</v>
      </c>
      <c r="O122" s="25">
        <v>25</v>
      </c>
      <c r="P122" s="33">
        <v>410401500</v>
      </c>
      <c r="Q122" s="25" t="s">
        <v>432</v>
      </c>
      <c r="R122" s="12" t="s">
        <v>88</v>
      </c>
      <c r="S122" s="13" t="s">
        <v>93</v>
      </c>
      <c r="T122" s="14">
        <v>0</v>
      </c>
      <c r="U122" s="15">
        <v>550</v>
      </c>
      <c r="V122" s="30">
        <v>550</v>
      </c>
      <c r="W122" s="30">
        <v>550</v>
      </c>
      <c r="X122" s="30">
        <v>550</v>
      </c>
      <c r="Y122" s="30">
        <v>550</v>
      </c>
      <c r="Z122" s="17">
        <f t="shared" si="79"/>
        <v>30000000</v>
      </c>
      <c r="AA122" s="17">
        <v>0</v>
      </c>
      <c r="AB122" s="17">
        <v>0</v>
      </c>
      <c r="AC122" s="17">
        <v>0</v>
      </c>
      <c r="AD122" s="17">
        <v>0</v>
      </c>
      <c r="AE122" s="17">
        <f t="shared" si="80"/>
        <v>1000000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8">
        <f>SUM(PlanIndicativo[[#This Row],[Ingresos Corrientes de Libre Destinación - ICLD (2020)]:[Otros (2020)]])</f>
        <v>31000000</v>
      </c>
      <c r="AL122" s="17">
        <f>90000000/3*2</f>
        <v>60000000</v>
      </c>
      <c r="AM122" s="17">
        <v>0</v>
      </c>
      <c r="AN122" s="17">
        <v>0</v>
      </c>
      <c r="AO122" s="17">
        <v>0</v>
      </c>
      <c r="AP122" s="17">
        <v>0</v>
      </c>
      <c r="AQ122" s="17">
        <f>3000000/3*2</f>
        <v>2000000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9">
        <f>SUM(PlanIndicativo[[#This Row],[Ingresos Corrientes de Libre Destinación - ICLD (2021)]:[Otros  (2021)]])</f>
        <v>62000000</v>
      </c>
      <c r="AX122" s="17">
        <f t="shared" si="81"/>
        <v>30000000</v>
      </c>
      <c r="AY122" s="17">
        <v>0</v>
      </c>
      <c r="AZ122" s="17">
        <v>0</v>
      </c>
      <c r="BA122" s="17">
        <v>0</v>
      </c>
      <c r="BB122" s="17">
        <v>0</v>
      </c>
      <c r="BC122" s="17">
        <f t="shared" si="82"/>
        <v>1000000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20">
        <f>SUM(PlanIndicativo[[#This Row],[Ingresos Corrientes de Libre Destinación - ICLD (2022)]:[Otros   (2022)]])</f>
        <v>31000000</v>
      </c>
      <c r="BJ122" s="17">
        <f t="shared" si="83"/>
        <v>30000000</v>
      </c>
      <c r="BK122" s="17">
        <v>0</v>
      </c>
      <c r="BL122" s="17">
        <v>0</v>
      </c>
      <c r="BM122" s="17">
        <v>0</v>
      </c>
      <c r="BN122" s="17">
        <v>0</v>
      </c>
      <c r="BO122" s="17">
        <f t="shared" si="84"/>
        <v>1000000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21">
        <f>SUM(PlanIndicativo[[#This Row],[Ingresos Corrientes de Libre Destinación - ICLD (2023)]:[Otros (2023)]])</f>
        <v>31000000</v>
      </c>
      <c r="BV122" s="21">
        <f>+PlanIndicativo[[#This Row],[Total (2020)]]+PlanIndicativo[[#This Row],[Total  (2021)]]+PlanIndicativo[[#This Row],[Total  (2022)]]+PlanIndicativo[[#This Row],[Total (2023)]]</f>
        <v>155000000</v>
      </c>
      <c r="BW122" s="22" t="s">
        <v>351</v>
      </c>
    </row>
    <row r="123" spans="1:75" ht="21" customHeight="1" x14ac:dyDescent="0.25">
      <c r="A123" s="7">
        <v>1</v>
      </c>
      <c r="B123" s="8" t="s">
        <v>75</v>
      </c>
      <c r="C123" s="7" t="s">
        <v>341</v>
      </c>
      <c r="D123" s="7" t="s">
        <v>342</v>
      </c>
      <c r="E123" s="7" t="s">
        <v>343</v>
      </c>
      <c r="F123" s="8" t="s">
        <v>344</v>
      </c>
      <c r="G123" s="7" t="s">
        <v>425</v>
      </c>
      <c r="H123" s="8" t="s">
        <v>426</v>
      </c>
      <c r="I123" s="7">
        <v>4104024</v>
      </c>
      <c r="J123" s="25" t="s">
        <v>433</v>
      </c>
      <c r="K123" s="25" t="s">
        <v>431</v>
      </c>
      <c r="L123" s="11" t="s">
        <v>84</v>
      </c>
      <c r="M123" s="11" t="s">
        <v>349</v>
      </c>
      <c r="N123" s="25" t="s">
        <v>86</v>
      </c>
      <c r="O123" s="25">
        <v>25</v>
      </c>
      <c r="P123" s="33">
        <v>410402400</v>
      </c>
      <c r="Q123" s="25" t="s">
        <v>434</v>
      </c>
      <c r="R123" s="12" t="s">
        <v>88</v>
      </c>
      <c r="S123" s="13" t="s">
        <v>93</v>
      </c>
      <c r="T123" s="14">
        <v>0</v>
      </c>
      <c r="U123" s="15">
        <v>4</v>
      </c>
      <c r="V123" s="30">
        <v>1</v>
      </c>
      <c r="W123" s="30">
        <v>1</v>
      </c>
      <c r="X123" s="30">
        <v>1</v>
      </c>
      <c r="Y123" s="30">
        <v>1</v>
      </c>
      <c r="Z123" s="17">
        <f t="shared" si="79"/>
        <v>30000000</v>
      </c>
      <c r="AA123" s="17">
        <v>0</v>
      </c>
      <c r="AB123" s="17">
        <v>0</v>
      </c>
      <c r="AC123" s="17">
        <v>0</v>
      </c>
      <c r="AD123" s="17">
        <v>0</v>
      </c>
      <c r="AE123" s="17">
        <f t="shared" si="80"/>
        <v>1000000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8">
        <f>SUM(PlanIndicativo[[#This Row],[Ingresos Corrientes de Libre Destinación - ICLD (2020)]:[Otros (2020)]])</f>
        <v>31000000</v>
      </c>
      <c r="AL123" s="17">
        <f t="shared" ref="AL123" si="85">90000000/3</f>
        <v>30000000</v>
      </c>
      <c r="AM123" s="17">
        <v>0</v>
      </c>
      <c r="AN123" s="17">
        <v>0</v>
      </c>
      <c r="AO123" s="17">
        <v>0</v>
      </c>
      <c r="AP123" s="17">
        <v>0</v>
      </c>
      <c r="AQ123" s="17">
        <f t="shared" ref="AQ123" si="86">3000000/3</f>
        <v>1000000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9">
        <f>SUM(PlanIndicativo[[#This Row],[Ingresos Corrientes de Libre Destinación - ICLD (2021)]:[Otros  (2021)]])</f>
        <v>31000000</v>
      </c>
      <c r="AX123" s="17">
        <f t="shared" si="81"/>
        <v>30000000</v>
      </c>
      <c r="AY123" s="17">
        <v>0</v>
      </c>
      <c r="AZ123" s="17">
        <v>0</v>
      </c>
      <c r="BA123" s="17">
        <v>0</v>
      </c>
      <c r="BB123" s="17">
        <v>0</v>
      </c>
      <c r="BC123" s="17">
        <f t="shared" si="82"/>
        <v>1000000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20">
        <f>SUM(PlanIndicativo[[#This Row],[Ingresos Corrientes de Libre Destinación - ICLD (2022)]:[Otros   (2022)]])</f>
        <v>31000000</v>
      </c>
      <c r="BJ123" s="17">
        <f t="shared" si="83"/>
        <v>30000000</v>
      </c>
      <c r="BK123" s="17">
        <v>0</v>
      </c>
      <c r="BL123" s="17">
        <v>0</v>
      </c>
      <c r="BM123" s="17">
        <v>0</v>
      </c>
      <c r="BN123" s="17">
        <v>0</v>
      </c>
      <c r="BO123" s="17">
        <f t="shared" si="84"/>
        <v>1000000</v>
      </c>
      <c r="BP123" s="17">
        <v>0</v>
      </c>
      <c r="BQ123" s="17">
        <v>0</v>
      </c>
      <c r="BR123" s="17">
        <v>0</v>
      </c>
      <c r="BS123" s="17">
        <v>0</v>
      </c>
      <c r="BT123" s="17">
        <v>0</v>
      </c>
      <c r="BU123" s="21">
        <f>SUM(PlanIndicativo[[#This Row],[Ingresos Corrientes de Libre Destinación - ICLD (2023)]:[Otros (2023)]])</f>
        <v>31000000</v>
      </c>
      <c r="BV123" s="21">
        <f>+PlanIndicativo[[#This Row],[Total (2020)]]+PlanIndicativo[[#This Row],[Total  (2021)]]+PlanIndicativo[[#This Row],[Total  (2022)]]+PlanIndicativo[[#This Row],[Total (2023)]]</f>
        <v>124000000</v>
      </c>
      <c r="BW123" s="22" t="s">
        <v>351</v>
      </c>
    </row>
    <row r="124" spans="1:75" ht="21" customHeight="1" x14ac:dyDescent="0.25">
      <c r="A124" s="7">
        <v>1</v>
      </c>
      <c r="B124" s="8" t="s">
        <v>75</v>
      </c>
      <c r="C124" s="7" t="s">
        <v>435</v>
      </c>
      <c r="D124" s="7" t="s">
        <v>436</v>
      </c>
      <c r="E124" s="7" t="s">
        <v>437</v>
      </c>
      <c r="F124" s="8" t="s">
        <v>438</v>
      </c>
      <c r="G124" s="7" t="s">
        <v>439</v>
      </c>
      <c r="H124" s="8" t="s">
        <v>440</v>
      </c>
      <c r="I124" s="9">
        <v>4001004</v>
      </c>
      <c r="J124" s="25" t="s">
        <v>113</v>
      </c>
      <c r="K124" s="25" t="s">
        <v>441</v>
      </c>
      <c r="L124" s="25" t="s">
        <v>262</v>
      </c>
      <c r="M124" s="25" t="s">
        <v>243</v>
      </c>
      <c r="N124" s="25" t="s">
        <v>86</v>
      </c>
      <c r="O124" s="25">
        <v>15</v>
      </c>
      <c r="P124" s="9">
        <v>400100400</v>
      </c>
      <c r="Q124" s="25" t="s">
        <v>246</v>
      </c>
      <c r="R124" s="12" t="s">
        <v>88</v>
      </c>
      <c r="S124" s="13" t="s">
        <v>93</v>
      </c>
      <c r="T124" s="14">
        <v>0</v>
      </c>
      <c r="U124" s="15">
        <v>1</v>
      </c>
      <c r="V124" s="30">
        <v>0</v>
      </c>
      <c r="W124" s="30">
        <v>1</v>
      </c>
      <c r="X124" s="30">
        <v>0</v>
      </c>
      <c r="Y124" s="30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8">
        <f>SUM(PlanIndicativo[[#This Row],[Ingresos Corrientes de Libre Destinación - ICLD (2020)]:[Otros (2020)]])</f>
        <v>0</v>
      </c>
      <c r="AL124" s="17">
        <f t="shared" ref="AL124" si="87">65000000/7</f>
        <v>9285714.2857142854</v>
      </c>
      <c r="AM124" s="17">
        <v>0</v>
      </c>
      <c r="AN124" s="17">
        <v>0</v>
      </c>
      <c r="AO124" s="17">
        <v>0</v>
      </c>
      <c r="AP124" s="17">
        <v>0</v>
      </c>
      <c r="AQ124" s="17">
        <f t="shared" ref="AQ124" si="88">100000000/7</f>
        <v>14285714.285714285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9">
        <f>SUM(PlanIndicativo[[#This Row],[Ingresos Corrientes de Libre Destinación - ICLD (2021)]:[Otros  (2021)]])</f>
        <v>23571428.571428571</v>
      </c>
      <c r="AX124" s="17">
        <f t="shared" ref="AX124:AX130" si="89">65000000/7</f>
        <v>9285714.2857142854</v>
      </c>
      <c r="AY124" s="17">
        <v>0</v>
      </c>
      <c r="AZ124" s="17">
        <v>0</v>
      </c>
      <c r="BA124" s="17">
        <v>0</v>
      </c>
      <c r="BB124" s="17">
        <v>0</v>
      </c>
      <c r="BC124" s="17">
        <f t="shared" ref="BC124:BC130" si="90">100000000/7</f>
        <v>14285714.285714285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20">
        <f>SUM(PlanIndicativo[[#This Row],[Ingresos Corrientes de Libre Destinación - ICLD (2022)]:[Otros   (2022)]])</f>
        <v>23571428.571428571</v>
      </c>
      <c r="BJ124" s="17">
        <f t="shared" ref="BJ124:BJ130" si="91">65000000/7</f>
        <v>9285714.2857142854</v>
      </c>
      <c r="BK124" s="17">
        <v>0</v>
      </c>
      <c r="BL124" s="17">
        <v>0</v>
      </c>
      <c r="BM124" s="17">
        <v>0</v>
      </c>
      <c r="BN124" s="17">
        <v>0</v>
      </c>
      <c r="BO124" s="17">
        <f t="shared" ref="BO124:BO130" si="92">100000000/7</f>
        <v>14285714.285714285</v>
      </c>
      <c r="BP124" s="17">
        <v>0</v>
      </c>
      <c r="BQ124" s="17">
        <v>0</v>
      </c>
      <c r="BR124" s="17">
        <v>0</v>
      </c>
      <c r="BS124" s="17">
        <v>0</v>
      </c>
      <c r="BT124" s="17">
        <v>0</v>
      </c>
      <c r="BU124" s="21">
        <f>SUM(PlanIndicativo[[#This Row],[Ingresos Corrientes de Libre Destinación - ICLD (2023)]:[Otros (2023)]])</f>
        <v>23571428.571428571</v>
      </c>
      <c r="BV124" s="21">
        <f>+PlanIndicativo[[#This Row],[Total (2020)]]+PlanIndicativo[[#This Row],[Total  (2021)]]+PlanIndicativo[[#This Row],[Total  (2022)]]+PlanIndicativo[[#This Row],[Total (2023)]]</f>
        <v>70714285.714285716</v>
      </c>
      <c r="BW124" s="22" t="s">
        <v>442</v>
      </c>
    </row>
    <row r="125" spans="1:75" ht="21" customHeight="1" x14ac:dyDescent="0.25">
      <c r="A125" s="7">
        <v>1</v>
      </c>
      <c r="B125" s="8" t="s">
        <v>75</v>
      </c>
      <c r="C125" s="7" t="s">
        <v>435</v>
      </c>
      <c r="D125" s="7" t="s">
        <v>436</v>
      </c>
      <c r="E125" s="7" t="s">
        <v>437</v>
      </c>
      <c r="F125" s="8" t="s">
        <v>438</v>
      </c>
      <c r="G125" s="7" t="s">
        <v>439</v>
      </c>
      <c r="H125" s="8" t="s">
        <v>440</v>
      </c>
      <c r="I125" s="9">
        <v>4001007</v>
      </c>
      <c r="J125" s="25" t="s">
        <v>443</v>
      </c>
      <c r="K125" s="25" t="s">
        <v>441</v>
      </c>
      <c r="L125" s="25" t="s">
        <v>262</v>
      </c>
      <c r="M125" s="25" t="s">
        <v>243</v>
      </c>
      <c r="N125" s="25" t="s">
        <v>86</v>
      </c>
      <c r="O125" s="25">
        <v>10</v>
      </c>
      <c r="P125" s="9">
        <v>400100700</v>
      </c>
      <c r="Q125" s="25" t="s">
        <v>444</v>
      </c>
      <c r="R125" s="12" t="s">
        <v>88</v>
      </c>
      <c r="S125" s="13" t="s">
        <v>93</v>
      </c>
      <c r="T125" s="14">
        <v>0</v>
      </c>
      <c r="U125" s="15">
        <v>30</v>
      </c>
      <c r="V125" s="30">
        <v>0</v>
      </c>
      <c r="W125" s="30">
        <v>10</v>
      </c>
      <c r="X125" s="30">
        <v>10</v>
      </c>
      <c r="Y125" s="30">
        <v>10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8">
        <f>SUM(PlanIndicativo[[#This Row],[Ingresos Corrientes de Libre Destinación - ICLD (2020)]:[Otros (2020)]])</f>
        <v>0</v>
      </c>
      <c r="AL125" s="17">
        <f>65000000/7*2</f>
        <v>18571428.571428571</v>
      </c>
      <c r="AM125" s="17">
        <v>0</v>
      </c>
      <c r="AN125" s="17">
        <v>0</v>
      </c>
      <c r="AO125" s="17">
        <v>0</v>
      </c>
      <c r="AP125" s="17">
        <v>0</v>
      </c>
      <c r="AQ125" s="17">
        <f>100000000/7*2</f>
        <v>28571428.571428571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9">
        <f>SUM(PlanIndicativo[[#This Row],[Ingresos Corrientes de Libre Destinación - ICLD (2021)]:[Otros  (2021)]])</f>
        <v>47142857.142857142</v>
      </c>
      <c r="AX125" s="17">
        <f t="shared" si="89"/>
        <v>9285714.2857142854</v>
      </c>
      <c r="AY125" s="17">
        <v>0</v>
      </c>
      <c r="AZ125" s="17">
        <v>0</v>
      </c>
      <c r="BA125" s="17">
        <v>0</v>
      </c>
      <c r="BB125" s="17">
        <v>0</v>
      </c>
      <c r="BC125" s="17">
        <f t="shared" si="90"/>
        <v>14285714.285714285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20">
        <f>SUM(PlanIndicativo[[#This Row],[Ingresos Corrientes de Libre Destinación - ICLD (2022)]:[Otros   (2022)]])</f>
        <v>23571428.571428571</v>
      </c>
      <c r="BJ125" s="17">
        <f t="shared" si="91"/>
        <v>9285714.2857142854</v>
      </c>
      <c r="BK125" s="17">
        <v>0</v>
      </c>
      <c r="BL125" s="17">
        <v>0</v>
      </c>
      <c r="BM125" s="17">
        <v>0</v>
      </c>
      <c r="BN125" s="17">
        <v>0</v>
      </c>
      <c r="BO125" s="17">
        <f t="shared" si="92"/>
        <v>14285714.285714285</v>
      </c>
      <c r="BP125" s="17">
        <v>0</v>
      </c>
      <c r="BQ125" s="17">
        <v>0</v>
      </c>
      <c r="BR125" s="17">
        <v>0</v>
      </c>
      <c r="BS125" s="17">
        <v>0</v>
      </c>
      <c r="BT125" s="17">
        <v>0</v>
      </c>
      <c r="BU125" s="21">
        <f>SUM(PlanIndicativo[[#This Row],[Ingresos Corrientes de Libre Destinación - ICLD (2023)]:[Otros (2023)]])</f>
        <v>23571428.571428571</v>
      </c>
      <c r="BV125" s="21">
        <f>+PlanIndicativo[[#This Row],[Total (2020)]]+PlanIndicativo[[#This Row],[Total  (2021)]]+PlanIndicativo[[#This Row],[Total  (2022)]]+PlanIndicativo[[#This Row],[Total (2023)]]</f>
        <v>94285714.285714284</v>
      </c>
      <c r="BW125" s="22" t="s">
        <v>442</v>
      </c>
    </row>
    <row r="126" spans="1:75" ht="21" customHeight="1" x14ac:dyDescent="0.25">
      <c r="A126" s="7">
        <v>1</v>
      </c>
      <c r="B126" s="8" t="s">
        <v>75</v>
      </c>
      <c r="C126" s="7" t="s">
        <v>435</v>
      </c>
      <c r="D126" s="7" t="s">
        <v>436</v>
      </c>
      <c r="E126" s="7" t="s">
        <v>437</v>
      </c>
      <c r="F126" s="8" t="s">
        <v>438</v>
      </c>
      <c r="G126" s="7" t="s">
        <v>439</v>
      </c>
      <c r="H126" s="8" t="s">
        <v>440</v>
      </c>
      <c r="I126" s="9">
        <v>4001017</v>
      </c>
      <c r="J126" s="25" t="s">
        <v>445</v>
      </c>
      <c r="K126" s="25" t="s">
        <v>446</v>
      </c>
      <c r="L126" s="25" t="s">
        <v>262</v>
      </c>
      <c r="M126" s="25" t="s">
        <v>243</v>
      </c>
      <c r="N126" s="25" t="s">
        <v>86</v>
      </c>
      <c r="O126" s="25">
        <v>20</v>
      </c>
      <c r="P126" s="9">
        <v>400101700</v>
      </c>
      <c r="Q126" s="25" t="s">
        <v>445</v>
      </c>
      <c r="R126" s="12" t="s">
        <v>88</v>
      </c>
      <c r="S126" s="13" t="s">
        <v>93</v>
      </c>
      <c r="T126" s="14">
        <v>0</v>
      </c>
      <c r="U126" s="15">
        <v>20</v>
      </c>
      <c r="V126" s="30">
        <v>0</v>
      </c>
      <c r="W126" s="30">
        <v>0</v>
      </c>
      <c r="X126" s="30">
        <v>10</v>
      </c>
      <c r="Y126" s="30">
        <v>10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8">
        <f>SUM(PlanIndicativo[[#This Row],[Ingresos Corrientes de Libre Destinación - ICLD (2020)]:[Otros (2020)]])</f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9">
        <f>SUM(PlanIndicativo[[#This Row],[Ingresos Corrientes de Libre Destinación - ICLD (2021)]:[Otros  (2021)]])</f>
        <v>0</v>
      </c>
      <c r="AX126" s="17">
        <f t="shared" si="89"/>
        <v>9285714.2857142854</v>
      </c>
      <c r="AY126" s="17">
        <v>0</v>
      </c>
      <c r="AZ126" s="17">
        <v>0</v>
      </c>
      <c r="BA126" s="17">
        <v>0</v>
      </c>
      <c r="BB126" s="17">
        <v>0</v>
      </c>
      <c r="BC126" s="17">
        <f t="shared" si="90"/>
        <v>14285714.285714285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20">
        <f>SUM(PlanIndicativo[[#This Row],[Ingresos Corrientes de Libre Destinación - ICLD (2022)]:[Otros   (2022)]])</f>
        <v>23571428.571428571</v>
      </c>
      <c r="BJ126" s="17">
        <f t="shared" si="91"/>
        <v>9285714.2857142854</v>
      </c>
      <c r="BK126" s="17">
        <v>0</v>
      </c>
      <c r="BL126" s="17">
        <v>0</v>
      </c>
      <c r="BM126" s="17">
        <v>0</v>
      </c>
      <c r="BN126" s="17">
        <v>0</v>
      </c>
      <c r="BO126" s="17">
        <f t="shared" si="92"/>
        <v>14285714.285714285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21">
        <f>SUM(PlanIndicativo[[#This Row],[Ingresos Corrientes de Libre Destinación - ICLD (2023)]:[Otros (2023)]])</f>
        <v>23571428.571428571</v>
      </c>
      <c r="BV126" s="21">
        <f>+PlanIndicativo[[#This Row],[Total (2020)]]+PlanIndicativo[[#This Row],[Total  (2021)]]+PlanIndicativo[[#This Row],[Total  (2022)]]+PlanIndicativo[[#This Row],[Total (2023)]]</f>
        <v>47142857.142857142</v>
      </c>
      <c r="BW126" s="22" t="s">
        <v>442</v>
      </c>
    </row>
    <row r="127" spans="1:75" ht="21" customHeight="1" x14ac:dyDescent="0.25">
      <c r="A127" s="7">
        <v>1</v>
      </c>
      <c r="B127" s="8" t="s">
        <v>75</v>
      </c>
      <c r="C127" s="7" t="s">
        <v>435</v>
      </c>
      <c r="D127" s="7" t="s">
        <v>436</v>
      </c>
      <c r="E127" s="7" t="s">
        <v>437</v>
      </c>
      <c r="F127" s="8" t="s">
        <v>438</v>
      </c>
      <c r="G127" s="7" t="s">
        <v>439</v>
      </c>
      <c r="H127" s="8" t="s">
        <v>440</v>
      </c>
      <c r="I127" s="9">
        <v>4001018</v>
      </c>
      <c r="J127" s="25" t="s">
        <v>447</v>
      </c>
      <c r="K127" s="25" t="s">
        <v>448</v>
      </c>
      <c r="L127" s="25" t="s">
        <v>262</v>
      </c>
      <c r="M127" s="25" t="s">
        <v>243</v>
      </c>
      <c r="N127" s="25" t="s">
        <v>86</v>
      </c>
      <c r="O127" s="25">
        <v>15</v>
      </c>
      <c r="P127" s="9">
        <v>400101800</v>
      </c>
      <c r="Q127" s="25" t="s">
        <v>447</v>
      </c>
      <c r="R127" s="12" t="s">
        <v>88</v>
      </c>
      <c r="S127" s="13" t="s">
        <v>93</v>
      </c>
      <c r="T127" s="14">
        <v>0</v>
      </c>
      <c r="U127" s="15">
        <v>50</v>
      </c>
      <c r="V127" s="30">
        <v>5</v>
      </c>
      <c r="W127" s="30">
        <v>15</v>
      </c>
      <c r="X127" s="30">
        <v>15</v>
      </c>
      <c r="Y127" s="30">
        <v>15</v>
      </c>
      <c r="Z127" s="17">
        <f>65000000/7*2</f>
        <v>18571428.571428571</v>
      </c>
      <c r="AA127" s="17">
        <v>0</v>
      </c>
      <c r="AB127" s="17">
        <v>0</v>
      </c>
      <c r="AC127" s="17">
        <v>0</v>
      </c>
      <c r="AD127" s="17">
        <v>0</v>
      </c>
      <c r="AE127" s="17">
        <f>100000000/7*2</f>
        <v>28571428.571428571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8">
        <f>SUM(PlanIndicativo[[#This Row],[Ingresos Corrientes de Libre Destinación - ICLD (2020)]:[Otros (2020)]])</f>
        <v>47142857.142857142</v>
      </c>
      <c r="AL127" s="17">
        <f>65000000/7*2</f>
        <v>18571428.571428571</v>
      </c>
      <c r="AM127" s="17">
        <v>0</v>
      </c>
      <c r="AN127" s="17">
        <v>0</v>
      </c>
      <c r="AO127" s="17">
        <v>0</v>
      </c>
      <c r="AP127" s="17">
        <v>0</v>
      </c>
      <c r="AQ127" s="17">
        <f>100000000/7*2</f>
        <v>28571428.571428571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9">
        <f>SUM(PlanIndicativo[[#This Row],[Ingresos Corrientes de Libre Destinación - ICLD (2021)]:[Otros  (2021)]])</f>
        <v>47142857.142857142</v>
      </c>
      <c r="AX127" s="17">
        <f t="shared" si="89"/>
        <v>9285714.2857142854</v>
      </c>
      <c r="AY127" s="17">
        <v>0</v>
      </c>
      <c r="AZ127" s="17">
        <v>0</v>
      </c>
      <c r="BA127" s="17">
        <v>0</v>
      </c>
      <c r="BB127" s="17">
        <v>0</v>
      </c>
      <c r="BC127" s="17">
        <f t="shared" si="90"/>
        <v>14285714.285714285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20">
        <f>SUM(PlanIndicativo[[#This Row],[Ingresos Corrientes de Libre Destinación - ICLD (2022)]:[Otros   (2022)]])</f>
        <v>23571428.571428571</v>
      </c>
      <c r="BJ127" s="17">
        <f t="shared" si="91"/>
        <v>9285714.2857142854</v>
      </c>
      <c r="BK127" s="17">
        <v>0</v>
      </c>
      <c r="BL127" s="17">
        <v>0</v>
      </c>
      <c r="BM127" s="17">
        <v>0</v>
      </c>
      <c r="BN127" s="17">
        <v>0</v>
      </c>
      <c r="BO127" s="17">
        <f t="shared" si="92"/>
        <v>14285714.285714285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21">
        <f>SUM(PlanIndicativo[[#This Row],[Ingresos Corrientes de Libre Destinación - ICLD (2023)]:[Otros (2023)]])</f>
        <v>23571428.571428571</v>
      </c>
      <c r="BV127" s="21">
        <f>+PlanIndicativo[[#This Row],[Total (2020)]]+PlanIndicativo[[#This Row],[Total  (2021)]]+PlanIndicativo[[#This Row],[Total  (2022)]]+PlanIndicativo[[#This Row],[Total (2023)]]</f>
        <v>141428571.42857143</v>
      </c>
      <c r="BW127" s="22" t="s">
        <v>442</v>
      </c>
    </row>
    <row r="128" spans="1:75" ht="21" customHeight="1" x14ac:dyDescent="0.25">
      <c r="A128" s="7">
        <v>1</v>
      </c>
      <c r="B128" s="8" t="s">
        <v>75</v>
      </c>
      <c r="C128" s="7" t="s">
        <v>435</v>
      </c>
      <c r="D128" s="7" t="s">
        <v>436</v>
      </c>
      <c r="E128" s="7" t="s">
        <v>437</v>
      </c>
      <c r="F128" s="8" t="s">
        <v>438</v>
      </c>
      <c r="G128" s="7" t="s">
        <v>439</v>
      </c>
      <c r="H128" s="8" t="s">
        <v>440</v>
      </c>
      <c r="I128" s="9">
        <v>4001030</v>
      </c>
      <c r="J128" s="25" t="s">
        <v>449</v>
      </c>
      <c r="K128" s="25" t="s">
        <v>450</v>
      </c>
      <c r="L128" s="25" t="s">
        <v>262</v>
      </c>
      <c r="M128" s="25" t="s">
        <v>243</v>
      </c>
      <c r="N128" s="25" t="s">
        <v>86</v>
      </c>
      <c r="O128" s="25">
        <v>20</v>
      </c>
      <c r="P128" s="9">
        <v>400103000</v>
      </c>
      <c r="Q128" s="25" t="s">
        <v>451</v>
      </c>
      <c r="R128" s="12" t="s">
        <v>88</v>
      </c>
      <c r="S128" s="13" t="s">
        <v>93</v>
      </c>
      <c r="T128" s="14">
        <v>0</v>
      </c>
      <c r="U128" s="15">
        <v>2</v>
      </c>
      <c r="V128" s="30">
        <v>1</v>
      </c>
      <c r="W128" s="30">
        <v>0</v>
      </c>
      <c r="X128" s="30">
        <v>1</v>
      </c>
      <c r="Y128" s="30">
        <v>0</v>
      </c>
      <c r="Z128" s="17">
        <f>65000000/7*2</f>
        <v>18571428.571428571</v>
      </c>
      <c r="AA128" s="17">
        <v>0</v>
      </c>
      <c r="AB128" s="17">
        <v>0</v>
      </c>
      <c r="AC128" s="17">
        <v>0</v>
      </c>
      <c r="AD128" s="17">
        <v>0</v>
      </c>
      <c r="AE128" s="17">
        <f>100000000/7*2</f>
        <v>28571428.571428571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8">
        <f>SUM(PlanIndicativo[[#This Row],[Ingresos Corrientes de Libre Destinación - ICLD (2020)]:[Otros (2020)]])</f>
        <v>47142857.142857142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9">
        <f>SUM(PlanIndicativo[[#This Row],[Ingresos Corrientes de Libre Destinación - ICLD (2021)]:[Otros  (2021)]])</f>
        <v>0</v>
      </c>
      <c r="AX128" s="17">
        <f t="shared" si="89"/>
        <v>9285714.2857142854</v>
      </c>
      <c r="AY128" s="17">
        <v>0</v>
      </c>
      <c r="AZ128" s="17">
        <v>0</v>
      </c>
      <c r="BA128" s="17">
        <v>0</v>
      </c>
      <c r="BB128" s="17">
        <v>0</v>
      </c>
      <c r="BC128" s="17">
        <f t="shared" si="90"/>
        <v>14285714.285714285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20">
        <f>SUM(PlanIndicativo[[#This Row],[Ingresos Corrientes de Libre Destinación - ICLD (2022)]:[Otros   (2022)]])</f>
        <v>23571428.571428571</v>
      </c>
      <c r="BJ128" s="17">
        <f t="shared" si="91"/>
        <v>9285714.2857142854</v>
      </c>
      <c r="BK128" s="17">
        <v>0</v>
      </c>
      <c r="BL128" s="17">
        <v>0</v>
      </c>
      <c r="BM128" s="17">
        <v>0</v>
      </c>
      <c r="BN128" s="17">
        <v>0</v>
      </c>
      <c r="BO128" s="17">
        <f t="shared" si="92"/>
        <v>14285714.285714285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21">
        <f>SUM(PlanIndicativo[[#This Row],[Ingresos Corrientes de Libre Destinación - ICLD (2023)]:[Otros (2023)]])</f>
        <v>23571428.571428571</v>
      </c>
      <c r="BV128" s="21">
        <f>+PlanIndicativo[[#This Row],[Total (2020)]]+PlanIndicativo[[#This Row],[Total  (2021)]]+PlanIndicativo[[#This Row],[Total  (2022)]]+PlanIndicativo[[#This Row],[Total (2023)]]</f>
        <v>94285714.285714284</v>
      </c>
      <c r="BW128" s="22" t="s">
        <v>442</v>
      </c>
    </row>
    <row r="129" spans="1:75" ht="21" customHeight="1" x14ac:dyDescent="0.25">
      <c r="A129" s="7">
        <v>1</v>
      </c>
      <c r="B129" s="8" t="s">
        <v>75</v>
      </c>
      <c r="C129" s="7" t="s">
        <v>435</v>
      </c>
      <c r="D129" s="7" t="s">
        <v>436</v>
      </c>
      <c r="E129" s="7" t="s">
        <v>437</v>
      </c>
      <c r="F129" s="8" t="s">
        <v>438</v>
      </c>
      <c r="G129" s="7" t="s">
        <v>439</v>
      </c>
      <c r="H129" s="8" t="s">
        <v>440</v>
      </c>
      <c r="I129" s="9">
        <v>1701002</v>
      </c>
      <c r="J129" s="25" t="s">
        <v>452</v>
      </c>
      <c r="K129" s="25" t="s">
        <v>441</v>
      </c>
      <c r="L129" s="25" t="s">
        <v>262</v>
      </c>
      <c r="M129" s="25" t="s">
        <v>243</v>
      </c>
      <c r="N129" s="25" t="s">
        <v>86</v>
      </c>
      <c r="O129" s="25">
        <v>10</v>
      </c>
      <c r="P129" s="9">
        <v>170100200</v>
      </c>
      <c r="Q129" s="25" t="s">
        <v>452</v>
      </c>
      <c r="R129" s="12" t="s">
        <v>88</v>
      </c>
      <c r="S129" s="13" t="s">
        <v>93</v>
      </c>
      <c r="T129" s="14">
        <v>0</v>
      </c>
      <c r="U129" s="15">
        <v>20</v>
      </c>
      <c r="V129" s="30">
        <v>0</v>
      </c>
      <c r="W129" s="30">
        <v>0</v>
      </c>
      <c r="X129" s="30">
        <v>10</v>
      </c>
      <c r="Y129" s="30">
        <v>10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8">
        <f>SUM(PlanIndicativo[[#This Row],[Ingresos Corrientes de Libre Destinación - ICLD (2020)]:[Otros (2020)]])</f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9">
        <f>SUM(PlanIndicativo[[#This Row],[Ingresos Corrientes de Libre Destinación - ICLD (2021)]:[Otros  (2021)]])</f>
        <v>0</v>
      </c>
      <c r="AX129" s="17">
        <f t="shared" si="89"/>
        <v>9285714.2857142854</v>
      </c>
      <c r="AY129" s="17">
        <v>0</v>
      </c>
      <c r="AZ129" s="17">
        <v>0</v>
      </c>
      <c r="BA129" s="17">
        <v>0</v>
      </c>
      <c r="BB129" s="17">
        <v>0</v>
      </c>
      <c r="BC129" s="17">
        <f t="shared" si="90"/>
        <v>14285714.285714285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20">
        <f>SUM(PlanIndicativo[[#This Row],[Ingresos Corrientes de Libre Destinación - ICLD (2022)]:[Otros   (2022)]])</f>
        <v>23571428.571428571</v>
      </c>
      <c r="BJ129" s="17">
        <f t="shared" si="91"/>
        <v>9285714.2857142854</v>
      </c>
      <c r="BK129" s="17">
        <v>0</v>
      </c>
      <c r="BL129" s="17">
        <v>0</v>
      </c>
      <c r="BM129" s="17">
        <v>0</v>
      </c>
      <c r="BN129" s="17">
        <v>0</v>
      </c>
      <c r="BO129" s="17">
        <f t="shared" si="92"/>
        <v>14285714.285714285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21">
        <f>SUM(PlanIndicativo[[#This Row],[Ingresos Corrientes de Libre Destinación - ICLD (2023)]:[Otros (2023)]])</f>
        <v>23571428.571428571</v>
      </c>
      <c r="BV129" s="21">
        <f>+PlanIndicativo[[#This Row],[Total (2020)]]+PlanIndicativo[[#This Row],[Total  (2021)]]+PlanIndicativo[[#This Row],[Total  (2022)]]+PlanIndicativo[[#This Row],[Total (2023)]]</f>
        <v>47142857.142857142</v>
      </c>
      <c r="BW129" s="22" t="s">
        <v>442</v>
      </c>
    </row>
    <row r="130" spans="1:75" ht="21" customHeight="1" x14ac:dyDescent="0.25">
      <c r="A130" s="7">
        <v>1</v>
      </c>
      <c r="B130" s="8" t="s">
        <v>75</v>
      </c>
      <c r="C130" s="7" t="s">
        <v>435</v>
      </c>
      <c r="D130" s="7" t="s">
        <v>436</v>
      </c>
      <c r="E130" s="7" t="s">
        <v>437</v>
      </c>
      <c r="F130" s="8" t="s">
        <v>438</v>
      </c>
      <c r="G130" s="7" t="s">
        <v>439</v>
      </c>
      <c r="H130" s="8" t="s">
        <v>440</v>
      </c>
      <c r="I130" s="9">
        <v>1701003</v>
      </c>
      <c r="J130" s="10" t="s">
        <v>453</v>
      </c>
      <c r="K130" s="10" t="s">
        <v>441</v>
      </c>
      <c r="L130" s="25" t="s">
        <v>262</v>
      </c>
      <c r="M130" s="25" t="s">
        <v>243</v>
      </c>
      <c r="N130" s="25" t="s">
        <v>86</v>
      </c>
      <c r="O130" s="10">
        <v>10</v>
      </c>
      <c r="P130" s="9">
        <v>170100300</v>
      </c>
      <c r="Q130" s="25" t="s">
        <v>454</v>
      </c>
      <c r="R130" s="12" t="s">
        <v>88</v>
      </c>
      <c r="S130" s="13" t="s">
        <v>93</v>
      </c>
      <c r="T130" s="14">
        <v>0</v>
      </c>
      <c r="U130" s="15">
        <v>150</v>
      </c>
      <c r="V130" s="30">
        <v>30</v>
      </c>
      <c r="W130" s="30">
        <v>40</v>
      </c>
      <c r="X130" s="30">
        <v>40</v>
      </c>
      <c r="Y130" s="30">
        <v>40</v>
      </c>
      <c r="Z130" s="17">
        <f>65000000/7*3</f>
        <v>27857142.857142858</v>
      </c>
      <c r="AA130" s="17">
        <v>0</v>
      </c>
      <c r="AB130" s="17">
        <v>0</v>
      </c>
      <c r="AC130" s="17">
        <v>0</v>
      </c>
      <c r="AD130" s="17">
        <v>0</v>
      </c>
      <c r="AE130" s="17">
        <f>(100000000/7)*3</f>
        <v>42857142.857142858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8">
        <f>SUM(PlanIndicativo[[#This Row],[Ingresos Corrientes de Libre Destinación - ICLD (2020)]:[Otros (2020)]])</f>
        <v>70714285.714285716</v>
      </c>
      <c r="AL130" s="17">
        <f>65000000/7*2</f>
        <v>18571428.571428571</v>
      </c>
      <c r="AM130" s="17">
        <v>0</v>
      </c>
      <c r="AN130" s="17">
        <v>0</v>
      </c>
      <c r="AO130" s="17">
        <v>0</v>
      </c>
      <c r="AP130" s="17">
        <v>0</v>
      </c>
      <c r="AQ130" s="17">
        <f>100000000/7*4</f>
        <v>57142857.142857142</v>
      </c>
      <c r="AR130" s="17">
        <v>0</v>
      </c>
      <c r="AS130" s="17">
        <v>0</v>
      </c>
      <c r="AT130" s="17">
        <v>0</v>
      </c>
      <c r="AU130" s="17">
        <v>0</v>
      </c>
      <c r="AV130" s="17">
        <v>0</v>
      </c>
      <c r="AW130" s="19">
        <f>SUM(PlanIndicativo[[#This Row],[Ingresos Corrientes de Libre Destinación - ICLD (2021)]:[Otros  (2021)]])</f>
        <v>75714285.714285716</v>
      </c>
      <c r="AX130" s="17">
        <f t="shared" si="89"/>
        <v>9285714.2857142854</v>
      </c>
      <c r="AY130" s="17">
        <v>0</v>
      </c>
      <c r="AZ130" s="17">
        <v>0</v>
      </c>
      <c r="BA130" s="17">
        <v>0</v>
      </c>
      <c r="BB130" s="17">
        <v>0</v>
      </c>
      <c r="BC130" s="17">
        <f t="shared" si="90"/>
        <v>14285714.285714285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20">
        <f>SUM(PlanIndicativo[[#This Row],[Ingresos Corrientes de Libre Destinación - ICLD (2022)]:[Otros   (2022)]])</f>
        <v>23571428.571428571</v>
      </c>
      <c r="BJ130" s="17">
        <f t="shared" si="91"/>
        <v>9285714.2857142854</v>
      </c>
      <c r="BK130" s="17">
        <v>0</v>
      </c>
      <c r="BL130" s="17">
        <v>0</v>
      </c>
      <c r="BM130" s="17">
        <v>0</v>
      </c>
      <c r="BN130" s="17">
        <v>0</v>
      </c>
      <c r="BO130" s="17">
        <f t="shared" si="92"/>
        <v>14285714.285714285</v>
      </c>
      <c r="BP130" s="17">
        <v>0</v>
      </c>
      <c r="BQ130" s="17">
        <v>0</v>
      </c>
      <c r="BR130" s="17">
        <v>0</v>
      </c>
      <c r="BS130" s="17">
        <v>0</v>
      </c>
      <c r="BT130" s="17">
        <v>0</v>
      </c>
      <c r="BU130" s="21">
        <f>SUM(PlanIndicativo[[#This Row],[Ingresos Corrientes de Libre Destinación - ICLD (2023)]:[Otros (2023)]])</f>
        <v>23571428.571428571</v>
      </c>
      <c r="BV130" s="21">
        <f>+PlanIndicativo[[#This Row],[Total (2020)]]+PlanIndicativo[[#This Row],[Total  (2021)]]+PlanIndicativo[[#This Row],[Total  (2022)]]+PlanIndicativo[[#This Row],[Total (2023)]]</f>
        <v>193571428.57142857</v>
      </c>
      <c r="BW130" s="22" t="s">
        <v>442</v>
      </c>
    </row>
    <row r="131" spans="1:75" ht="21" customHeight="1" x14ac:dyDescent="0.25">
      <c r="A131" s="7">
        <v>1</v>
      </c>
      <c r="B131" s="8" t="s">
        <v>75</v>
      </c>
      <c r="C131" s="7" t="s">
        <v>455</v>
      </c>
      <c r="D131" s="7" t="s">
        <v>456</v>
      </c>
      <c r="E131" s="7" t="s">
        <v>457</v>
      </c>
      <c r="F131" s="8" t="s">
        <v>458</v>
      </c>
      <c r="G131" s="7" t="s">
        <v>459</v>
      </c>
      <c r="H131" s="8" t="s">
        <v>460</v>
      </c>
      <c r="I131" s="9">
        <v>2101009</v>
      </c>
      <c r="J131" s="25" t="s">
        <v>461</v>
      </c>
      <c r="K131" s="25" t="s">
        <v>462</v>
      </c>
      <c r="L131" s="25" t="s">
        <v>463</v>
      </c>
      <c r="M131" s="25" t="s">
        <v>464</v>
      </c>
      <c r="N131" s="25" t="s">
        <v>86</v>
      </c>
      <c r="O131" s="25">
        <v>13</v>
      </c>
      <c r="P131" s="9">
        <v>210100900</v>
      </c>
      <c r="Q131" s="25" t="s">
        <v>461</v>
      </c>
      <c r="R131" s="12" t="s">
        <v>465</v>
      </c>
      <c r="S131" s="13" t="s">
        <v>89</v>
      </c>
      <c r="T131" s="14">
        <v>0</v>
      </c>
      <c r="U131" s="16">
        <v>0.5</v>
      </c>
      <c r="V131" s="35">
        <v>0</v>
      </c>
      <c r="W131" s="35">
        <v>0.1</v>
      </c>
      <c r="X131" s="35">
        <v>0.2</v>
      </c>
      <c r="Y131" s="35">
        <v>0.2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8">
        <f>SUM(PlanIndicativo[[#This Row],[Ingresos Corrientes de Libre Destinación - ICLD (2020)]:[Otros (2020)]])</f>
        <v>0</v>
      </c>
      <c r="AL131" s="17">
        <v>2373238.6363636362</v>
      </c>
      <c r="AM131" s="17">
        <v>0</v>
      </c>
      <c r="AN131" s="17">
        <v>0</v>
      </c>
      <c r="AO131" s="17">
        <v>0</v>
      </c>
      <c r="AP131" s="17">
        <v>0</v>
      </c>
      <c r="AQ131" s="17">
        <f t="shared" ref="AQ131:AQ137" si="93">(52211250/2)/11</f>
        <v>2373238.6363636362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9">
        <f>SUM(PlanIndicativo[[#This Row],[Ingresos Corrientes de Libre Destinación - ICLD (2021)]:[Otros  (2021)]])</f>
        <v>4746477.2727272725</v>
      </c>
      <c r="AX131" s="17">
        <v>2373238.6363636362</v>
      </c>
      <c r="AY131" s="17">
        <v>0</v>
      </c>
      <c r="AZ131" s="17">
        <v>0</v>
      </c>
      <c r="BA131" s="17">
        <v>0</v>
      </c>
      <c r="BB131" s="17">
        <v>0</v>
      </c>
      <c r="BC131" s="17">
        <f t="shared" ref="BC131:BC137" si="94">(52211250/2)/11</f>
        <v>2373238.6363636362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20">
        <f>SUM(PlanIndicativo[[#This Row],[Ingresos Corrientes de Libre Destinación - ICLD (2022)]:[Otros   (2022)]])</f>
        <v>4746477.2727272725</v>
      </c>
      <c r="BJ131" s="17">
        <v>2373238.6363636362</v>
      </c>
      <c r="BK131" s="17">
        <v>0</v>
      </c>
      <c r="BL131" s="17">
        <v>0</v>
      </c>
      <c r="BM131" s="17">
        <v>0</v>
      </c>
      <c r="BN131" s="17">
        <v>0</v>
      </c>
      <c r="BO131" s="17">
        <f t="shared" ref="BO131:BO137" si="95">(52211250/2)/11</f>
        <v>2373238.6363636362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21">
        <f>SUM(PlanIndicativo[[#This Row],[Ingresos Corrientes de Libre Destinación - ICLD (2023)]:[Otros (2023)]])</f>
        <v>4746477.2727272725</v>
      </c>
      <c r="BV131" s="21">
        <f>+PlanIndicativo[[#This Row],[Total (2020)]]+PlanIndicativo[[#This Row],[Total  (2021)]]+PlanIndicativo[[#This Row],[Total  (2022)]]+PlanIndicativo[[#This Row],[Total (2023)]]</f>
        <v>14239431.818181816</v>
      </c>
      <c r="BW131" s="22" t="s">
        <v>466</v>
      </c>
    </row>
    <row r="132" spans="1:75" ht="21" customHeight="1" x14ac:dyDescent="0.25">
      <c r="A132" s="7">
        <v>1</v>
      </c>
      <c r="B132" s="8" t="s">
        <v>75</v>
      </c>
      <c r="C132" s="7" t="s">
        <v>455</v>
      </c>
      <c r="D132" s="7" t="s">
        <v>456</v>
      </c>
      <c r="E132" s="7" t="s">
        <v>457</v>
      </c>
      <c r="F132" s="8" t="s">
        <v>458</v>
      </c>
      <c r="G132" s="7" t="s">
        <v>459</v>
      </c>
      <c r="H132" s="8" t="s">
        <v>460</v>
      </c>
      <c r="I132" s="9">
        <v>2101016</v>
      </c>
      <c r="J132" s="25" t="s">
        <v>467</v>
      </c>
      <c r="K132" s="25" t="s">
        <v>462</v>
      </c>
      <c r="L132" s="25" t="s">
        <v>463</v>
      </c>
      <c r="M132" s="25" t="s">
        <v>464</v>
      </c>
      <c r="N132" s="25" t="s">
        <v>86</v>
      </c>
      <c r="O132" s="25">
        <v>15</v>
      </c>
      <c r="P132" s="9">
        <v>210101600</v>
      </c>
      <c r="Q132" s="25" t="s">
        <v>468</v>
      </c>
      <c r="R132" s="12" t="s">
        <v>88</v>
      </c>
      <c r="S132" s="13" t="s">
        <v>89</v>
      </c>
      <c r="T132" s="14">
        <v>0</v>
      </c>
      <c r="U132" s="15">
        <v>50</v>
      </c>
      <c r="V132" s="30">
        <v>0</v>
      </c>
      <c r="W132" s="30">
        <v>10</v>
      </c>
      <c r="X132" s="30">
        <v>20</v>
      </c>
      <c r="Y132" s="30">
        <v>20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8">
        <f>SUM(PlanIndicativo[[#This Row],[Ingresos Corrientes de Libre Destinación - ICLD (2020)]:[Otros (2020)]])</f>
        <v>0</v>
      </c>
      <c r="AL132" s="17">
        <v>2373238.6363636362</v>
      </c>
      <c r="AM132" s="17">
        <v>0</v>
      </c>
      <c r="AN132" s="17">
        <v>0</v>
      </c>
      <c r="AO132" s="17">
        <v>0</v>
      </c>
      <c r="AP132" s="17">
        <v>0</v>
      </c>
      <c r="AQ132" s="17">
        <f t="shared" si="93"/>
        <v>2373238.6363636362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9">
        <f>SUM(PlanIndicativo[[#This Row],[Ingresos Corrientes de Libre Destinación - ICLD (2021)]:[Otros  (2021)]])</f>
        <v>4746477.2727272725</v>
      </c>
      <c r="AX132" s="17">
        <v>2373238.6363636362</v>
      </c>
      <c r="AY132" s="17">
        <v>0</v>
      </c>
      <c r="AZ132" s="17">
        <v>0</v>
      </c>
      <c r="BA132" s="17">
        <v>0</v>
      </c>
      <c r="BB132" s="17">
        <v>0</v>
      </c>
      <c r="BC132" s="17">
        <f t="shared" si="94"/>
        <v>2373238.6363636362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20">
        <f>SUM(PlanIndicativo[[#This Row],[Ingresos Corrientes de Libre Destinación - ICLD (2022)]:[Otros   (2022)]])</f>
        <v>4746477.2727272725</v>
      </c>
      <c r="BJ132" s="17">
        <v>2373238.6363636362</v>
      </c>
      <c r="BK132" s="17">
        <v>0</v>
      </c>
      <c r="BL132" s="17">
        <v>0</v>
      </c>
      <c r="BM132" s="17">
        <v>0</v>
      </c>
      <c r="BN132" s="17">
        <v>0</v>
      </c>
      <c r="BO132" s="17">
        <f t="shared" si="95"/>
        <v>2373238.6363636362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21">
        <f>SUM(PlanIndicativo[[#This Row],[Ingresos Corrientes de Libre Destinación - ICLD (2023)]:[Otros (2023)]])</f>
        <v>4746477.2727272725</v>
      </c>
      <c r="BV132" s="21">
        <f>+PlanIndicativo[[#This Row],[Total (2020)]]+PlanIndicativo[[#This Row],[Total  (2021)]]+PlanIndicativo[[#This Row],[Total  (2022)]]+PlanIndicativo[[#This Row],[Total (2023)]]</f>
        <v>14239431.818181816</v>
      </c>
      <c r="BW132" s="22" t="s">
        <v>466</v>
      </c>
    </row>
    <row r="133" spans="1:75" ht="21" customHeight="1" x14ac:dyDescent="0.25">
      <c r="A133" s="7">
        <v>1</v>
      </c>
      <c r="B133" s="8" t="s">
        <v>75</v>
      </c>
      <c r="C133" s="7" t="s">
        <v>455</v>
      </c>
      <c r="D133" s="7" t="s">
        <v>456</v>
      </c>
      <c r="E133" s="7" t="s">
        <v>457</v>
      </c>
      <c r="F133" s="8" t="s">
        <v>458</v>
      </c>
      <c r="G133" s="7" t="s">
        <v>459</v>
      </c>
      <c r="H133" s="8" t="s">
        <v>460</v>
      </c>
      <c r="I133" s="9">
        <v>2102011</v>
      </c>
      <c r="J133" s="25" t="s">
        <v>469</v>
      </c>
      <c r="K133" s="25" t="s">
        <v>470</v>
      </c>
      <c r="L133" s="25" t="s">
        <v>463</v>
      </c>
      <c r="M133" s="25" t="s">
        <v>464</v>
      </c>
      <c r="N133" s="25" t="s">
        <v>86</v>
      </c>
      <c r="O133" s="25">
        <v>20</v>
      </c>
      <c r="P133" s="9">
        <v>210201100</v>
      </c>
      <c r="Q133" s="25" t="s">
        <v>469</v>
      </c>
      <c r="R133" s="12" t="s">
        <v>471</v>
      </c>
      <c r="S133" s="13" t="s">
        <v>93</v>
      </c>
      <c r="T133" s="14">
        <v>0</v>
      </c>
      <c r="U133" s="15">
        <v>800</v>
      </c>
      <c r="V133" s="30">
        <v>200</v>
      </c>
      <c r="W133" s="30">
        <v>200</v>
      </c>
      <c r="X133" s="30">
        <v>200</v>
      </c>
      <c r="Y133" s="30">
        <v>200</v>
      </c>
      <c r="Z133" s="17">
        <f>2373238.63636364*3</f>
        <v>7119715.9090909194</v>
      </c>
      <c r="AA133" s="17">
        <v>0</v>
      </c>
      <c r="AB133" s="17">
        <v>0</v>
      </c>
      <c r="AC133" s="17">
        <v>0</v>
      </c>
      <c r="AD133" s="17">
        <v>0</v>
      </c>
      <c r="AE133" s="17">
        <f>(52211250/2)/11*3</f>
        <v>7119715.9090909082</v>
      </c>
      <c r="AF133" s="17">
        <v>0</v>
      </c>
      <c r="AG133" s="17">
        <v>0</v>
      </c>
      <c r="AH133" s="17">
        <v>0</v>
      </c>
      <c r="AI133" s="17">
        <v>0</v>
      </c>
      <c r="AJ133" s="17">
        <v>0</v>
      </c>
      <c r="AK133" s="18">
        <f>SUM(PlanIndicativo[[#This Row],[Ingresos Corrientes de Libre Destinación - ICLD (2020)]:[Otros (2020)]])</f>
        <v>14239431.818181828</v>
      </c>
      <c r="AL133" s="17">
        <f>2373238.63636364*2</f>
        <v>4746477.2727272799</v>
      </c>
      <c r="AM133" s="17">
        <v>0</v>
      </c>
      <c r="AN133" s="17">
        <v>0</v>
      </c>
      <c r="AO133" s="17">
        <v>0</v>
      </c>
      <c r="AP133" s="17">
        <v>0</v>
      </c>
      <c r="AQ133" s="17">
        <f>(52211250/2)/11*2</f>
        <v>4746477.2727272725</v>
      </c>
      <c r="AR133" s="17">
        <v>0</v>
      </c>
      <c r="AS133" s="17">
        <v>0</v>
      </c>
      <c r="AT133" s="17">
        <v>0</v>
      </c>
      <c r="AU133" s="17">
        <v>0</v>
      </c>
      <c r="AV133" s="17">
        <v>0</v>
      </c>
      <c r="AW133" s="19">
        <f>SUM(PlanIndicativo[[#This Row],[Ingresos Corrientes de Libre Destinación - ICLD (2021)]:[Otros  (2021)]])</f>
        <v>9492954.5454545524</v>
      </c>
      <c r="AX133" s="17">
        <v>2373238.6363636362</v>
      </c>
      <c r="AY133" s="17">
        <v>0</v>
      </c>
      <c r="AZ133" s="17">
        <v>0</v>
      </c>
      <c r="BA133" s="17">
        <v>0</v>
      </c>
      <c r="BB133" s="17">
        <v>0</v>
      </c>
      <c r="BC133" s="17">
        <f t="shared" si="94"/>
        <v>2373238.6363636362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20">
        <f>SUM(PlanIndicativo[[#This Row],[Ingresos Corrientes de Libre Destinación - ICLD (2022)]:[Otros   (2022)]])</f>
        <v>4746477.2727272725</v>
      </c>
      <c r="BJ133" s="17">
        <v>2373238.6363636362</v>
      </c>
      <c r="BK133" s="17">
        <v>0</v>
      </c>
      <c r="BL133" s="17">
        <v>0</v>
      </c>
      <c r="BM133" s="17">
        <v>0</v>
      </c>
      <c r="BN133" s="17">
        <v>0</v>
      </c>
      <c r="BO133" s="17">
        <f t="shared" si="95"/>
        <v>2373238.6363636362</v>
      </c>
      <c r="BP133" s="17">
        <v>0</v>
      </c>
      <c r="BQ133" s="17">
        <v>0</v>
      </c>
      <c r="BR133" s="17">
        <v>0</v>
      </c>
      <c r="BS133" s="17">
        <v>0</v>
      </c>
      <c r="BT133" s="17">
        <v>0</v>
      </c>
      <c r="BU133" s="21">
        <f>SUM(PlanIndicativo[[#This Row],[Ingresos Corrientes de Libre Destinación - ICLD (2023)]:[Otros (2023)]])</f>
        <v>4746477.2727272725</v>
      </c>
      <c r="BV133" s="21">
        <f>+PlanIndicativo[[#This Row],[Total (2020)]]+PlanIndicativo[[#This Row],[Total  (2021)]]+PlanIndicativo[[#This Row],[Total  (2022)]]+PlanIndicativo[[#This Row],[Total (2023)]]</f>
        <v>33225340.909090929</v>
      </c>
      <c r="BW133" s="22" t="s">
        <v>466</v>
      </c>
    </row>
    <row r="134" spans="1:75" ht="21" customHeight="1" x14ac:dyDescent="0.25">
      <c r="A134" s="7">
        <v>1</v>
      </c>
      <c r="B134" s="8" t="s">
        <v>75</v>
      </c>
      <c r="C134" s="7" t="s">
        <v>455</v>
      </c>
      <c r="D134" s="7" t="s">
        <v>456</v>
      </c>
      <c r="E134" s="7" t="s">
        <v>457</v>
      </c>
      <c r="F134" s="8" t="s">
        <v>458</v>
      </c>
      <c r="G134" s="7" t="s">
        <v>459</v>
      </c>
      <c r="H134" s="8" t="s">
        <v>460</v>
      </c>
      <c r="I134" s="9">
        <v>2102058</v>
      </c>
      <c r="J134" s="25" t="s">
        <v>472</v>
      </c>
      <c r="K134" s="25" t="s">
        <v>462</v>
      </c>
      <c r="L134" s="25" t="s">
        <v>463</v>
      </c>
      <c r="M134" s="25" t="s">
        <v>464</v>
      </c>
      <c r="N134" s="25" t="s">
        <v>86</v>
      </c>
      <c r="O134" s="25">
        <v>15</v>
      </c>
      <c r="P134" s="9">
        <v>210205800</v>
      </c>
      <c r="Q134" s="25" t="s">
        <v>472</v>
      </c>
      <c r="R134" s="12" t="s">
        <v>88</v>
      </c>
      <c r="S134" s="13" t="s">
        <v>93</v>
      </c>
      <c r="T134" s="14">
        <v>0</v>
      </c>
      <c r="U134" s="15">
        <v>2</v>
      </c>
      <c r="V134" s="30">
        <v>0</v>
      </c>
      <c r="W134" s="30">
        <v>0</v>
      </c>
      <c r="X134" s="30">
        <v>1</v>
      </c>
      <c r="Y134" s="30">
        <v>1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8">
        <f>SUM(PlanIndicativo[[#This Row],[Ingresos Corrientes de Libre Destinación - ICLD (2020)]:[Otros (2020)]])</f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9">
        <f>SUM(PlanIndicativo[[#This Row],[Ingresos Corrientes de Libre Destinación - ICLD (2021)]:[Otros  (2021)]])</f>
        <v>0</v>
      </c>
      <c r="AX134" s="17">
        <v>2373238.6363636362</v>
      </c>
      <c r="AY134" s="17">
        <v>0</v>
      </c>
      <c r="AZ134" s="17">
        <v>0</v>
      </c>
      <c r="BA134" s="17">
        <v>0</v>
      </c>
      <c r="BB134" s="17">
        <v>0</v>
      </c>
      <c r="BC134" s="17">
        <f t="shared" si="94"/>
        <v>2373238.6363636362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20">
        <f>SUM(PlanIndicativo[[#This Row],[Ingresos Corrientes de Libre Destinación - ICLD (2022)]:[Otros   (2022)]])</f>
        <v>4746477.2727272725</v>
      </c>
      <c r="BJ134" s="17">
        <v>2373238.6363636362</v>
      </c>
      <c r="BK134" s="17">
        <v>0</v>
      </c>
      <c r="BL134" s="17">
        <v>0</v>
      </c>
      <c r="BM134" s="17">
        <v>0</v>
      </c>
      <c r="BN134" s="17">
        <v>0</v>
      </c>
      <c r="BO134" s="17">
        <f t="shared" si="95"/>
        <v>2373238.6363636362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21">
        <f>SUM(PlanIndicativo[[#This Row],[Ingresos Corrientes de Libre Destinación - ICLD (2023)]:[Otros (2023)]])</f>
        <v>4746477.2727272725</v>
      </c>
      <c r="BV134" s="21">
        <f>+PlanIndicativo[[#This Row],[Total (2020)]]+PlanIndicativo[[#This Row],[Total  (2021)]]+PlanIndicativo[[#This Row],[Total  (2022)]]+PlanIndicativo[[#This Row],[Total (2023)]]</f>
        <v>9492954.5454545449</v>
      </c>
      <c r="BW134" s="22" t="s">
        <v>466</v>
      </c>
    </row>
    <row r="135" spans="1:75" ht="21" customHeight="1" x14ac:dyDescent="0.25">
      <c r="A135" s="7">
        <v>1</v>
      </c>
      <c r="B135" s="8" t="s">
        <v>75</v>
      </c>
      <c r="C135" s="7" t="s">
        <v>455</v>
      </c>
      <c r="D135" s="7" t="s">
        <v>456</v>
      </c>
      <c r="E135" s="7" t="s">
        <v>457</v>
      </c>
      <c r="F135" s="8" t="s">
        <v>458</v>
      </c>
      <c r="G135" s="7" t="s">
        <v>459</v>
      </c>
      <c r="H135" s="8" t="s">
        <v>460</v>
      </c>
      <c r="I135" s="9">
        <v>2301012</v>
      </c>
      <c r="J135" s="25" t="s">
        <v>473</v>
      </c>
      <c r="K135" s="25" t="s">
        <v>474</v>
      </c>
      <c r="L135" s="25" t="s">
        <v>463</v>
      </c>
      <c r="M135" s="25" t="s">
        <v>464</v>
      </c>
      <c r="N135" s="25" t="s">
        <v>86</v>
      </c>
      <c r="O135" s="25">
        <v>10</v>
      </c>
      <c r="P135" s="9">
        <v>230101200</v>
      </c>
      <c r="Q135" s="25" t="s">
        <v>475</v>
      </c>
      <c r="R135" s="12" t="s">
        <v>88</v>
      </c>
      <c r="S135" s="13" t="s">
        <v>93</v>
      </c>
      <c r="T135" s="14">
        <v>0</v>
      </c>
      <c r="U135" s="15">
        <v>1</v>
      </c>
      <c r="V135" s="30">
        <v>0</v>
      </c>
      <c r="W135" s="30">
        <v>1</v>
      </c>
      <c r="X135" s="30">
        <v>0</v>
      </c>
      <c r="Y135" s="30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8">
        <f>SUM(PlanIndicativo[[#This Row],[Ingresos Corrientes de Libre Destinación - ICLD (2020)]:[Otros (2020)]])</f>
        <v>0</v>
      </c>
      <c r="AL135" s="17">
        <v>2373238.6363636362</v>
      </c>
      <c r="AM135" s="17">
        <v>0</v>
      </c>
      <c r="AN135" s="17">
        <v>0</v>
      </c>
      <c r="AO135" s="17">
        <v>0</v>
      </c>
      <c r="AP135" s="17">
        <v>0</v>
      </c>
      <c r="AQ135" s="17">
        <f t="shared" si="93"/>
        <v>2373238.6363636362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9">
        <f>SUM(PlanIndicativo[[#This Row],[Ingresos Corrientes de Libre Destinación - ICLD (2021)]:[Otros  (2021)]])</f>
        <v>4746477.2727272725</v>
      </c>
      <c r="AX135" s="17">
        <v>2373238.6363636362</v>
      </c>
      <c r="AY135" s="17">
        <v>0</v>
      </c>
      <c r="AZ135" s="17">
        <v>0</v>
      </c>
      <c r="BA135" s="17">
        <v>0</v>
      </c>
      <c r="BB135" s="17">
        <v>0</v>
      </c>
      <c r="BC135" s="17">
        <f t="shared" si="94"/>
        <v>2373238.6363636362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20">
        <f>SUM(PlanIndicativo[[#This Row],[Ingresos Corrientes de Libre Destinación - ICLD (2022)]:[Otros   (2022)]])</f>
        <v>4746477.2727272725</v>
      </c>
      <c r="BJ135" s="17">
        <v>2373238.6363636362</v>
      </c>
      <c r="BK135" s="17">
        <v>0</v>
      </c>
      <c r="BL135" s="17">
        <v>0</v>
      </c>
      <c r="BM135" s="17">
        <v>0</v>
      </c>
      <c r="BN135" s="17">
        <v>0</v>
      </c>
      <c r="BO135" s="17">
        <f t="shared" si="95"/>
        <v>2373238.6363636362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21">
        <f>SUM(PlanIndicativo[[#This Row],[Ingresos Corrientes de Libre Destinación - ICLD (2023)]:[Otros (2023)]])</f>
        <v>4746477.2727272725</v>
      </c>
      <c r="BV135" s="21">
        <f>+PlanIndicativo[[#This Row],[Total (2020)]]+PlanIndicativo[[#This Row],[Total  (2021)]]+PlanIndicativo[[#This Row],[Total  (2022)]]+PlanIndicativo[[#This Row],[Total (2023)]]</f>
        <v>14239431.818181816</v>
      </c>
      <c r="BW135" s="22" t="s">
        <v>466</v>
      </c>
    </row>
    <row r="136" spans="1:75" ht="21" customHeight="1" x14ac:dyDescent="0.25">
      <c r="A136" s="7">
        <v>1</v>
      </c>
      <c r="B136" s="8" t="s">
        <v>75</v>
      </c>
      <c r="C136" s="7" t="s">
        <v>455</v>
      </c>
      <c r="D136" s="7" t="s">
        <v>456</v>
      </c>
      <c r="E136" s="7" t="s">
        <v>457</v>
      </c>
      <c r="F136" s="8" t="s">
        <v>458</v>
      </c>
      <c r="G136" s="7" t="s">
        <v>459</v>
      </c>
      <c r="H136" s="8" t="s">
        <v>460</v>
      </c>
      <c r="I136" s="9">
        <v>2301031</v>
      </c>
      <c r="J136" s="25" t="s">
        <v>476</v>
      </c>
      <c r="K136" s="25" t="s">
        <v>474</v>
      </c>
      <c r="L136" s="25" t="s">
        <v>463</v>
      </c>
      <c r="M136" s="25" t="s">
        <v>464</v>
      </c>
      <c r="N136" s="25" t="s">
        <v>86</v>
      </c>
      <c r="O136" s="25">
        <v>12</v>
      </c>
      <c r="P136" s="9">
        <v>230103100</v>
      </c>
      <c r="Q136" s="25" t="s">
        <v>477</v>
      </c>
      <c r="R136" s="12" t="s">
        <v>88</v>
      </c>
      <c r="S136" s="13" t="s">
        <v>93</v>
      </c>
      <c r="T136" s="14">
        <v>0</v>
      </c>
      <c r="U136" s="15">
        <v>100</v>
      </c>
      <c r="V136" s="30">
        <v>25</v>
      </c>
      <c r="W136" s="30">
        <v>25</v>
      </c>
      <c r="X136" s="30">
        <v>25</v>
      </c>
      <c r="Y136" s="30">
        <v>25</v>
      </c>
      <c r="Z136" s="17">
        <f>2373238.63636364*2</f>
        <v>4746477.2727272799</v>
      </c>
      <c r="AA136" s="17">
        <v>0</v>
      </c>
      <c r="AB136" s="17">
        <v>0</v>
      </c>
      <c r="AC136" s="17">
        <v>0</v>
      </c>
      <c r="AD136" s="17">
        <v>0</v>
      </c>
      <c r="AE136" s="17">
        <f>(52211250/2)/11*2</f>
        <v>4746477.2727272725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18">
        <f>SUM(PlanIndicativo[[#This Row],[Ingresos Corrientes de Libre Destinación - ICLD (2020)]:[Otros (2020)]])</f>
        <v>9492954.5454545524</v>
      </c>
      <c r="AL136" s="17">
        <v>2373238.6363636362</v>
      </c>
      <c r="AM136" s="17">
        <v>0</v>
      </c>
      <c r="AN136" s="17">
        <v>0</v>
      </c>
      <c r="AO136" s="17">
        <v>0</v>
      </c>
      <c r="AP136" s="17">
        <v>0</v>
      </c>
      <c r="AQ136" s="17">
        <f t="shared" si="93"/>
        <v>2373238.6363636362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  <c r="AW136" s="19">
        <f>SUM(PlanIndicativo[[#This Row],[Ingresos Corrientes de Libre Destinación - ICLD (2021)]:[Otros  (2021)]])</f>
        <v>4746477.2727272725</v>
      </c>
      <c r="AX136" s="17">
        <v>2373238.6363636362</v>
      </c>
      <c r="AY136" s="17">
        <v>0</v>
      </c>
      <c r="AZ136" s="17">
        <v>0</v>
      </c>
      <c r="BA136" s="17">
        <v>0</v>
      </c>
      <c r="BB136" s="17">
        <v>0</v>
      </c>
      <c r="BC136" s="17">
        <f t="shared" si="94"/>
        <v>2373238.6363636362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20">
        <f>SUM(PlanIndicativo[[#This Row],[Ingresos Corrientes de Libre Destinación - ICLD (2022)]:[Otros   (2022)]])</f>
        <v>4746477.2727272725</v>
      </c>
      <c r="BJ136" s="17">
        <v>2373238.6363636362</v>
      </c>
      <c r="BK136" s="17">
        <v>0</v>
      </c>
      <c r="BL136" s="17">
        <v>0</v>
      </c>
      <c r="BM136" s="17">
        <v>0</v>
      </c>
      <c r="BN136" s="17">
        <v>0</v>
      </c>
      <c r="BO136" s="17">
        <f t="shared" si="95"/>
        <v>2373238.6363636362</v>
      </c>
      <c r="BP136" s="17">
        <v>0</v>
      </c>
      <c r="BQ136" s="17">
        <v>0</v>
      </c>
      <c r="BR136" s="17">
        <v>0</v>
      </c>
      <c r="BS136" s="17">
        <v>0</v>
      </c>
      <c r="BT136" s="17">
        <v>0</v>
      </c>
      <c r="BU136" s="21">
        <f>SUM(PlanIndicativo[[#This Row],[Ingresos Corrientes de Libre Destinación - ICLD (2023)]:[Otros (2023)]])</f>
        <v>4746477.2727272725</v>
      </c>
      <c r="BV136" s="21">
        <f>+PlanIndicativo[[#This Row],[Total (2020)]]+PlanIndicativo[[#This Row],[Total  (2021)]]+PlanIndicativo[[#This Row],[Total  (2022)]]+PlanIndicativo[[#This Row],[Total (2023)]]</f>
        <v>23732386.363636371</v>
      </c>
      <c r="BW136" s="22" t="s">
        <v>466</v>
      </c>
    </row>
    <row r="137" spans="1:75" ht="21" customHeight="1" x14ac:dyDescent="0.25">
      <c r="A137" s="7">
        <v>1</v>
      </c>
      <c r="B137" s="8" t="s">
        <v>75</v>
      </c>
      <c r="C137" s="7" t="s">
        <v>455</v>
      </c>
      <c r="D137" s="7" t="s">
        <v>456</v>
      </c>
      <c r="E137" s="7" t="s">
        <v>457</v>
      </c>
      <c r="F137" s="8" t="s">
        <v>458</v>
      </c>
      <c r="G137" s="7" t="s">
        <v>459</v>
      </c>
      <c r="H137" s="8" t="s">
        <v>460</v>
      </c>
      <c r="I137" s="9">
        <v>2301062</v>
      </c>
      <c r="J137" s="25" t="s">
        <v>478</v>
      </c>
      <c r="K137" s="25" t="s">
        <v>474</v>
      </c>
      <c r="L137" s="25" t="s">
        <v>463</v>
      </c>
      <c r="M137" s="25" t="s">
        <v>464</v>
      </c>
      <c r="N137" s="25" t="s">
        <v>86</v>
      </c>
      <c r="O137" s="25">
        <v>15</v>
      </c>
      <c r="P137" s="9">
        <v>230106200</v>
      </c>
      <c r="Q137" s="25" t="s">
        <v>479</v>
      </c>
      <c r="R137" s="12" t="s">
        <v>88</v>
      </c>
      <c r="S137" s="13" t="s">
        <v>93</v>
      </c>
      <c r="T137" s="14">
        <v>0</v>
      </c>
      <c r="U137" s="15">
        <v>1200</v>
      </c>
      <c r="V137" s="30">
        <v>400</v>
      </c>
      <c r="W137" s="30">
        <v>400</v>
      </c>
      <c r="X137" s="30">
        <v>400</v>
      </c>
      <c r="Y137" s="30">
        <v>400</v>
      </c>
      <c r="Z137" s="17">
        <f>2373238.63636364*2</f>
        <v>4746477.2727272799</v>
      </c>
      <c r="AA137" s="17">
        <v>0</v>
      </c>
      <c r="AB137" s="17">
        <v>0</v>
      </c>
      <c r="AC137" s="17">
        <v>0</v>
      </c>
      <c r="AD137" s="17">
        <v>0</v>
      </c>
      <c r="AE137" s="17">
        <f>(52211250/2)/11*2</f>
        <v>4746477.2727272725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8">
        <f>SUM(PlanIndicativo[[#This Row],[Ingresos Corrientes de Libre Destinación - ICLD (2020)]:[Otros (2020)]])</f>
        <v>9492954.5454545524</v>
      </c>
      <c r="AL137" s="17">
        <v>2373238.6363636362</v>
      </c>
      <c r="AM137" s="17">
        <v>0</v>
      </c>
      <c r="AN137" s="17">
        <v>0</v>
      </c>
      <c r="AO137" s="17">
        <v>0</v>
      </c>
      <c r="AP137" s="17">
        <v>0</v>
      </c>
      <c r="AQ137" s="17">
        <f t="shared" si="93"/>
        <v>2373238.6363636362</v>
      </c>
      <c r="AR137" s="17">
        <v>0</v>
      </c>
      <c r="AS137" s="17">
        <v>0</v>
      </c>
      <c r="AT137" s="17">
        <v>0</v>
      </c>
      <c r="AU137" s="17">
        <v>0</v>
      </c>
      <c r="AV137" s="17">
        <v>0</v>
      </c>
      <c r="AW137" s="19">
        <f>SUM(PlanIndicativo[[#This Row],[Ingresos Corrientes de Libre Destinación - ICLD (2021)]:[Otros  (2021)]])</f>
        <v>4746477.2727272725</v>
      </c>
      <c r="AX137" s="17">
        <v>2373238.6363636362</v>
      </c>
      <c r="AY137" s="17">
        <v>0</v>
      </c>
      <c r="AZ137" s="17">
        <v>0</v>
      </c>
      <c r="BA137" s="17">
        <v>0</v>
      </c>
      <c r="BB137" s="17">
        <v>0</v>
      </c>
      <c r="BC137" s="17">
        <f t="shared" si="94"/>
        <v>2373238.6363636362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20">
        <f>SUM(PlanIndicativo[[#This Row],[Ingresos Corrientes de Libre Destinación - ICLD (2022)]:[Otros   (2022)]])</f>
        <v>4746477.2727272725</v>
      </c>
      <c r="BJ137" s="17">
        <v>2373238.6363636362</v>
      </c>
      <c r="BK137" s="17">
        <v>0</v>
      </c>
      <c r="BL137" s="17">
        <v>0</v>
      </c>
      <c r="BM137" s="17">
        <v>0</v>
      </c>
      <c r="BN137" s="17">
        <v>0</v>
      </c>
      <c r="BO137" s="17">
        <f t="shared" si="95"/>
        <v>2373238.6363636362</v>
      </c>
      <c r="BP137" s="17">
        <v>0</v>
      </c>
      <c r="BQ137" s="17">
        <v>0</v>
      </c>
      <c r="BR137" s="17">
        <v>0</v>
      </c>
      <c r="BS137" s="17">
        <v>0</v>
      </c>
      <c r="BT137" s="17">
        <v>0</v>
      </c>
      <c r="BU137" s="21">
        <f>SUM(PlanIndicativo[[#This Row],[Ingresos Corrientes de Libre Destinación - ICLD (2023)]:[Otros (2023)]])</f>
        <v>4746477.2727272725</v>
      </c>
      <c r="BV137" s="21">
        <f>+PlanIndicativo[[#This Row],[Total (2020)]]+PlanIndicativo[[#This Row],[Total  (2021)]]+PlanIndicativo[[#This Row],[Total  (2022)]]+PlanIndicativo[[#This Row],[Total (2023)]]</f>
        <v>23732386.363636371</v>
      </c>
      <c r="BW137" s="22" t="s">
        <v>466</v>
      </c>
    </row>
    <row r="138" spans="1:75" ht="21" customHeight="1" x14ac:dyDescent="0.25">
      <c r="A138" s="7">
        <v>2</v>
      </c>
      <c r="B138" s="8" t="s">
        <v>480</v>
      </c>
      <c r="C138" s="7" t="s">
        <v>481</v>
      </c>
      <c r="D138" s="7" t="s">
        <v>482</v>
      </c>
      <c r="E138" s="7" t="s">
        <v>483</v>
      </c>
      <c r="F138" s="8" t="s">
        <v>484</v>
      </c>
      <c r="G138" s="7" t="s">
        <v>485</v>
      </c>
      <c r="H138" s="8" t="s">
        <v>486</v>
      </c>
      <c r="I138" s="9">
        <v>1702010</v>
      </c>
      <c r="J138" s="25" t="s">
        <v>487</v>
      </c>
      <c r="K138" s="32" t="s">
        <v>488</v>
      </c>
      <c r="L138" s="25" t="s">
        <v>489</v>
      </c>
      <c r="M138" s="25" t="s">
        <v>243</v>
      </c>
      <c r="N138" s="25" t="s">
        <v>86</v>
      </c>
      <c r="O138" s="25"/>
      <c r="P138" s="9">
        <v>170201000</v>
      </c>
      <c r="Q138" s="25" t="s">
        <v>490</v>
      </c>
      <c r="R138" s="12" t="s">
        <v>88</v>
      </c>
      <c r="S138" s="13" t="s">
        <v>93</v>
      </c>
      <c r="T138" s="14">
        <v>0</v>
      </c>
      <c r="U138" s="15">
        <v>500</v>
      </c>
      <c r="V138" s="30">
        <v>125</v>
      </c>
      <c r="W138" s="30">
        <v>125</v>
      </c>
      <c r="X138" s="30">
        <v>125</v>
      </c>
      <c r="Y138" s="30">
        <v>125</v>
      </c>
      <c r="Z138" s="17">
        <v>2373238.6363636362</v>
      </c>
      <c r="AA138" s="17">
        <v>0</v>
      </c>
      <c r="AB138" s="17">
        <v>0</v>
      </c>
      <c r="AC138" s="17">
        <v>0</v>
      </c>
      <c r="AD138" s="17">
        <v>0</v>
      </c>
      <c r="AE138" s="17">
        <f t="shared" ref="AE138:AE149" si="96">158818408/18</f>
        <v>8823244.8888888881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8">
        <f>SUM(PlanIndicativo[[#This Row],[Ingresos Corrientes de Libre Destinación - ICLD (2020)]:[Otros (2020)]])</f>
        <v>11196483.525252525</v>
      </c>
      <c r="AL138" s="17">
        <v>2373238.6363636362</v>
      </c>
      <c r="AM138" s="17">
        <v>0</v>
      </c>
      <c r="AN138" s="17">
        <v>0</v>
      </c>
      <c r="AO138" s="17">
        <v>0</v>
      </c>
      <c r="AP138" s="17">
        <v>0</v>
      </c>
      <c r="AQ138" s="17">
        <f t="shared" ref="AQ138:AQ155" si="97">158818408/18</f>
        <v>8823244.8888888881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9">
        <f>SUM(PlanIndicativo[[#This Row],[Ingresos Corrientes de Libre Destinación - ICLD (2021)]:[Otros  (2021)]])</f>
        <v>11196483.525252525</v>
      </c>
      <c r="AX138" s="17">
        <v>2373238.6363636362</v>
      </c>
      <c r="AY138" s="17">
        <v>0</v>
      </c>
      <c r="AZ138" s="17">
        <v>0</v>
      </c>
      <c r="BA138" s="17">
        <v>0</v>
      </c>
      <c r="BB138" s="17">
        <v>0</v>
      </c>
      <c r="BC138" s="17">
        <f t="shared" ref="BC138:BC155" si="98">158818408/18</f>
        <v>8823244.8888888881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20">
        <f>SUM(PlanIndicativo[[#This Row],[Ingresos Corrientes de Libre Destinación - ICLD (2022)]:[Otros   (2022)]])</f>
        <v>11196483.525252525</v>
      </c>
      <c r="BJ138" s="17">
        <v>2373238.6363636362</v>
      </c>
      <c r="BK138" s="17">
        <v>0</v>
      </c>
      <c r="BL138" s="17">
        <v>0</v>
      </c>
      <c r="BM138" s="17">
        <v>0</v>
      </c>
      <c r="BN138" s="17">
        <v>0</v>
      </c>
      <c r="BO138" s="17">
        <f t="shared" ref="BO138:BO155" si="99">158818408/18</f>
        <v>8823244.8888888881</v>
      </c>
      <c r="BP138" s="17">
        <v>0</v>
      </c>
      <c r="BQ138" s="17">
        <v>0</v>
      </c>
      <c r="BR138" s="17">
        <v>0</v>
      </c>
      <c r="BS138" s="17">
        <v>0</v>
      </c>
      <c r="BT138" s="17">
        <v>0</v>
      </c>
      <c r="BU138" s="21">
        <f>SUM(PlanIndicativo[[#This Row],[Ingresos Corrientes de Libre Destinación - ICLD (2023)]:[Otros (2023)]])</f>
        <v>11196483.525252525</v>
      </c>
      <c r="BV138" s="21">
        <f>+PlanIndicativo[[#This Row],[Total (2020)]]+PlanIndicativo[[#This Row],[Total  (2021)]]+PlanIndicativo[[#This Row],[Total  (2022)]]+PlanIndicativo[[#This Row],[Total (2023)]]</f>
        <v>44785934.101010099</v>
      </c>
      <c r="BW138" s="22" t="s">
        <v>442</v>
      </c>
    </row>
    <row r="139" spans="1:75" ht="21" customHeight="1" x14ac:dyDescent="0.25">
      <c r="A139" s="7">
        <v>2</v>
      </c>
      <c r="B139" s="8" t="s">
        <v>480</v>
      </c>
      <c r="C139" s="7" t="s">
        <v>481</v>
      </c>
      <c r="D139" s="7" t="s">
        <v>482</v>
      </c>
      <c r="E139" s="7" t="s">
        <v>483</v>
      </c>
      <c r="F139" s="8" t="s">
        <v>484</v>
      </c>
      <c r="G139" s="7" t="s">
        <v>485</v>
      </c>
      <c r="H139" s="8" t="s">
        <v>486</v>
      </c>
      <c r="I139" s="9">
        <v>1702016</v>
      </c>
      <c r="J139" s="25" t="s">
        <v>491</v>
      </c>
      <c r="K139" s="32" t="s">
        <v>488</v>
      </c>
      <c r="L139" s="25" t="s">
        <v>489</v>
      </c>
      <c r="M139" s="25" t="s">
        <v>243</v>
      </c>
      <c r="N139" s="25" t="s">
        <v>86</v>
      </c>
      <c r="O139" s="25"/>
      <c r="P139" s="9">
        <v>170201600</v>
      </c>
      <c r="Q139" s="25" t="s">
        <v>492</v>
      </c>
      <c r="R139" s="12" t="s">
        <v>88</v>
      </c>
      <c r="S139" s="13" t="s">
        <v>93</v>
      </c>
      <c r="T139" s="14">
        <v>0</v>
      </c>
      <c r="U139" s="15">
        <v>4</v>
      </c>
      <c r="V139" s="30">
        <v>1</v>
      </c>
      <c r="W139" s="30">
        <v>1</v>
      </c>
      <c r="X139" s="30">
        <v>1</v>
      </c>
      <c r="Y139" s="30">
        <v>1</v>
      </c>
      <c r="Z139" s="17">
        <v>2373238.6363636362</v>
      </c>
      <c r="AA139" s="17">
        <v>0</v>
      </c>
      <c r="AB139" s="17">
        <v>0</v>
      </c>
      <c r="AC139" s="17">
        <v>0</v>
      </c>
      <c r="AD139" s="17">
        <v>0</v>
      </c>
      <c r="AE139" s="17">
        <f t="shared" si="96"/>
        <v>8823244.8888888881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8">
        <f>SUM(PlanIndicativo[[#This Row],[Ingresos Corrientes de Libre Destinación - ICLD (2020)]:[Otros (2020)]])</f>
        <v>11196483.525252525</v>
      </c>
      <c r="AL139" s="17">
        <v>2373238.6363636362</v>
      </c>
      <c r="AM139" s="17">
        <v>0</v>
      </c>
      <c r="AN139" s="17">
        <v>0</v>
      </c>
      <c r="AO139" s="17">
        <v>0</v>
      </c>
      <c r="AP139" s="17">
        <v>0</v>
      </c>
      <c r="AQ139" s="17">
        <f t="shared" si="97"/>
        <v>8823244.8888888881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9">
        <f>SUM(PlanIndicativo[[#This Row],[Ingresos Corrientes de Libre Destinación - ICLD (2021)]:[Otros  (2021)]])</f>
        <v>11196483.525252525</v>
      </c>
      <c r="AX139" s="17">
        <v>2373238.6363636362</v>
      </c>
      <c r="AY139" s="17">
        <v>0</v>
      </c>
      <c r="AZ139" s="17">
        <v>0</v>
      </c>
      <c r="BA139" s="17">
        <v>0</v>
      </c>
      <c r="BB139" s="17">
        <v>0</v>
      </c>
      <c r="BC139" s="17">
        <f t="shared" si="98"/>
        <v>8823244.8888888881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20">
        <f>SUM(PlanIndicativo[[#This Row],[Ingresos Corrientes de Libre Destinación - ICLD (2022)]:[Otros   (2022)]])</f>
        <v>11196483.525252525</v>
      </c>
      <c r="BJ139" s="17">
        <v>2373238.6363636362</v>
      </c>
      <c r="BK139" s="17">
        <v>0</v>
      </c>
      <c r="BL139" s="17">
        <v>0</v>
      </c>
      <c r="BM139" s="17">
        <v>0</v>
      </c>
      <c r="BN139" s="17">
        <v>0</v>
      </c>
      <c r="BO139" s="17">
        <f t="shared" si="99"/>
        <v>8823244.8888888881</v>
      </c>
      <c r="BP139" s="17">
        <v>0</v>
      </c>
      <c r="BQ139" s="17">
        <v>0</v>
      </c>
      <c r="BR139" s="17">
        <v>0</v>
      </c>
      <c r="BS139" s="17">
        <v>0</v>
      </c>
      <c r="BT139" s="17">
        <v>0</v>
      </c>
      <c r="BU139" s="21">
        <f>SUM(PlanIndicativo[[#This Row],[Ingresos Corrientes de Libre Destinación - ICLD (2023)]:[Otros (2023)]])</f>
        <v>11196483.525252525</v>
      </c>
      <c r="BV139" s="21">
        <f>+PlanIndicativo[[#This Row],[Total (2020)]]+PlanIndicativo[[#This Row],[Total  (2021)]]+PlanIndicativo[[#This Row],[Total  (2022)]]+PlanIndicativo[[#This Row],[Total (2023)]]</f>
        <v>44785934.101010099</v>
      </c>
      <c r="BW139" s="22" t="s">
        <v>442</v>
      </c>
    </row>
    <row r="140" spans="1:75" ht="21" customHeight="1" x14ac:dyDescent="0.25">
      <c r="A140" s="7">
        <v>2</v>
      </c>
      <c r="B140" s="8" t="s">
        <v>480</v>
      </c>
      <c r="C140" s="7" t="s">
        <v>481</v>
      </c>
      <c r="D140" s="7" t="s">
        <v>482</v>
      </c>
      <c r="E140" s="7" t="s">
        <v>483</v>
      </c>
      <c r="F140" s="8" t="s">
        <v>484</v>
      </c>
      <c r="G140" s="7" t="s">
        <v>485</v>
      </c>
      <c r="H140" s="8" t="s">
        <v>486</v>
      </c>
      <c r="I140" s="9">
        <v>1702017</v>
      </c>
      <c r="J140" s="25" t="s">
        <v>493</v>
      </c>
      <c r="K140" s="32" t="s">
        <v>488</v>
      </c>
      <c r="L140" s="25" t="s">
        <v>489</v>
      </c>
      <c r="M140" s="25" t="s">
        <v>243</v>
      </c>
      <c r="N140" s="25" t="s">
        <v>86</v>
      </c>
      <c r="O140" s="25"/>
      <c r="P140" s="9">
        <v>170201700</v>
      </c>
      <c r="Q140" s="25" t="s">
        <v>494</v>
      </c>
      <c r="R140" s="12" t="s">
        <v>88</v>
      </c>
      <c r="S140" s="13" t="s">
        <v>93</v>
      </c>
      <c r="T140" s="14">
        <v>0</v>
      </c>
      <c r="U140" s="15">
        <v>200</v>
      </c>
      <c r="V140" s="30">
        <v>50</v>
      </c>
      <c r="W140" s="30">
        <v>50</v>
      </c>
      <c r="X140" s="30">
        <v>50</v>
      </c>
      <c r="Y140" s="30">
        <v>50</v>
      </c>
      <c r="Z140" s="17">
        <v>2373238.6363636362</v>
      </c>
      <c r="AA140" s="17">
        <v>0</v>
      </c>
      <c r="AB140" s="17">
        <v>0</v>
      </c>
      <c r="AC140" s="17">
        <v>0</v>
      </c>
      <c r="AD140" s="17">
        <v>0</v>
      </c>
      <c r="AE140" s="17">
        <f t="shared" si="96"/>
        <v>8823244.8888888881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8">
        <f>SUM(PlanIndicativo[[#This Row],[Ingresos Corrientes de Libre Destinación - ICLD (2020)]:[Otros (2020)]])</f>
        <v>11196483.525252525</v>
      </c>
      <c r="AL140" s="17">
        <v>2373238.6363636362</v>
      </c>
      <c r="AM140" s="17">
        <v>0</v>
      </c>
      <c r="AN140" s="17">
        <v>0</v>
      </c>
      <c r="AO140" s="17">
        <v>0</v>
      </c>
      <c r="AP140" s="17">
        <v>0</v>
      </c>
      <c r="AQ140" s="17">
        <f t="shared" si="97"/>
        <v>8823244.8888888881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9">
        <f>SUM(PlanIndicativo[[#This Row],[Ingresos Corrientes de Libre Destinación - ICLD (2021)]:[Otros  (2021)]])</f>
        <v>11196483.525252525</v>
      </c>
      <c r="AX140" s="17">
        <v>2373238.6363636362</v>
      </c>
      <c r="AY140" s="17">
        <v>0</v>
      </c>
      <c r="AZ140" s="17">
        <v>0</v>
      </c>
      <c r="BA140" s="17">
        <v>0</v>
      </c>
      <c r="BB140" s="17">
        <v>0</v>
      </c>
      <c r="BC140" s="17">
        <f t="shared" si="98"/>
        <v>8823244.8888888881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20">
        <f>SUM(PlanIndicativo[[#This Row],[Ingresos Corrientes de Libre Destinación - ICLD (2022)]:[Otros   (2022)]])</f>
        <v>11196483.525252525</v>
      </c>
      <c r="BJ140" s="17">
        <v>2373238.6363636362</v>
      </c>
      <c r="BK140" s="17">
        <v>0</v>
      </c>
      <c r="BL140" s="17">
        <v>0</v>
      </c>
      <c r="BM140" s="17">
        <v>0</v>
      </c>
      <c r="BN140" s="17">
        <v>0</v>
      </c>
      <c r="BO140" s="17">
        <f t="shared" si="99"/>
        <v>8823244.8888888881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21">
        <f>SUM(PlanIndicativo[[#This Row],[Ingresos Corrientes de Libre Destinación - ICLD (2023)]:[Otros (2023)]])</f>
        <v>11196483.525252525</v>
      </c>
      <c r="BV140" s="21">
        <f>+PlanIndicativo[[#This Row],[Total (2020)]]+PlanIndicativo[[#This Row],[Total  (2021)]]+PlanIndicativo[[#This Row],[Total  (2022)]]+PlanIndicativo[[#This Row],[Total (2023)]]</f>
        <v>44785934.101010099</v>
      </c>
      <c r="BW140" s="22" t="s">
        <v>442</v>
      </c>
    </row>
    <row r="141" spans="1:75" ht="21" customHeight="1" x14ac:dyDescent="0.25">
      <c r="A141" s="7">
        <v>2</v>
      </c>
      <c r="B141" s="8" t="s">
        <v>480</v>
      </c>
      <c r="C141" s="7" t="s">
        <v>481</v>
      </c>
      <c r="D141" s="7" t="s">
        <v>482</v>
      </c>
      <c r="E141" s="7" t="s">
        <v>483</v>
      </c>
      <c r="F141" s="8" t="s">
        <v>484</v>
      </c>
      <c r="G141" s="7" t="s">
        <v>485</v>
      </c>
      <c r="H141" s="8" t="s">
        <v>486</v>
      </c>
      <c r="I141" s="9">
        <v>1702021</v>
      </c>
      <c r="J141" s="25" t="s">
        <v>495</v>
      </c>
      <c r="K141" s="32" t="s">
        <v>496</v>
      </c>
      <c r="L141" s="25" t="s">
        <v>489</v>
      </c>
      <c r="M141" s="25" t="s">
        <v>243</v>
      </c>
      <c r="N141" s="25" t="s">
        <v>86</v>
      </c>
      <c r="O141" s="25"/>
      <c r="P141" s="9">
        <v>170202100</v>
      </c>
      <c r="Q141" s="25" t="s">
        <v>497</v>
      </c>
      <c r="R141" s="12" t="s">
        <v>88</v>
      </c>
      <c r="S141" s="13" t="s">
        <v>93</v>
      </c>
      <c r="T141" s="14">
        <v>0</v>
      </c>
      <c r="U141" s="15">
        <v>80</v>
      </c>
      <c r="V141" s="30">
        <v>40</v>
      </c>
      <c r="W141" s="30">
        <v>40</v>
      </c>
      <c r="X141" s="30">
        <v>40</v>
      </c>
      <c r="Y141" s="30">
        <v>40</v>
      </c>
      <c r="Z141" s="17">
        <v>2373238.6363636362</v>
      </c>
      <c r="AA141" s="17">
        <v>0</v>
      </c>
      <c r="AB141" s="17">
        <v>0</v>
      </c>
      <c r="AC141" s="17">
        <v>0</v>
      </c>
      <c r="AD141" s="17">
        <v>0</v>
      </c>
      <c r="AE141" s="17">
        <f t="shared" si="96"/>
        <v>8823244.8888888881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8">
        <f>SUM(PlanIndicativo[[#This Row],[Ingresos Corrientes de Libre Destinación - ICLD (2020)]:[Otros (2020)]])</f>
        <v>11196483.525252525</v>
      </c>
      <c r="AL141" s="17">
        <v>2373238.6363636362</v>
      </c>
      <c r="AM141" s="17">
        <v>0</v>
      </c>
      <c r="AN141" s="17">
        <v>0</v>
      </c>
      <c r="AO141" s="17">
        <v>0</v>
      </c>
      <c r="AP141" s="17">
        <v>0</v>
      </c>
      <c r="AQ141" s="17">
        <f t="shared" si="97"/>
        <v>8823244.8888888881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9">
        <f>SUM(PlanIndicativo[[#This Row],[Ingresos Corrientes de Libre Destinación - ICLD (2021)]:[Otros  (2021)]])</f>
        <v>11196483.525252525</v>
      </c>
      <c r="AX141" s="17">
        <v>2373238.6363636362</v>
      </c>
      <c r="AY141" s="17">
        <v>0</v>
      </c>
      <c r="AZ141" s="17">
        <v>0</v>
      </c>
      <c r="BA141" s="17">
        <v>0</v>
      </c>
      <c r="BB141" s="17">
        <v>0</v>
      </c>
      <c r="BC141" s="17">
        <f t="shared" si="98"/>
        <v>8823244.8888888881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20">
        <f>SUM(PlanIndicativo[[#This Row],[Ingresos Corrientes de Libre Destinación - ICLD (2022)]:[Otros   (2022)]])</f>
        <v>11196483.525252525</v>
      </c>
      <c r="BJ141" s="17">
        <v>2373238.6363636362</v>
      </c>
      <c r="BK141" s="17">
        <v>0</v>
      </c>
      <c r="BL141" s="17">
        <v>0</v>
      </c>
      <c r="BM141" s="17">
        <v>0</v>
      </c>
      <c r="BN141" s="17">
        <v>0</v>
      </c>
      <c r="BO141" s="17">
        <f t="shared" si="99"/>
        <v>8823244.8888888881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21">
        <f>SUM(PlanIndicativo[[#This Row],[Ingresos Corrientes de Libre Destinación - ICLD (2023)]:[Otros (2023)]])</f>
        <v>11196483.525252525</v>
      </c>
      <c r="BV141" s="21">
        <f>+PlanIndicativo[[#This Row],[Total (2020)]]+PlanIndicativo[[#This Row],[Total  (2021)]]+PlanIndicativo[[#This Row],[Total  (2022)]]+PlanIndicativo[[#This Row],[Total (2023)]]</f>
        <v>44785934.101010099</v>
      </c>
      <c r="BW141" s="22" t="s">
        <v>442</v>
      </c>
    </row>
    <row r="142" spans="1:75" ht="21" customHeight="1" x14ac:dyDescent="0.25">
      <c r="A142" s="7">
        <v>2</v>
      </c>
      <c r="B142" s="8" t="s">
        <v>480</v>
      </c>
      <c r="C142" s="7" t="s">
        <v>481</v>
      </c>
      <c r="D142" s="7" t="s">
        <v>482</v>
      </c>
      <c r="E142" s="7" t="s">
        <v>483</v>
      </c>
      <c r="F142" s="8" t="s">
        <v>484</v>
      </c>
      <c r="G142" s="7" t="s">
        <v>485</v>
      </c>
      <c r="H142" s="8" t="s">
        <v>486</v>
      </c>
      <c r="I142" s="9">
        <v>1702025</v>
      </c>
      <c r="J142" s="25" t="s">
        <v>498</v>
      </c>
      <c r="K142" s="32" t="s">
        <v>496</v>
      </c>
      <c r="L142" s="25" t="s">
        <v>489</v>
      </c>
      <c r="M142" s="25" t="s">
        <v>243</v>
      </c>
      <c r="N142" s="25" t="s">
        <v>86</v>
      </c>
      <c r="O142" s="25"/>
      <c r="P142" s="9">
        <v>170202500</v>
      </c>
      <c r="Q142" s="25" t="s">
        <v>499</v>
      </c>
      <c r="R142" s="12" t="s">
        <v>88</v>
      </c>
      <c r="S142" s="13" t="s">
        <v>93</v>
      </c>
      <c r="T142" s="14">
        <v>0</v>
      </c>
      <c r="U142" s="15">
        <v>6</v>
      </c>
      <c r="V142" s="30">
        <v>1</v>
      </c>
      <c r="W142" s="30">
        <v>2</v>
      </c>
      <c r="X142" s="30">
        <v>2</v>
      </c>
      <c r="Y142" s="30">
        <v>1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f t="shared" si="96"/>
        <v>8823244.8888888881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8">
        <f>SUM(PlanIndicativo[[#This Row],[Ingresos Corrientes de Libre Destinación - ICLD (2020)]:[Otros (2020)]])</f>
        <v>8823244.8888888881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f t="shared" si="97"/>
        <v>8823244.8888888881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9">
        <f>SUM(PlanIndicativo[[#This Row],[Ingresos Corrientes de Libre Destinación - ICLD (2021)]:[Otros  (2021)]])</f>
        <v>8823244.8888888881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f t="shared" si="98"/>
        <v>8823244.8888888881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20">
        <f>SUM(PlanIndicativo[[#This Row],[Ingresos Corrientes de Libre Destinación - ICLD (2022)]:[Otros   (2022)]])</f>
        <v>8823244.8888888881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f t="shared" si="99"/>
        <v>8823244.8888888881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21">
        <f>SUM(PlanIndicativo[[#This Row],[Ingresos Corrientes de Libre Destinación - ICLD (2023)]:[Otros (2023)]])</f>
        <v>8823244.8888888881</v>
      </c>
      <c r="BV142" s="21">
        <f>+PlanIndicativo[[#This Row],[Total (2020)]]+PlanIndicativo[[#This Row],[Total  (2021)]]+PlanIndicativo[[#This Row],[Total  (2022)]]+PlanIndicativo[[#This Row],[Total (2023)]]</f>
        <v>35292979.555555552</v>
      </c>
      <c r="BW142" s="22" t="s">
        <v>442</v>
      </c>
    </row>
    <row r="143" spans="1:75" ht="21" customHeight="1" x14ac:dyDescent="0.25">
      <c r="A143" s="7">
        <v>2</v>
      </c>
      <c r="B143" s="8" t="s">
        <v>480</v>
      </c>
      <c r="C143" s="7" t="s">
        <v>481</v>
      </c>
      <c r="D143" s="7" t="s">
        <v>482</v>
      </c>
      <c r="E143" s="7" t="s">
        <v>483</v>
      </c>
      <c r="F143" s="8" t="s">
        <v>484</v>
      </c>
      <c r="G143" s="7" t="s">
        <v>485</v>
      </c>
      <c r="H143" s="8" t="s">
        <v>486</v>
      </c>
      <c r="I143" s="9">
        <v>1702026</v>
      </c>
      <c r="J143" s="25" t="s">
        <v>500</v>
      </c>
      <c r="K143" s="32" t="s">
        <v>496</v>
      </c>
      <c r="L143" s="25" t="s">
        <v>489</v>
      </c>
      <c r="M143" s="25" t="s">
        <v>243</v>
      </c>
      <c r="N143" s="25" t="s">
        <v>86</v>
      </c>
      <c r="O143" s="25"/>
      <c r="P143" s="9">
        <v>170202600</v>
      </c>
      <c r="Q143" s="25" t="s">
        <v>501</v>
      </c>
      <c r="R143" s="12" t="s">
        <v>88</v>
      </c>
      <c r="S143" s="13" t="s">
        <v>93</v>
      </c>
      <c r="T143" s="14">
        <v>0</v>
      </c>
      <c r="U143" s="15">
        <v>4</v>
      </c>
      <c r="V143" s="30">
        <v>1</v>
      </c>
      <c r="W143" s="30">
        <v>1</v>
      </c>
      <c r="X143" s="30">
        <v>1</v>
      </c>
      <c r="Y143" s="30">
        <v>1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f t="shared" si="96"/>
        <v>8823244.8888888881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8">
        <f>SUM(PlanIndicativo[[#This Row],[Ingresos Corrientes de Libre Destinación - ICLD (2020)]:[Otros (2020)]])</f>
        <v>8823244.8888888881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f t="shared" si="97"/>
        <v>8823244.8888888881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9">
        <f>SUM(PlanIndicativo[[#This Row],[Ingresos Corrientes de Libre Destinación - ICLD (2021)]:[Otros  (2021)]])</f>
        <v>8823244.8888888881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f t="shared" si="98"/>
        <v>8823244.8888888881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20">
        <f>SUM(PlanIndicativo[[#This Row],[Ingresos Corrientes de Libre Destinación - ICLD (2022)]:[Otros   (2022)]])</f>
        <v>8823244.8888888881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f t="shared" si="99"/>
        <v>8823244.8888888881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21">
        <f>SUM(PlanIndicativo[[#This Row],[Ingresos Corrientes de Libre Destinación - ICLD (2023)]:[Otros (2023)]])</f>
        <v>8823244.8888888881</v>
      </c>
      <c r="BV143" s="21">
        <f>+PlanIndicativo[[#This Row],[Total (2020)]]+PlanIndicativo[[#This Row],[Total  (2021)]]+PlanIndicativo[[#This Row],[Total  (2022)]]+PlanIndicativo[[#This Row],[Total (2023)]]</f>
        <v>35292979.555555552</v>
      </c>
      <c r="BW143" s="22" t="s">
        <v>442</v>
      </c>
    </row>
    <row r="144" spans="1:75" ht="21" customHeight="1" x14ac:dyDescent="0.25">
      <c r="A144" s="7">
        <v>2</v>
      </c>
      <c r="B144" s="8" t="s">
        <v>480</v>
      </c>
      <c r="C144" s="7" t="s">
        <v>481</v>
      </c>
      <c r="D144" s="7" t="s">
        <v>482</v>
      </c>
      <c r="E144" s="7" t="s">
        <v>483</v>
      </c>
      <c r="F144" s="8" t="s">
        <v>484</v>
      </c>
      <c r="G144" s="7" t="s">
        <v>485</v>
      </c>
      <c r="H144" s="8" t="s">
        <v>486</v>
      </c>
      <c r="I144" s="7">
        <v>1705012</v>
      </c>
      <c r="J144" s="25" t="s">
        <v>502</v>
      </c>
      <c r="K144" s="32" t="s">
        <v>496</v>
      </c>
      <c r="L144" s="25" t="s">
        <v>489</v>
      </c>
      <c r="M144" s="25" t="s">
        <v>243</v>
      </c>
      <c r="N144" s="25" t="s">
        <v>86</v>
      </c>
      <c r="O144" s="25"/>
      <c r="P144" s="33">
        <v>170501200</v>
      </c>
      <c r="Q144" s="25" t="s">
        <v>503</v>
      </c>
      <c r="R144" s="12" t="s">
        <v>88</v>
      </c>
      <c r="S144" s="13" t="s">
        <v>93</v>
      </c>
      <c r="T144" s="14">
        <v>0</v>
      </c>
      <c r="U144" s="15">
        <v>4</v>
      </c>
      <c r="V144" s="30">
        <v>1</v>
      </c>
      <c r="W144" s="30">
        <v>1</v>
      </c>
      <c r="X144" s="30">
        <v>1</v>
      </c>
      <c r="Y144" s="30">
        <v>1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f t="shared" si="96"/>
        <v>8823244.8888888881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8">
        <f>SUM(PlanIndicativo[[#This Row],[Ingresos Corrientes de Libre Destinación - ICLD (2020)]:[Otros (2020)]])</f>
        <v>8823244.8888888881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f t="shared" si="97"/>
        <v>8823244.8888888881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9">
        <f>SUM(PlanIndicativo[[#This Row],[Ingresos Corrientes de Libre Destinación - ICLD (2021)]:[Otros  (2021)]])</f>
        <v>8823244.8888888881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f t="shared" si="98"/>
        <v>8823244.8888888881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20">
        <f>SUM(PlanIndicativo[[#This Row],[Ingresos Corrientes de Libre Destinación - ICLD (2022)]:[Otros   (2022)]])</f>
        <v>8823244.8888888881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f t="shared" si="99"/>
        <v>8823244.8888888881</v>
      </c>
      <c r="BP144" s="17">
        <v>0</v>
      </c>
      <c r="BQ144" s="17">
        <v>0</v>
      </c>
      <c r="BR144" s="17">
        <v>0</v>
      </c>
      <c r="BS144" s="17">
        <v>0</v>
      </c>
      <c r="BT144" s="17">
        <v>0</v>
      </c>
      <c r="BU144" s="21">
        <f>SUM(PlanIndicativo[[#This Row],[Ingresos Corrientes de Libre Destinación - ICLD (2023)]:[Otros (2023)]])</f>
        <v>8823244.8888888881</v>
      </c>
      <c r="BV144" s="21">
        <f>+PlanIndicativo[[#This Row],[Total (2020)]]+PlanIndicativo[[#This Row],[Total  (2021)]]+PlanIndicativo[[#This Row],[Total  (2022)]]+PlanIndicativo[[#This Row],[Total (2023)]]</f>
        <v>35292979.555555552</v>
      </c>
      <c r="BW144" s="22" t="s">
        <v>442</v>
      </c>
    </row>
    <row r="145" spans="1:75" ht="21" customHeight="1" x14ac:dyDescent="0.25">
      <c r="A145" s="7">
        <v>2</v>
      </c>
      <c r="B145" s="8" t="s">
        <v>480</v>
      </c>
      <c r="C145" s="7" t="s">
        <v>481</v>
      </c>
      <c r="D145" s="7" t="s">
        <v>482</v>
      </c>
      <c r="E145" s="7" t="s">
        <v>483</v>
      </c>
      <c r="F145" s="8" t="s">
        <v>484</v>
      </c>
      <c r="G145" s="7" t="s">
        <v>485</v>
      </c>
      <c r="H145" s="8" t="s">
        <v>486</v>
      </c>
      <c r="I145" s="7">
        <v>1705014</v>
      </c>
      <c r="J145" s="25" t="s">
        <v>504</v>
      </c>
      <c r="K145" s="32" t="s">
        <v>496</v>
      </c>
      <c r="L145" s="25" t="s">
        <v>489</v>
      </c>
      <c r="M145" s="25" t="s">
        <v>243</v>
      </c>
      <c r="N145" s="25" t="s">
        <v>86</v>
      </c>
      <c r="O145" s="25"/>
      <c r="P145" s="33">
        <v>170501400</v>
      </c>
      <c r="Q145" s="25" t="s">
        <v>505</v>
      </c>
      <c r="R145" s="12" t="s">
        <v>88</v>
      </c>
      <c r="S145" s="13" t="s">
        <v>93</v>
      </c>
      <c r="T145" s="14">
        <v>0</v>
      </c>
      <c r="U145" s="15">
        <v>25</v>
      </c>
      <c r="V145" s="30">
        <v>6</v>
      </c>
      <c r="W145" s="30">
        <v>6</v>
      </c>
      <c r="X145" s="30">
        <v>6</v>
      </c>
      <c r="Y145" s="30">
        <v>7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f t="shared" si="96"/>
        <v>8823244.8888888881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8">
        <f>SUM(PlanIndicativo[[#This Row],[Ingresos Corrientes de Libre Destinación - ICLD (2020)]:[Otros (2020)]])</f>
        <v>8823244.8888888881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f t="shared" si="97"/>
        <v>8823244.8888888881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9">
        <f>SUM(PlanIndicativo[[#This Row],[Ingresos Corrientes de Libre Destinación - ICLD (2021)]:[Otros  (2021)]])</f>
        <v>8823244.8888888881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f t="shared" si="98"/>
        <v>8823244.8888888881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20">
        <f>SUM(PlanIndicativo[[#This Row],[Ingresos Corrientes de Libre Destinación - ICLD (2022)]:[Otros   (2022)]])</f>
        <v>8823244.8888888881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f t="shared" si="99"/>
        <v>8823244.8888888881</v>
      </c>
      <c r="BP145" s="17">
        <v>0</v>
      </c>
      <c r="BQ145" s="17">
        <v>0</v>
      </c>
      <c r="BR145" s="17">
        <v>0</v>
      </c>
      <c r="BS145" s="17">
        <v>0</v>
      </c>
      <c r="BT145" s="17">
        <v>0</v>
      </c>
      <c r="BU145" s="21">
        <f>SUM(PlanIndicativo[[#This Row],[Ingresos Corrientes de Libre Destinación - ICLD (2023)]:[Otros (2023)]])</f>
        <v>8823244.8888888881</v>
      </c>
      <c r="BV145" s="21">
        <f>+PlanIndicativo[[#This Row],[Total (2020)]]+PlanIndicativo[[#This Row],[Total  (2021)]]+PlanIndicativo[[#This Row],[Total  (2022)]]+PlanIndicativo[[#This Row],[Total (2023)]]</f>
        <v>35292979.555555552</v>
      </c>
      <c r="BW145" s="22" t="s">
        <v>442</v>
      </c>
    </row>
    <row r="146" spans="1:75" ht="21" customHeight="1" x14ac:dyDescent="0.25">
      <c r="A146" s="7">
        <v>2</v>
      </c>
      <c r="B146" s="8" t="s">
        <v>480</v>
      </c>
      <c r="C146" s="7" t="s">
        <v>481</v>
      </c>
      <c r="D146" s="7" t="s">
        <v>482</v>
      </c>
      <c r="E146" s="7" t="s">
        <v>483</v>
      </c>
      <c r="F146" s="8" t="s">
        <v>484</v>
      </c>
      <c r="G146" s="7" t="s">
        <v>485</v>
      </c>
      <c r="H146" s="8" t="s">
        <v>486</v>
      </c>
      <c r="I146" s="7">
        <v>1707019</v>
      </c>
      <c r="J146" s="25" t="s">
        <v>506</v>
      </c>
      <c r="K146" s="32" t="s">
        <v>488</v>
      </c>
      <c r="L146" s="25" t="s">
        <v>489</v>
      </c>
      <c r="M146" s="25" t="s">
        <v>243</v>
      </c>
      <c r="N146" s="25" t="s">
        <v>86</v>
      </c>
      <c r="O146" s="25"/>
      <c r="P146" s="33">
        <v>170701900</v>
      </c>
      <c r="Q146" s="25" t="s">
        <v>507</v>
      </c>
      <c r="R146" s="31" t="s">
        <v>88</v>
      </c>
      <c r="S146" s="13" t="s">
        <v>93</v>
      </c>
      <c r="T146" s="36">
        <v>0</v>
      </c>
      <c r="U146" s="37">
        <v>200</v>
      </c>
      <c r="V146" s="38">
        <v>50</v>
      </c>
      <c r="W146" s="38">
        <v>50</v>
      </c>
      <c r="X146" s="38">
        <v>50</v>
      </c>
      <c r="Y146" s="38">
        <v>50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f t="shared" si="96"/>
        <v>8823244.8888888881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8">
        <f>SUM(PlanIndicativo[[#This Row],[Ingresos Corrientes de Libre Destinación - ICLD (2020)]:[Otros (2020)]])</f>
        <v>8823244.8888888881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f t="shared" si="97"/>
        <v>8823244.8888888881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9">
        <f>SUM(PlanIndicativo[[#This Row],[Ingresos Corrientes de Libre Destinación - ICLD (2021)]:[Otros  (2021)]])</f>
        <v>8823244.8888888881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f t="shared" si="98"/>
        <v>8823244.8888888881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20">
        <f>SUM(PlanIndicativo[[#This Row],[Ingresos Corrientes de Libre Destinación - ICLD (2022)]:[Otros   (2022)]])</f>
        <v>8823244.8888888881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f t="shared" si="99"/>
        <v>8823244.8888888881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f>SUM(PlanIndicativo[[#This Row],[Ingresos Corrientes de Libre Destinación - ICLD (2023)]:[Otros (2023)]])</f>
        <v>8823244.8888888881</v>
      </c>
      <c r="BV146" s="21">
        <f>+PlanIndicativo[[#This Row],[Total (2020)]]+PlanIndicativo[[#This Row],[Total  (2021)]]+PlanIndicativo[[#This Row],[Total  (2022)]]+PlanIndicativo[[#This Row],[Total (2023)]]</f>
        <v>35292979.555555552</v>
      </c>
      <c r="BW146" s="22" t="s">
        <v>442</v>
      </c>
    </row>
    <row r="147" spans="1:75" ht="21" customHeight="1" x14ac:dyDescent="0.25">
      <c r="A147" s="7">
        <v>2</v>
      </c>
      <c r="B147" s="8" t="s">
        <v>480</v>
      </c>
      <c r="C147" s="7" t="s">
        <v>481</v>
      </c>
      <c r="D147" s="7" t="s">
        <v>482</v>
      </c>
      <c r="E147" s="7" t="s">
        <v>483</v>
      </c>
      <c r="F147" s="8" t="s">
        <v>484</v>
      </c>
      <c r="G147" s="7" t="s">
        <v>485</v>
      </c>
      <c r="H147" s="8" t="s">
        <v>486</v>
      </c>
      <c r="I147" s="7">
        <v>1707042</v>
      </c>
      <c r="J147" s="25" t="s">
        <v>508</v>
      </c>
      <c r="K147" s="32" t="s">
        <v>488</v>
      </c>
      <c r="L147" s="25" t="s">
        <v>489</v>
      </c>
      <c r="M147" s="25" t="s">
        <v>243</v>
      </c>
      <c r="N147" s="25" t="s">
        <v>86</v>
      </c>
      <c r="O147" s="25"/>
      <c r="P147" s="33">
        <v>170704200</v>
      </c>
      <c r="Q147" s="25" t="s">
        <v>509</v>
      </c>
      <c r="R147" s="31" t="s">
        <v>88</v>
      </c>
      <c r="S147" s="13" t="s">
        <v>93</v>
      </c>
      <c r="T147" s="37">
        <v>28000</v>
      </c>
      <c r="U147" s="37">
        <v>28000</v>
      </c>
      <c r="V147" s="38">
        <v>7000</v>
      </c>
      <c r="W147" s="38">
        <v>7000</v>
      </c>
      <c r="X147" s="38">
        <v>7000</v>
      </c>
      <c r="Y147" s="38">
        <v>7000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f t="shared" si="96"/>
        <v>8823244.8888888881</v>
      </c>
      <c r="AF147" s="17">
        <v>0</v>
      </c>
      <c r="AG147" s="17">
        <v>0</v>
      </c>
      <c r="AH147" s="17">
        <v>0</v>
      </c>
      <c r="AI147" s="17">
        <v>0</v>
      </c>
      <c r="AJ147" s="17">
        <v>0</v>
      </c>
      <c r="AK147" s="18">
        <f>SUM(PlanIndicativo[[#This Row],[Ingresos Corrientes de Libre Destinación - ICLD (2020)]:[Otros (2020)]])</f>
        <v>8823244.8888888881</v>
      </c>
      <c r="AL147" s="17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f t="shared" si="97"/>
        <v>8823244.8888888881</v>
      </c>
      <c r="AR147" s="17">
        <v>0</v>
      </c>
      <c r="AS147" s="17">
        <v>0</v>
      </c>
      <c r="AT147" s="17">
        <v>0</v>
      </c>
      <c r="AU147" s="17">
        <v>0</v>
      </c>
      <c r="AV147" s="17">
        <v>0</v>
      </c>
      <c r="AW147" s="19">
        <f>SUM(PlanIndicativo[[#This Row],[Ingresos Corrientes de Libre Destinación - ICLD (2021)]:[Otros  (2021)]])</f>
        <v>8823244.8888888881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f t="shared" si="98"/>
        <v>8823244.8888888881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20">
        <f>SUM(PlanIndicativo[[#This Row],[Ingresos Corrientes de Libre Destinación - ICLD (2022)]:[Otros   (2022)]])</f>
        <v>8823244.8888888881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f t="shared" si="99"/>
        <v>8823244.8888888881</v>
      </c>
      <c r="BP147" s="17">
        <v>0</v>
      </c>
      <c r="BQ147" s="17">
        <v>0</v>
      </c>
      <c r="BR147" s="17">
        <v>0</v>
      </c>
      <c r="BS147" s="17">
        <v>0</v>
      </c>
      <c r="BT147" s="17">
        <v>0</v>
      </c>
      <c r="BU147" s="17">
        <f>SUM(PlanIndicativo[[#This Row],[Ingresos Corrientes de Libre Destinación - ICLD (2023)]:[Otros (2023)]])</f>
        <v>8823244.8888888881</v>
      </c>
      <c r="BV147" s="21">
        <f>+PlanIndicativo[[#This Row],[Total (2020)]]+PlanIndicativo[[#This Row],[Total  (2021)]]+PlanIndicativo[[#This Row],[Total  (2022)]]+PlanIndicativo[[#This Row],[Total (2023)]]</f>
        <v>35292979.555555552</v>
      </c>
      <c r="BW147" s="22" t="s">
        <v>442</v>
      </c>
    </row>
    <row r="148" spans="1:75" ht="21" customHeight="1" x14ac:dyDescent="0.25">
      <c r="A148" s="7">
        <v>2</v>
      </c>
      <c r="B148" s="8" t="s">
        <v>480</v>
      </c>
      <c r="C148" s="7" t="s">
        <v>481</v>
      </c>
      <c r="D148" s="7" t="s">
        <v>482</v>
      </c>
      <c r="E148" s="7" t="s">
        <v>483</v>
      </c>
      <c r="F148" s="8" t="s">
        <v>484</v>
      </c>
      <c r="G148" s="7" t="s">
        <v>510</v>
      </c>
      <c r="H148" s="8" t="s">
        <v>511</v>
      </c>
      <c r="I148" s="9">
        <v>1707043</v>
      </c>
      <c r="J148" s="25" t="s">
        <v>512</v>
      </c>
      <c r="K148" s="32" t="s">
        <v>496</v>
      </c>
      <c r="L148" s="25" t="s">
        <v>489</v>
      </c>
      <c r="M148" s="25" t="s">
        <v>243</v>
      </c>
      <c r="N148" s="25" t="s">
        <v>86</v>
      </c>
      <c r="O148" s="25"/>
      <c r="P148" s="9">
        <v>170704300</v>
      </c>
      <c r="Q148" s="25" t="s">
        <v>513</v>
      </c>
      <c r="R148" s="12" t="s">
        <v>88</v>
      </c>
      <c r="S148" s="13" t="s">
        <v>93</v>
      </c>
      <c r="T148" s="14">
        <v>0</v>
      </c>
      <c r="U148" s="15">
        <v>500</v>
      </c>
      <c r="V148" s="30">
        <v>125</v>
      </c>
      <c r="W148" s="30">
        <v>125</v>
      </c>
      <c r="X148" s="30">
        <v>125</v>
      </c>
      <c r="Y148" s="30">
        <v>125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f t="shared" si="96"/>
        <v>8823244.8888888881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8">
        <f>SUM(PlanIndicativo[[#This Row],[Ingresos Corrientes de Libre Destinación - ICLD (2020)]:[Otros (2020)]])</f>
        <v>8823244.8888888881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f t="shared" si="97"/>
        <v>8823244.8888888881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9">
        <f>SUM(PlanIndicativo[[#This Row],[Ingresos Corrientes de Libre Destinación - ICLD (2021)]:[Otros  (2021)]])</f>
        <v>8823244.8888888881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f t="shared" si="98"/>
        <v>8823244.8888888881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20">
        <f>SUM(PlanIndicativo[[#This Row],[Ingresos Corrientes de Libre Destinación - ICLD (2022)]:[Otros   (2022)]])</f>
        <v>8823244.8888888881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f t="shared" si="99"/>
        <v>8823244.8888888881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21">
        <f>SUM(PlanIndicativo[[#This Row],[Ingresos Corrientes de Libre Destinación - ICLD (2023)]:[Otros (2023)]])</f>
        <v>8823244.8888888881</v>
      </c>
      <c r="BV148" s="21">
        <f>+PlanIndicativo[[#This Row],[Total (2020)]]+PlanIndicativo[[#This Row],[Total  (2021)]]+PlanIndicativo[[#This Row],[Total  (2022)]]+PlanIndicativo[[#This Row],[Total (2023)]]</f>
        <v>35292979.555555552</v>
      </c>
      <c r="BW148" s="22" t="s">
        <v>442</v>
      </c>
    </row>
    <row r="149" spans="1:75" ht="21" customHeight="1" x14ac:dyDescent="0.25">
      <c r="A149" s="7">
        <v>2</v>
      </c>
      <c r="B149" s="8" t="s">
        <v>480</v>
      </c>
      <c r="C149" s="7" t="s">
        <v>481</v>
      </c>
      <c r="D149" s="7" t="s">
        <v>482</v>
      </c>
      <c r="E149" s="7" t="s">
        <v>483</v>
      </c>
      <c r="F149" s="8" t="s">
        <v>484</v>
      </c>
      <c r="G149" s="7" t="s">
        <v>510</v>
      </c>
      <c r="H149" s="8" t="s">
        <v>511</v>
      </c>
      <c r="I149" s="9">
        <v>1707050</v>
      </c>
      <c r="J149" s="25" t="s">
        <v>514</v>
      </c>
      <c r="K149" s="32" t="s">
        <v>496</v>
      </c>
      <c r="L149" s="25" t="s">
        <v>489</v>
      </c>
      <c r="M149" s="25" t="s">
        <v>243</v>
      </c>
      <c r="N149" s="25" t="s">
        <v>86</v>
      </c>
      <c r="O149" s="25"/>
      <c r="P149" s="33">
        <v>170705000</v>
      </c>
      <c r="Q149" s="25" t="s">
        <v>515</v>
      </c>
      <c r="R149" s="31" t="s">
        <v>88</v>
      </c>
      <c r="S149" s="13" t="s">
        <v>93</v>
      </c>
      <c r="T149" s="36">
        <v>0</v>
      </c>
      <c r="U149" s="37">
        <v>100</v>
      </c>
      <c r="V149" s="38">
        <v>25</v>
      </c>
      <c r="W149" s="38">
        <v>25</v>
      </c>
      <c r="X149" s="38">
        <v>25</v>
      </c>
      <c r="Y149" s="38">
        <v>25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f t="shared" si="96"/>
        <v>8823244.8888888881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8">
        <f>SUM(PlanIndicativo[[#This Row],[Ingresos Corrientes de Libre Destinación - ICLD (2020)]:[Otros (2020)]])</f>
        <v>8823244.8888888881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f t="shared" si="97"/>
        <v>8823244.8888888881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9">
        <f>SUM(PlanIndicativo[[#This Row],[Ingresos Corrientes de Libre Destinación - ICLD (2021)]:[Otros  (2021)]])</f>
        <v>8823244.8888888881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f t="shared" si="98"/>
        <v>8823244.8888888881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20">
        <f>SUM(PlanIndicativo[[#This Row],[Ingresos Corrientes de Libre Destinación - ICLD (2022)]:[Otros   (2022)]])</f>
        <v>8823244.8888888881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f t="shared" si="99"/>
        <v>8823244.8888888881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f>SUM(PlanIndicativo[[#This Row],[Ingresos Corrientes de Libre Destinación - ICLD (2023)]:[Otros (2023)]])</f>
        <v>8823244.8888888881</v>
      </c>
      <c r="BV149" s="21">
        <f>+PlanIndicativo[[#This Row],[Total (2020)]]+PlanIndicativo[[#This Row],[Total  (2021)]]+PlanIndicativo[[#This Row],[Total  (2022)]]+PlanIndicativo[[#This Row],[Total (2023)]]</f>
        <v>35292979.555555552</v>
      </c>
      <c r="BW149" s="22" t="s">
        <v>442</v>
      </c>
    </row>
    <row r="150" spans="1:75" ht="21" customHeight="1" x14ac:dyDescent="0.25">
      <c r="A150" s="7">
        <v>2</v>
      </c>
      <c r="B150" s="8" t="s">
        <v>480</v>
      </c>
      <c r="C150" s="7" t="s">
        <v>481</v>
      </c>
      <c r="D150" s="7" t="s">
        <v>482</v>
      </c>
      <c r="E150" s="7" t="s">
        <v>483</v>
      </c>
      <c r="F150" s="8" t="s">
        <v>484</v>
      </c>
      <c r="G150" s="7" t="s">
        <v>510</v>
      </c>
      <c r="H150" s="8" t="s">
        <v>511</v>
      </c>
      <c r="I150" s="9">
        <v>1708016</v>
      </c>
      <c r="J150" s="25" t="s">
        <v>516</v>
      </c>
      <c r="K150" s="32" t="s">
        <v>496</v>
      </c>
      <c r="L150" s="25" t="s">
        <v>489</v>
      </c>
      <c r="M150" s="25" t="s">
        <v>243</v>
      </c>
      <c r="N150" s="25" t="s">
        <v>86</v>
      </c>
      <c r="O150" s="25"/>
      <c r="P150" s="9">
        <v>170801600</v>
      </c>
      <c r="Q150" s="25" t="s">
        <v>517</v>
      </c>
      <c r="R150" s="12" t="s">
        <v>88</v>
      </c>
      <c r="S150" s="13" t="s">
        <v>93</v>
      </c>
      <c r="T150" s="14">
        <v>0</v>
      </c>
      <c r="U150" s="15">
        <v>2</v>
      </c>
      <c r="V150" s="30">
        <v>0</v>
      </c>
      <c r="W150" s="30">
        <v>1</v>
      </c>
      <c r="X150" s="30">
        <v>1</v>
      </c>
      <c r="Y150" s="30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17">
        <v>0</v>
      </c>
      <c r="AJ150" s="17">
        <v>0</v>
      </c>
      <c r="AK150" s="18">
        <f>SUM(PlanIndicativo[[#This Row],[Ingresos Corrientes de Libre Destinación - ICLD (2020)]:[Otros (2020)]])</f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f t="shared" si="97"/>
        <v>8823244.8888888881</v>
      </c>
      <c r="AR150" s="17">
        <v>0</v>
      </c>
      <c r="AS150" s="17">
        <v>0</v>
      </c>
      <c r="AT150" s="17">
        <v>0</v>
      </c>
      <c r="AU150" s="17">
        <v>0</v>
      </c>
      <c r="AV150" s="17">
        <v>0</v>
      </c>
      <c r="AW150" s="19">
        <f>SUM(PlanIndicativo[[#This Row],[Ingresos Corrientes de Libre Destinación - ICLD (2021)]:[Otros  (2021)]])</f>
        <v>8823244.8888888881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f t="shared" si="98"/>
        <v>8823244.8888888881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20">
        <f>SUM(PlanIndicativo[[#This Row],[Ingresos Corrientes de Libre Destinación - ICLD (2022)]:[Otros   (2022)]])</f>
        <v>8823244.8888888881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f t="shared" si="99"/>
        <v>8823244.8888888881</v>
      </c>
      <c r="BP150" s="17">
        <v>0</v>
      </c>
      <c r="BQ150" s="17">
        <v>0</v>
      </c>
      <c r="BR150" s="17">
        <v>0</v>
      </c>
      <c r="BS150" s="17">
        <v>0</v>
      </c>
      <c r="BT150" s="17">
        <v>0</v>
      </c>
      <c r="BU150" s="21">
        <f>SUM(PlanIndicativo[[#This Row],[Ingresos Corrientes de Libre Destinación - ICLD (2023)]:[Otros (2023)]])</f>
        <v>8823244.8888888881</v>
      </c>
      <c r="BV150" s="21">
        <f>+PlanIndicativo[[#This Row],[Total (2020)]]+PlanIndicativo[[#This Row],[Total  (2021)]]+PlanIndicativo[[#This Row],[Total  (2022)]]+PlanIndicativo[[#This Row],[Total (2023)]]</f>
        <v>26469734.666666664</v>
      </c>
      <c r="BW150" s="22" t="s">
        <v>442</v>
      </c>
    </row>
    <row r="151" spans="1:75" ht="21" customHeight="1" x14ac:dyDescent="0.25">
      <c r="A151" s="7">
        <v>2</v>
      </c>
      <c r="B151" s="8" t="s">
        <v>480</v>
      </c>
      <c r="C151" s="7" t="s">
        <v>481</v>
      </c>
      <c r="D151" s="7" t="s">
        <v>482</v>
      </c>
      <c r="E151" s="7" t="s">
        <v>483</v>
      </c>
      <c r="F151" s="8" t="s">
        <v>484</v>
      </c>
      <c r="G151" s="7" t="s">
        <v>510</v>
      </c>
      <c r="H151" s="8" t="s">
        <v>511</v>
      </c>
      <c r="I151" s="9">
        <v>1708038</v>
      </c>
      <c r="J151" s="25" t="s">
        <v>518</v>
      </c>
      <c r="K151" s="32" t="s">
        <v>496</v>
      </c>
      <c r="L151" s="25" t="s">
        <v>489</v>
      </c>
      <c r="M151" s="25" t="s">
        <v>243</v>
      </c>
      <c r="N151" s="25" t="s">
        <v>86</v>
      </c>
      <c r="O151" s="25"/>
      <c r="P151" s="9">
        <v>170803800</v>
      </c>
      <c r="Q151" s="25" t="s">
        <v>519</v>
      </c>
      <c r="R151" s="12" t="s">
        <v>88</v>
      </c>
      <c r="S151" s="13" t="s">
        <v>93</v>
      </c>
      <c r="T151" s="14">
        <v>0</v>
      </c>
      <c r="U151" s="15">
        <v>800</v>
      </c>
      <c r="V151" s="30">
        <v>200</v>
      </c>
      <c r="W151" s="30">
        <v>200</v>
      </c>
      <c r="X151" s="30">
        <v>200</v>
      </c>
      <c r="Y151" s="30">
        <v>200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f>158818408/18*2</f>
        <v>17646489.777777776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8">
        <f>SUM(PlanIndicativo[[#This Row],[Ingresos Corrientes de Libre Destinación - ICLD (2020)]:[Otros (2020)]])</f>
        <v>17646489.777777776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f t="shared" si="97"/>
        <v>8823244.8888888881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9">
        <f>SUM(PlanIndicativo[[#This Row],[Ingresos Corrientes de Libre Destinación - ICLD (2021)]:[Otros  (2021)]])</f>
        <v>8823244.8888888881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f t="shared" si="98"/>
        <v>8823244.8888888881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20">
        <f>SUM(PlanIndicativo[[#This Row],[Ingresos Corrientes de Libre Destinación - ICLD (2022)]:[Otros   (2022)]])</f>
        <v>8823244.8888888881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f t="shared" si="99"/>
        <v>8823244.8888888881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21">
        <f>SUM(PlanIndicativo[[#This Row],[Ingresos Corrientes de Libre Destinación - ICLD (2023)]:[Otros (2023)]])</f>
        <v>8823244.8888888881</v>
      </c>
      <c r="BV151" s="21">
        <f>+PlanIndicativo[[#This Row],[Total (2020)]]+PlanIndicativo[[#This Row],[Total  (2021)]]+PlanIndicativo[[#This Row],[Total  (2022)]]+PlanIndicativo[[#This Row],[Total (2023)]]</f>
        <v>44116224.44444444</v>
      </c>
      <c r="BW151" s="22" t="s">
        <v>442</v>
      </c>
    </row>
    <row r="152" spans="1:75" ht="21" customHeight="1" x14ac:dyDescent="0.25">
      <c r="A152" s="7">
        <v>2</v>
      </c>
      <c r="B152" s="8" t="s">
        <v>480</v>
      </c>
      <c r="C152" s="7" t="s">
        <v>481</v>
      </c>
      <c r="D152" s="7" t="s">
        <v>482</v>
      </c>
      <c r="E152" s="7" t="s">
        <v>483</v>
      </c>
      <c r="F152" s="8" t="s">
        <v>484</v>
      </c>
      <c r="G152" s="7" t="s">
        <v>510</v>
      </c>
      <c r="H152" s="8" t="s">
        <v>511</v>
      </c>
      <c r="I152" s="9">
        <v>1708041</v>
      </c>
      <c r="J152" s="25" t="s">
        <v>520</v>
      </c>
      <c r="K152" s="32" t="s">
        <v>496</v>
      </c>
      <c r="L152" s="25" t="s">
        <v>489</v>
      </c>
      <c r="M152" s="25" t="s">
        <v>243</v>
      </c>
      <c r="N152" s="25" t="s">
        <v>86</v>
      </c>
      <c r="O152" s="25"/>
      <c r="P152" s="33">
        <v>170804100</v>
      </c>
      <c r="Q152" s="25" t="s">
        <v>521</v>
      </c>
      <c r="R152" s="31" t="s">
        <v>88</v>
      </c>
      <c r="S152" s="13" t="s">
        <v>93</v>
      </c>
      <c r="T152" s="36">
        <v>0</v>
      </c>
      <c r="U152" s="37">
        <v>100</v>
      </c>
      <c r="V152" s="38">
        <v>25</v>
      </c>
      <c r="W152" s="38">
        <v>25</v>
      </c>
      <c r="X152" s="38">
        <v>25</v>
      </c>
      <c r="Y152" s="38">
        <v>25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f>158818408/18*2</f>
        <v>17646489.777777776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8">
        <f>SUM(PlanIndicativo[[#This Row],[Ingresos Corrientes de Libre Destinación - ICLD (2020)]:[Otros (2020)]])</f>
        <v>17646489.777777776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f>158818408/18*2</f>
        <v>17646489.777777776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9">
        <f>SUM(PlanIndicativo[[#This Row],[Ingresos Corrientes de Libre Destinación - ICLD (2021)]:[Otros  (2021)]])</f>
        <v>17646489.777777776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f t="shared" si="98"/>
        <v>8823244.8888888881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20">
        <f>SUM(PlanIndicativo[[#This Row],[Ingresos Corrientes de Libre Destinación - ICLD (2022)]:[Otros   (2022)]])</f>
        <v>8823244.8888888881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f t="shared" si="99"/>
        <v>8823244.8888888881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f>SUM(PlanIndicativo[[#This Row],[Ingresos Corrientes de Libre Destinación - ICLD (2023)]:[Otros (2023)]])</f>
        <v>8823244.8888888881</v>
      </c>
      <c r="BV152" s="21">
        <f>+PlanIndicativo[[#This Row],[Total (2020)]]+PlanIndicativo[[#This Row],[Total  (2021)]]+PlanIndicativo[[#This Row],[Total  (2022)]]+PlanIndicativo[[#This Row],[Total (2023)]]</f>
        <v>52939469.333333328</v>
      </c>
      <c r="BW152" s="22" t="s">
        <v>442</v>
      </c>
    </row>
    <row r="153" spans="1:75" ht="21" customHeight="1" x14ac:dyDescent="0.25">
      <c r="A153" s="7">
        <v>2</v>
      </c>
      <c r="B153" s="8" t="s">
        <v>480</v>
      </c>
      <c r="C153" s="7" t="s">
        <v>481</v>
      </c>
      <c r="D153" s="7" t="s">
        <v>482</v>
      </c>
      <c r="E153" s="7" t="s">
        <v>483</v>
      </c>
      <c r="F153" s="8" t="s">
        <v>484</v>
      </c>
      <c r="G153" s="7" t="s">
        <v>510</v>
      </c>
      <c r="H153" s="8" t="s">
        <v>511</v>
      </c>
      <c r="I153" s="9">
        <v>1709059</v>
      </c>
      <c r="J153" s="25" t="s">
        <v>522</v>
      </c>
      <c r="K153" s="32" t="s">
        <v>496</v>
      </c>
      <c r="L153" s="25" t="s">
        <v>489</v>
      </c>
      <c r="M153" s="25" t="s">
        <v>243</v>
      </c>
      <c r="N153" s="25" t="s">
        <v>86</v>
      </c>
      <c r="O153" s="25"/>
      <c r="P153" s="33">
        <v>170905900</v>
      </c>
      <c r="Q153" s="25" t="s">
        <v>522</v>
      </c>
      <c r="R153" s="31" t="s">
        <v>88</v>
      </c>
      <c r="S153" s="13" t="s">
        <v>93</v>
      </c>
      <c r="T153" s="36">
        <v>0</v>
      </c>
      <c r="U153" s="37">
        <v>1</v>
      </c>
      <c r="V153" s="38">
        <v>0</v>
      </c>
      <c r="W153" s="38">
        <v>0</v>
      </c>
      <c r="X153" s="38">
        <v>1</v>
      </c>
      <c r="Y153" s="38">
        <v>0</v>
      </c>
      <c r="Z153" s="17">
        <v>0</v>
      </c>
      <c r="AA153" s="17">
        <v>0</v>
      </c>
      <c r="AB153" s="17">
        <v>0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7">
        <v>0</v>
      </c>
      <c r="AI153" s="17">
        <v>0</v>
      </c>
      <c r="AJ153" s="17">
        <v>0</v>
      </c>
      <c r="AK153" s="18">
        <f>SUM(PlanIndicativo[[#This Row],[Ingresos Corrientes de Libre Destinación - ICLD (2020)]:[Otros (2020)]])</f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0</v>
      </c>
      <c r="AT153" s="17">
        <v>0</v>
      </c>
      <c r="AU153" s="17">
        <v>0</v>
      </c>
      <c r="AV153" s="17">
        <v>0</v>
      </c>
      <c r="AW153" s="17">
        <f>SUM(PlanIndicativo[[#This Row],[Ingresos Corrientes de Libre Destinación - ICLD (2021)]:[Otros  (2021)]])</f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f t="shared" si="98"/>
        <v>8823244.8888888881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20">
        <f>SUM(PlanIndicativo[[#This Row],[Ingresos Corrientes de Libre Destinación - ICLD (2022)]:[Otros   (2022)]])</f>
        <v>8823244.8888888881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f t="shared" si="99"/>
        <v>8823244.8888888881</v>
      </c>
      <c r="BP153" s="17">
        <v>0</v>
      </c>
      <c r="BQ153" s="17">
        <v>0</v>
      </c>
      <c r="BR153" s="17">
        <v>0</v>
      </c>
      <c r="BS153" s="17">
        <v>0</v>
      </c>
      <c r="BT153" s="17">
        <v>0</v>
      </c>
      <c r="BU153" s="17">
        <f>SUM(PlanIndicativo[[#This Row],[Ingresos Corrientes de Libre Destinación - ICLD (2023)]:[Otros (2023)]])</f>
        <v>8823244.8888888881</v>
      </c>
      <c r="BV153" s="21">
        <f>+PlanIndicativo[[#This Row],[Total (2020)]]+PlanIndicativo[[#This Row],[Total  (2021)]]+PlanIndicativo[[#This Row],[Total  (2022)]]+PlanIndicativo[[#This Row],[Total (2023)]]</f>
        <v>17646489.777777776</v>
      </c>
      <c r="BW153" s="22" t="s">
        <v>442</v>
      </c>
    </row>
    <row r="154" spans="1:75" ht="21" customHeight="1" x14ac:dyDescent="0.25">
      <c r="A154" s="7">
        <v>2</v>
      </c>
      <c r="B154" s="8" t="s">
        <v>480</v>
      </c>
      <c r="C154" s="7" t="s">
        <v>481</v>
      </c>
      <c r="D154" s="7" t="s">
        <v>482</v>
      </c>
      <c r="E154" s="7" t="s">
        <v>483</v>
      </c>
      <c r="F154" s="8" t="s">
        <v>484</v>
      </c>
      <c r="G154" s="7" t="s">
        <v>510</v>
      </c>
      <c r="H154" s="8" t="s">
        <v>511</v>
      </c>
      <c r="I154" s="9">
        <v>1709093</v>
      </c>
      <c r="J154" s="25" t="s">
        <v>523</v>
      </c>
      <c r="K154" s="32" t="s">
        <v>496</v>
      </c>
      <c r="L154" s="25" t="s">
        <v>489</v>
      </c>
      <c r="M154" s="25" t="s">
        <v>243</v>
      </c>
      <c r="N154" s="25" t="s">
        <v>86</v>
      </c>
      <c r="O154" s="25"/>
      <c r="P154" s="33">
        <v>170909300</v>
      </c>
      <c r="Q154" s="25" t="s">
        <v>524</v>
      </c>
      <c r="R154" s="31" t="s">
        <v>88</v>
      </c>
      <c r="S154" s="13" t="s">
        <v>93</v>
      </c>
      <c r="T154" s="36">
        <v>0</v>
      </c>
      <c r="U154" s="37">
        <v>1</v>
      </c>
      <c r="V154" s="38">
        <v>0</v>
      </c>
      <c r="W154" s="38">
        <v>1</v>
      </c>
      <c r="X154" s="38">
        <v>0</v>
      </c>
      <c r="Y154" s="38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8">
        <f>SUM(PlanIndicativo[[#This Row],[Ingresos Corrientes de Libre Destinación - ICLD (2020)]:[Otros (2020)]])</f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f t="shared" si="97"/>
        <v>8823244.8888888881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9">
        <f>SUM(PlanIndicativo[[#This Row],[Ingresos Corrientes de Libre Destinación - ICLD (2021)]:[Otros  (2021)]])</f>
        <v>8823244.8888888881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f t="shared" si="98"/>
        <v>8823244.8888888881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20">
        <f>SUM(PlanIndicativo[[#This Row],[Ingresos Corrientes de Libre Destinación - ICLD (2022)]:[Otros   (2022)]])</f>
        <v>8823244.8888888881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f t="shared" si="99"/>
        <v>8823244.8888888881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f>SUM(PlanIndicativo[[#This Row],[Ingresos Corrientes de Libre Destinación - ICLD (2023)]:[Otros (2023)]])</f>
        <v>8823244.8888888881</v>
      </c>
      <c r="BV154" s="21">
        <f>+PlanIndicativo[[#This Row],[Total (2020)]]+PlanIndicativo[[#This Row],[Total  (2021)]]+PlanIndicativo[[#This Row],[Total  (2022)]]+PlanIndicativo[[#This Row],[Total (2023)]]</f>
        <v>26469734.666666664</v>
      </c>
      <c r="BW154" s="22" t="s">
        <v>442</v>
      </c>
    </row>
    <row r="155" spans="1:75" ht="21" customHeight="1" x14ac:dyDescent="0.25">
      <c r="A155" s="7">
        <v>2</v>
      </c>
      <c r="B155" s="8" t="s">
        <v>480</v>
      </c>
      <c r="C155" s="7" t="s">
        <v>481</v>
      </c>
      <c r="D155" s="7" t="s">
        <v>482</v>
      </c>
      <c r="E155" s="7" t="s">
        <v>483</v>
      </c>
      <c r="F155" s="8" t="s">
        <v>484</v>
      </c>
      <c r="G155" s="7" t="s">
        <v>510</v>
      </c>
      <c r="H155" s="8" t="s">
        <v>511</v>
      </c>
      <c r="I155" s="9">
        <v>1709096</v>
      </c>
      <c r="J155" s="25" t="s">
        <v>101</v>
      </c>
      <c r="K155" s="32" t="s">
        <v>496</v>
      </c>
      <c r="L155" s="25" t="s">
        <v>489</v>
      </c>
      <c r="M155" s="25" t="s">
        <v>243</v>
      </c>
      <c r="N155" s="25" t="s">
        <v>86</v>
      </c>
      <c r="O155" s="25"/>
      <c r="P155" s="9">
        <v>170909600</v>
      </c>
      <c r="Q155" s="25" t="s">
        <v>525</v>
      </c>
      <c r="R155" s="12" t="s">
        <v>88</v>
      </c>
      <c r="S155" s="13" t="s">
        <v>93</v>
      </c>
      <c r="T155" s="14">
        <v>0</v>
      </c>
      <c r="U155" s="15">
        <v>2</v>
      </c>
      <c r="V155" s="30">
        <v>1</v>
      </c>
      <c r="W155" s="30">
        <v>1</v>
      </c>
      <c r="X155" s="30">
        <v>0</v>
      </c>
      <c r="Y155" s="30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f>158818408/18*2</f>
        <v>17646489.777777776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8">
        <f>SUM(PlanIndicativo[[#This Row],[Ingresos Corrientes de Libre Destinación - ICLD (2020)]:[Otros (2020)]])</f>
        <v>17646489.777777776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f t="shared" si="97"/>
        <v>8823244.8888888881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9">
        <f>SUM(PlanIndicativo[[#This Row],[Ingresos Corrientes de Libre Destinación - ICLD (2021)]:[Otros  (2021)]])</f>
        <v>8823244.8888888881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f t="shared" si="98"/>
        <v>8823244.8888888881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20">
        <f>SUM(PlanIndicativo[[#This Row],[Ingresos Corrientes de Libre Destinación - ICLD (2022)]:[Otros   (2022)]])</f>
        <v>8823244.8888888881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f t="shared" si="99"/>
        <v>8823244.8888888881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21">
        <f>SUM(PlanIndicativo[[#This Row],[Ingresos Corrientes de Libre Destinación - ICLD (2023)]:[Otros (2023)]])</f>
        <v>8823244.8888888881</v>
      </c>
      <c r="BV155" s="21">
        <f>+PlanIndicativo[[#This Row],[Total (2020)]]+PlanIndicativo[[#This Row],[Total  (2021)]]+PlanIndicativo[[#This Row],[Total  (2022)]]+PlanIndicativo[[#This Row],[Total (2023)]]</f>
        <v>44116224.44444444</v>
      </c>
      <c r="BW155" s="22" t="s">
        <v>442</v>
      </c>
    </row>
    <row r="156" spans="1:75" ht="21" customHeight="1" x14ac:dyDescent="0.25">
      <c r="A156" s="7">
        <v>2</v>
      </c>
      <c r="B156" s="8" t="s">
        <v>480</v>
      </c>
      <c r="C156" s="7" t="s">
        <v>526</v>
      </c>
      <c r="D156" s="7" t="s">
        <v>527</v>
      </c>
      <c r="E156" s="7" t="s">
        <v>528</v>
      </c>
      <c r="F156" s="8" t="s">
        <v>529</v>
      </c>
      <c r="G156" s="7" t="s">
        <v>530</v>
      </c>
      <c r="H156" s="8" t="s">
        <v>531</v>
      </c>
      <c r="I156" s="9">
        <v>2402006</v>
      </c>
      <c r="J156" s="25" t="s">
        <v>532</v>
      </c>
      <c r="K156" s="25" t="s">
        <v>533</v>
      </c>
      <c r="L156" s="25" t="s">
        <v>262</v>
      </c>
      <c r="M156" s="25" t="s">
        <v>243</v>
      </c>
      <c r="N156" s="25" t="s">
        <v>86</v>
      </c>
      <c r="O156" s="25"/>
      <c r="P156" s="9">
        <v>240200600</v>
      </c>
      <c r="Q156" s="25" t="s">
        <v>532</v>
      </c>
      <c r="R156" s="12" t="s">
        <v>465</v>
      </c>
      <c r="S156" s="13" t="s">
        <v>93</v>
      </c>
      <c r="T156" s="14">
        <v>0</v>
      </c>
      <c r="U156" s="15">
        <v>12</v>
      </c>
      <c r="V156" s="30">
        <v>3</v>
      </c>
      <c r="W156" s="30">
        <v>3</v>
      </c>
      <c r="X156" s="30">
        <v>3</v>
      </c>
      <c r="Y156" s="30">
        <v>3</v>
      </c>
      <c r="Z156" s="17">
        <f>53185000/17*2</f>
        <v>6257058.823529412</v>
      </c>
      <c r="AA156" s="17">
        <v>0</v>
      </c>
      <c r="AB156" s="17">
        <v>0</v>
      </c>
      <c r="AC156" s="17">
        <v>0</v>
      </c>
      <c r="AD156" s="17">
        <v>0</v>
      </c>
      <c r="AE156" s="17">
        <f>85000000/17*2</f>
        <v>10000000</v>
      </c>
      <c r="AF156" s="17">
        <v>0</v>
      </c>
      <c r="AG156" s="17">
        <v>0</v>
      </c>
      <c r="AH156" s="17">
        <v>0</v>
      </c>
      <c r="AI156" s="17">
        <v>0</v>
      </c>
      <c r="AJ156" s="17">
        <v>0</v>
      </c>
      <c r="AK156" s="18">
        <f>SUM(PlanIndicativo[[#This Row],[Ingresos Corrientes de Libre Destinación - ICLD (2020)]:[Otros (2020)]])</f>
        <v>16257058.823529411</v>
      </c>
      <c r="AL156" s="17">
        <f>53185000/17*2</f>
        <v>6257058.823529412</v>
      </c>
      <c r="AM156" s="17">
        <v>0</v>
      </c>
      <c r="AN156" s="17">
        <v>0</v>
      </c>
      <c r="AO156" s="17">
        <v>0</v>
      </c>
      <c r="AP156" s="17">
        <v>0</v>
      </c>
      <c r="AQ156" s="17">
        <f>85000000/17*2</f>
        <v>10000000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9">
        <f>SUM(PlanIndicativo[[#This Row],[Ingresos Corrientes de Libre Destinación - ICLD (2021)]:[Otros  (2021)]])</f>
        <v>16257058.823529411</v>
      </c>
      <c r="AX156" s="17">
        <f t="shared" ref="AX156:AX172" si="100">53185000/17</f>
        <v>3128529.411764706</v>
      </c>
      <c r="AY156" s="17">
        <v>0</v>
      </c>
      <c r="AZ156" s="17">
        <v>0</v>
      </c>
      <c r="BA156" s="17">
        <v>0</v>
      </c>
      <c r="BB156" s="17">
        <v>0</v>
      </c>
      <c r="BC156" s="17">
        <f t="shared" ref="BC156:BC172" si="101">85000000/17</f>
        <v>5000000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20">
        <f>SUM(PlanIndicativo[[#This Row],[Ingresos Corrientes de Libre Destinación - ICLD (2022)]:[Otros   (2022)]])</f>
        <v>8128529.4117647056</v>
      </c>
      <c r="BJ156" s="17">
        <f t="shared" ref="BJ156:BJ172" si="102">53185000/17</f>
        <v>3128529.411764706</v>
      </c>
      <c r="BK156" s="17">
        <v>0</v>
      </c>
      <c r="BL156" s="17">
        <v>0</v>
      </c>
      <c r="BM156" s="17">
        <v>0</v>
      </c>
      <c r="BN156" s="17">
        <v>0</v>
      </c>
      <c r="BO156" s="17">
        <f t="shared" ref="BO156:BO172" si="103">85000000/17</f>
        <v>5000000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21">
        <f>SUM(PlanIndicativo[[#This Row],[Ingresos Corrientes de Libre Destinación - ICLD (2023)]:[Otros (2023)]])</f>
        <v>8128529.4117647056</v>
      </c>
      <c r="BV156" s="21">
        <f>+PlanIndicativo[[#This Row],[Total (2020)]]+PlanIndicativo[[#This Row],[Total  (2021)]]+PlanIndicativo[[#This Row],[Total  (2022)]]+PlanIndicativo[[#This Row],[Total (2023)]]</f>
        <v>48771176.47058823</v>
      </c>
      <c r="BW156" s="22" t="s">
        <v>442</v>
      </c>
    </row>
    <row r="157" spans="1:75" ht="21" customHeight="1" x14ac:dyDescent="0.25">
      <c r="A157" s="7">
        <v>2</v>
      </c>
      <c r="B157" s="8" t="s">
        <v>480</v>
      </c>
      <c r="C157" s="7" t="s">
        <v>526</v>
      </c>
      <c r="D157" s="7" t="s">
        <v>527</v>
      </c>
      <c r="E157" s="7" t="s">
        <v>528</v>
      </c>
      <c r="F157" s="8" t="s">
        <v>529</v>
      </c>
      <c r="G157" s="7" t="s">
        <v>530</v>
      </c>
      <c r="H157" s="8" t="s">
        <v>531</v>
      </c>
      <c r="I157" s="9">
        <v>2402015</v>
      </c>
      <c r="J157" s="25" t="s">
        <v>534</v>
      </c>
      <c r="K157" s="25" t="s">
        <v>533</v>
      </c>
      <c r="L157" s="25" t="s">
        <v>262</v>
      </c>
      <c r="M157" s="25" t="s">
        <v>243</v>
      </c>
      <c r="N157" s="25" t="s">
        <v>86</v>
      </c>
      <c r="O157" s="25"/>
      <c r="P157" s="9">
        <v>240201500</v>
      </c>
      <c r="Q157" s="25" t="s">
        <v>535</v>
      </c>
      <c r="R157" s="12" t="s">
        <v>88</v>
      </c>
      <c r="S157" s="13" t="s">
        <v>93</v>
      </c>
      <c r="T157" s="14">
        <v>0</v>
      </c>
      <c r="U157" s="15">
        <v>1</v>
      </c>
      <c r="V157" s="30">
        <v>0</v>
      </c>
      <c r="W157" s="30">
        <v>0</v>
      </c>
      <c r="X157" s="30">
        <v>0</v>
      </c>
      <c r="Y157" s="30">
        <v>1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8">
        <f>SUM(PlanIndicativo[[#This Row],[Ingresos Corrientes de Libre Destinación - ICLD (2020)]:[Otros (2020)]])</f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9">
        <f>SUM(PlanIndicativo[[#This Row],[Ingresos Corrientes de Libre Destinación - ICLD (2021)]:[Otros  (2021)]])</f>
        <v>0</v>
      </c>
      <c r="AX157" s="17">
        <f t="shared" si="100"/>
        <v>3128529.411764706</v>
      </c>
      <c r="AY157" s="17">
        <v>0</v>
      </c>
      <c r="AZ157" s="17">
        <v>0</v>
      </c>
      <c r="BA157" s="17">
        <v>0</v>
      </c>
      <c r="BB157" s="17">
        <v>0</v>
      </c>
      <c r="BC157" s="17">
        <f t="shared" si="101"/>
        <v>5000000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20">
        <f>SUM(PlanIndicativo[[#This Row],[Ingresos Corrientes de Libre Destinación - ICLD (2022)]:[Otros   (2022)]])</f>
        <v>8128529.4117647056</v>
      </c>
      <c r="BJ157" s="17">
        <f t="shared" si="102"/>
        <v>3128529.411764706</v>
      </c>
      <c r="BK157" s="17">
        <v>0</v>
      </c>
      <c r="BL157" s="17">
        <v>0</v>
      </c>
      <c r="BM157" s="17">
        <v>0</v>
      </c>
      <c r="BN157" s="17">
        <v>0</v>
      </c>
      <c r="BO157" s="17">
        <f t="shared" si="103"/>
        <v>5000000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21">
        <f>SUM(PlanIndicativo[[#This Row],[Ingresos Corrientes de Libre Destinación - ICLD (2023)]:[Otros (2023)]])</f>
        <v>8128529.4117647056</v>
      </c>
      <c r="BV157" s="21">
        <f>+PlanIndicativo[[#This Row],[Total (2020)]]+PlanIndicativo[[#This Row],[Total  (2021)]]+PlanIndicativo[[#This Row],[Total  (2022)]]+PlanIndicativo[[#This Row],[Total (2023)]]</f>
        <v>16257058.823529411</v>
      </c>
      <c r="BW157" s="22" t="s">
        <v>442</v>
      </c>
    </row>
    <row r="158" spans="1:75" ht="21" customHeight="1" x14ac:dyDescent="0.25">
      <c r="A158" s="7">
        <v>2</v>
      </c>
      <c r="B158" s="8" t="s">
        <v>480</v>
      </c>
      <c r="C158" s="7" t="s">
        <v>526</v>
      </c>
      <c r="D158" s="7" t="s">
        <v>527</v>
      </c>
      <c r="E158" s="7" t="s">
        <v>528</v>
      </c>
      <c r="F158" s="8" t="s">
        <v>529</v>
      </c>
      <c r="G158" s="7" t="s">
        <v>530</v>
      </c>
      <c r="H158" s="8" t="s">
        <v>531</v>
      </c>
      <c r="I158" s="9">
        <v>2402018</v>
      </c>
      <c r="J158" s="25" t="s">
        <v>536</v>
      </c>
      <c r="K158" s="25" t="s">
        <v>533</v>
      </c>
      <c r="L158" s="25" t="s">
        <v>262</v>
      </c>
      <c r="M158" s="25" t="s">
        <v>243</v>
      </c>
      <c r="N158" s="25" t="s">
        <v>86</v>
      </c>
      <c r="O158" s="25"/>
      <c r="P158" s="9">
        <v>240201800</v>
      </c>
      <c r="Q158" s="25" t="s">
        <v>537</v>
      </c>
      <c r="R158" s="12" t="s">
        <v>465</v>
      </c>
      <c r="S158" s="13" t="s">
        <v>93</v>
      </c>
      <c r="T158" s="14">
        <v>0</v>
      </c>
      <c r="U158" s="15">
        <v>2</v>
      </c>
      <c r="V158" s="30">
        <v>0.2</v>
      </c>
      <c r="W158" s="30">
        <v>0.6</v>
      </c>
      <c r="X158" s="30">
        <v>0.6</v>
      </c>
      <c r="Y158" s="30">
        <v>0.6</v>
      </c>
      <c r="Z158" s="17">
        <f>53185000/17*2</f>
        <v>6257058.823529412</v>
      </c>
      <c r="AA158" s="17">
        <v>0</v>
      </c>
      <c r="AB158" s="17">
        <v>0</v>
      </c>
      <c r="AC158" s="17">
        <v>0</v>
      </c>
      <c r="AD158" s="17">
        <v>0</v>
      </c>
      <c r="AE158" s="17">
        <v>1000000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8">
        <f>SUM(PlanIndicativo[[#This Row],[Ingresos Corrientes de Libre Destinación - ICLD (2020)]:[Otros (2020)]])</f>
        <v>7257058.823529412</v>
      </c>
      <c r="AL158" s="17">
        <f>53185000/17*2</f>
        <v>6257058.823529412</v>
      </c>
      <c r="AM158" s="17">
        <v>0</v>
      </c>
      <c r="AN158" s="17">
        <v>0</v>
      </c>
      <c r="AO158" s="17">
        <v>0</v>
      </c>
      <c r="AP158" s="17">
        <v>0</v>
      </c>
      <c r="AQ158" s="17">
        <f>85000000/17*2</f>
        <v>10000000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9">
        <f>SUM(PlanIndicativo[[#This Row],[Ingresos Corrientes de Libre Destinación - ICLD (2021)]:[Otros  (2021)]])</f>
        <v>16257058.823529411</v>
      </c>
      <c r="AX158" s="17">
        <f t="shared" si="100"/>
        <v>3128529.411764706</v>
      </c>
      <c r="AY158" s="17">
        <v>0</v>
      </c>
      <c r="AZ158" s="17">
        <v>0</v>
      </c>
      <c r="BA158" s="17">
        <v>0</v>
      </c>
      <c r="BB158" s="17">
        <v>0</v>
      </c>
      <c r="BC158" s="17">
        <f t="shared" si="101"/>
        <v>5000000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20">
        <f>SUM(PlanIndicativo[[#This Row],[Ingresos Corrientes de Libre Destinación - ICLD (2022)]:[Otros   (2022)]])</f>
        <v>8128529.4117647056</v>
      </c>
      <c r="BJ158" s="17">
        <f t="shared" si="102"/>
        <v>3128529.411764706</v>
      </c>
      <c r="BK158" s="17">
        <v>0</v>
      </c>
      <c r="BL158" s="17">
        <v>0</v>
      </c>
      <c r="BM158" s="17">
        <v>0</v>
      </c>
      <c r="BN158" s="17">
        <v>0</v>
      </c>
      <c r="BO158" s="17">
        <f t="shared" si="103"/>
        <v>5000000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21">
        <f>SUM(PlanIndicativo[[#This Row],[Ingresos Corrientes de Libre Destinación - ICLD (2023)]:[Otros (2023)]])</f>
        <v>8128529.4117647056</v>
      </c>
      <c r="BV158" s="21">
        <f>+PlanIndicativo[[#This Row],[Total (2020)]]+PlanIndicativo[[#This Row],[Total  (2021)]]+PlanIndicativo[[#This Row],[Total  (2022)]]+PlanIndicativo[[#This Row],[Total (2023)]]</f>
        <v>39771176.47058823</v>
      </c>
      <c r="BW158" s="22" t="s">
        <v>442</v>
      </c>
    </row>
    <row r="159" spans="1:75" ht="21" customHeight="1" x14ac:dyDescent="0.25">
      <c r="A159" s="7">
        <v>2</v>
      </c>
      <c r="B159" s="8" t="s">
        <v>480</v>
      </c>
      <c r="C159" s="7" t="s">
        <v>526</v>
      </c>
      <c r="D159" s="7" t="s">
        <v>527</v>
      </c>
      <c r="E159" s="7" t="s">
        <v>528</v>
      </c>
      <c r="F159" s="8" t="s">
        <v>529</v>
      </c>
      <c r="G159" s="7" t="s">
        <v>530</v>
      </c>
      <c r="H159" s="8" t="s">
        <v>531</v>
      </c>
      <c r="I159" s="9">
        <v>2402019</v>
      </c>
      <c r="J159" s="25" t="s">
        <v>538</v>
      </c>
      <c r="K159" s="25" t="s">
        <v>533</v>
      </c>
      <c r="L159" s="25" t="s">
        <v>262</v>
      </c>
      <c r="M159" s="25" t="s">
        <v>243</v>
      </c>
      <c r="N159" s="25" t="s">
        <v>86</v>
      </c>
      <c r="O159" s="25"/>
      <c r="P159" s="9">
        <v>240201900</v>
      </c>
      <c r="Q159" s="25" t="s">
        <v>539</v>
      </c>
      <c r="R159" s="12" t="s">
        <v>88</v>
      </c>
      <c r="S159" s="13" t="s">
        <v>93</v>
      </c>
      <c r="T159" s="14">
        <v>0</v>
      </c>
      <c r="U159" s="15">
        <v>1</v>
      </c>
      <c r="V159" s="30">
        <v>0</v>
      </c>
      <c r="W159" s="30">
        <v>0</v>
      </c>
      <c r="X159" s="30">
        <v>1</v>
      </c>
      <c r="Y159" s="30">
        <v>0</v>
      </c>
      <c r="Z159" s="17">
        <v>0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8">
        <f>SUM(PlanIndicativo[[#This Row],[Ingresos Corrientes de Libre Destinación - ICLD (2020)]:[Otros (2020)]])</f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17">
        <v>0</v>
      </c>
      <c r="AT159" s="17">
        <v>0</v>
      </c>
      <c r="AU159" s="17">
        <v>0</v>
      </c>
      <c r="AV159" s="17">
        <v>0</v>
      </c>
      <c r="AW159" s="19">
        <f>SUM(PlanIndicativo[[#This Row],[Ingresos Corrientes de Libre Destinación - ICLD (2021)]:[Otros  (2021)]])</f>
        <v>0</v>
      </c>
      <c r="AX159" s="17">
        <f t="shared" si="100"/>
        <v>3128529.411764706</v>
      </c>
      <c r="AY159" s="17">
        <v>0</v>
      </c>
      <c r="AZ159" s="17">
        <v>0</v>
      </c>
      <c r="BA159" s="17">
        <v>0</v>
      </c>
      <c r="BB159" s="17">
        <v>0</v>
      </c>
      <c r="BC159" s="17">
        <f t="shared" si="101"/>
        <v>5000000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20">
        <f>SUM(PlanIndicativo[[#This Row],[Ingresos Corrientes de Libre Destinación - ICLD (2022)]:[Otros   (2022)]])</f>
        <v>8128529.4117647056</v>
      </c>
      <c r="BJ159" s="17">
        <f t="shared" si="102"/>
        <v>3128529.411764706</v>
      </c>
      <c r="BK159" s="17">
        <v>0</v>
      </c>
      <c r="BL159" s="17">
        <v>0</v>
      </c>
      <c r="BM159" s="17">
        <v>0</v>
      </c>
      <c r="BN159" s="17">
        <v>0</v>
      </c>
      <c r="BO159" s="17">
        <f t="shared" si="103"/>
        <v>5000000</v>
      </c>
      <c r="BP159" s="17">
        <v>0</v>
      </c>
      <c r="BQ159" s="17">
        <v>0</v>
      </c>
      <c r="BR159" s="17">
        <v>0</v>
      </c>
      <c r="BS159" s="17">
        <v>0</v>
      </c>
      <c r="BT159" s="17">
        <v>0</v>
      </c>
      <c r="BU159" s="21">
        <f>SUM(PlanIndicativo[[#This Row],[Ingresos Corrientes de Libre Destinación - ICLD (2023)]:[Otros (2023)]])</f>
        <v>8128529.4117647056</v>
      </c>
      <c r="BV159" s="21">
        <f>+PlanIndicativo[[#This Row],[Total (2020)]]+PlanIndicativo[[#This Row],[Total  (2021)]]+PlanIndicativo[[#This Row],[Total  (2022)]]+PlanIndicativo[[#This Row],[Total (2023)]]</f>
        <v>16257058.823529411</v>
      </c>
      <c r="BW159" s="22" t="s">
        <v>442</v>
      </c>
    </row>
    <row r="160" spans="1:75" ht="21" customHeight="1" x14ac:dyDescent="0.25">
      <c r="A160" s="7">
        <v>2</v>
      </c>
      <c r="B160" s="8" t="s">
        <v>480</v>
      </c>
      <c r="C160" s="7" t="s">
        <v>526</v>
      </c>
      <c r="D160" s="7" t="s">
        <v>527</v>
      </c>
      <c r="E160" s="7" t="s">
        <v>528</v>
      </c>
      <c r="F160" s="8" t="s">
        <v>529</v>
      </c>
      <c r="G160" s="7" t="s">
        <v>530</v>
      </c>
      <c r="H160" s="8" t="s">
        <v>531</v>
      </c>
      <c r="I160" s="9">
        <v>2402042</v>
      </c>
      <c r="J160" s="25" t="s">
        <v>540</v>
      </c>
      <c r="K160" s="25" t="s">
        <v>541</v>
      </c>
      <c r="L160" s="25" t="s">
        <v>262</v>
      </c>
      <c r="M160" s="25" t="s">
        <v>243</v>
      </c>
      <c r="N160" s="25" t="s">
        <v>86</v>
      </c>
      <c r="O160" s="25"/>
      <c r="P160" s="9">
        <v>240204200</v>
      </c>
      <c r="Q160" s="25" t="s">
        <v>542</v>
      </c>
      <c r="R160" s="12" t="s">
        <v>543</v>
      </c>
      <c r="S160" s="13" t="s">
        <v>93</v>
      </c>
      <c r="T160" s="14">
        <v>0</v>
      </c>
      <c r="U160" s="15">
        <v>1500</v>
      </c>
      <c r="V160" s="30">
        <v>200</v>
      </c>
      <c r="W160" s="30">
        <v>300</v>
      </c>
      <c r="X160" s="30">
        <v>100</v>
      </c>
      <c r="Y160" s="30">
        <v>0</v>
      </c>
      <c r="Z160" s="17">
        <f>53185000/17*2</f>
        <v>6257058.823529412</v>
      </c>
      <c r="AA160" s="17">
        <v>0</v>
      </c>
      <c r="AB160" s="17">
        <v>0</v>
      </c>
      <c r="AC160" s="17">
        <v>0</v>
      </c>
      <c r="AD160" s="17">
        <v>0</v>
      </c>
      <c r="AE160" s="17">
        <v>19000000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8">
        <f>SUM(PlanIndicativo[[#This Row],[Ingresos Corrientes de Libre Destinación - ICLD (2020)]:[Otros (2020)]])</f>
        <v>25257058.823529411</v>
      </c>
      <c r="AL160" s="17">
        <f>53185000/17*2</f>
        <v>6257058.823529412</v>
      </c>
      <c r="AM160" s="17">
        <v>0</v>
      </c>
      <c r="AN160" s="17">
        <v>0</v>
      </c>
      <c r="AO160" s="17">
        <v>0</v>
      </c>
      <c r="AP160" s="17">
        <v>0</v>
      </c>
      <c r="AQ160" s="17">
        <f>85000000/17*2</f>
        <v>10000000</v>
      </c>
      <c r="AR160" s="17">
        <v>0</v>
      </c>
      <c r="AS160" s="17">
        <v>0</v>
      </c>
      <c r="AT160" s="17">
        <v>0</v>
      </c>
      <c r="AU160" s="17">
        <v>0</v>
      </c>
      <c r="AV160" s="17">
        <v>0</v>
      </c>
      <c r="AW160" s="19">
        <f>SUM(PlanIndicativo[[#This Row],[Ingresos Corrientes de Libre Destinación - ICLD (2021)]:[Otros  (2021)]])</f>
        <v>16257058.823529411</v>
      </c>
      <c r="AX160" s="17">
        <f t="shared" si="100"/>
        <v>3128529.411764706</v>
      </c>
      <c r="AY160" s="17">
        <v>0</v>
      </c>
      <c r="AZ160" s="17">
        <v>0</v>
      </c>
      <c r="BA160" s="17">
        <v>0</v>
      </c>
      <c r="BB160" s="17">
        <v>0</v>
      </c>
      <c r="BC160" s="17">
        <f t="shared" si="101"/>
        <v>5000000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20">
        <f>SUM(PlanIndicativo[[#This Row],[Ingresos Corrientes de Libre Destinación - ICLD (2022)]:[Otros   (2022)]])</f>
        <v>8128529.4117647056</v>
      </c>
      <c r="BJ160" s="17">
        <f t="shared" si="102"/>
        <v>3128529.411764706</v>
      </c>
      <c r="BK160" s="17">
        <v>0</v>
      </c>
      <c r="BL160" s="17">
        <v>0</v>
      </c>
      <c r="BM160" s="17">
        <v>0</v>
      </c>
      <c r="BN160" s="17">
        <v>0</v>
      </c>
      <c r="BO160" s="17">
        <f t="shared" si="103"/>
        <v>5000000</v>
      </c>
      <c r="BP160" s="17">
        <v>0</v>
      </c>
      <c r="BQ160" s="17">
        <v>0</v>
      </c>
      <c r="BR160" s="17">
        <v>0</v>
      </c>
      <c r="BS160" s="17">
        <v>0</v>
      </c>
      <c r="BT160" s="17">
        <v>0</v>
      </c>
      <c r="BU160" s="21">
        <f>SUM(PlanIndicativo[[#This Row],[Ingresos Corrientes de Libre Destinación - ICLD (2023)]:[Otros (2023)]])</f>
        <v>8128529.4117647056</v>
      </c>
      <c r="BV160" s="21">
        <f>+PlanIndicativo[[#This Row],[Total (2020)]]+PlanIndicativo[[#This Row],[Total  (2021)]]+PlanIndicativo[[#This Row],[Total  (2022)]]+PlanIndicativo[[#This Row],[Total (2023)]]</f>
        <v>57771176.47058823</v>
      </c>
      <c r="BW160" s="22" t="s">
        <v>442</v>
      </c>
    </row>
    <row r="161" spans="1:75" ht="21" customHeight="1" x14ac:dyDescent="0.25">
      <c r="A161" s="7">
        <v>2</v>
      </c>
      <c r="B161" s="8" t="s">
        <v>480</v>
      </c>
      <c r="C161" s="7" t="s">
        <v>526</v>
      </c>
      <c r="D161" s="7" t="s">
        <v>527</v>
      </c>
      <c r="E161" s="7" t="s">
        <v>528</v>
      </c>
      <c r="F161" s="8" t="s">
        <v>529</v>
      </c>
      <c r="G161" s="7" t="s">
        <v>530</v>
      </c>
      <c r="H161" s="8" t="s">
        <v>531</v>
      </c>
      <c r="I161" s="9">
        <v>2402044</v>
      </c>
      <c r="J161" s="25" t="s">
        <v>544</v>
      </c>
      <c r="K161" s="25" t="s">
        <v>545</v>
      </c>
      <c r="L161" s="25" t="s">
        <v>262</v>
      </c>
      <c r="M161" s="25" t="s">
        <v>243</v>
      </c>
      <c r="N161" s="25" t="s">
        <v>86</v>
      </c>
      <c r="O161" s="25"/>
      <c r="P161" s="9">
        <v>240204400</v>
      </c>
      <c r="Q161" s="25" t="s">
        <v>546</v>
      </c>
      <c r="R161" s="12" t="s">
        <v>88</v>
      </c>
      <c r="S161" s="13" t="s">
        <v>93</v>
      </c>
      <c r="T161" s="14">
        <v>0</v>
      </c>
      <c r="U161" s="15">
        <v>1</v>
      </c>
      <c r="V161" s="30">
        <v>0</v>
      </c>
      <c r="W161" s="30">
        <v>0</v>
      </c>
      <c r="X161" s="30">
        <v>0</v>
      </c>
      <c r="Y161" s="30">
        <v>1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8">
        <f>SUM(PlanIndicativo[[#This Row],[Ingresos Corrientes de Libre Destinación - ICLD (2020)]:[Otros (2020)]])</f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0</v>
      </c>
      <c r="AU161" s="17">
        <v>0</v>
      </c>
      <c r="AV161" s="17">
        <v>0</v>
      </c>
      <c r="AW161" s="19">
        <f>SUM(PlanIndicativo[[#This Row],[Ingresos Corrientes de Libre Destinación - ICLD (2021)]:[Otros  (2021)]])</f>
        <v>0</v>
      </c>
      <c r="AX161" s="17">
        <f t="shared" si="100"/>
        <v>3128529.411764706</v>
      </c>
      <c r="AY161" s="17">
        <v>0</v>
      </c>
      <c r="AZ161" s="17">
        <v>0</v>
      </c>
      <c r="BA161" s="17">
        <v>0</v>
      </c>
      <c r="BB161" s="17">
        <v>0</v>
      </c>
      <c r="BC161" s="17">
        <f t="shared" si="101"/>
        <v>5000000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20">
        <f>SUM(PlanIndicativo[[#This Row],[Ingresos Corrientes de Libre Destinación - ICLD (2022)]:[Otros   (2022)]])</f>
        <v>8128529.4117647056</v>
      </c>
      <c r="BJ161" s="17">
        <f t="shared" si="102"/>
        <v>3128529.411764706</v>
      </c>
      <c r="BK161" s="17">
        <v>0</v>
      </c>
      <c r="BL161" s="17">
        <v>0</v>
      </c>
      <c r="BM161" s="17">
        <v>0</v>
      </c>
      <c r="BN161" s="17">
        <v>0</v>
      </c>
      <c r="BO161" s="17">
        <f t="shared" si="103"/>
        <v>5000000</v>
      </c>
      <c r="BP161" s="17">
        <v>0</v>
      </c>
      <c r="BQ161" s="17">
        <v>0</v>
      </c>
      <c r="BR161" s="17">
        <v>0</v>
      </c>
      <c r="BS161" s="17">
        <v>0</v>
      </c>
      <c r="BT161" s="17">
        <v>0</v>
      </c>
      <c r="BU161" s="21">
        <f>SUM(PlanIndicativo[[#This Row],[Ingresos Corrientes de Libre Destinación - ICLD (2023)]:[Otros (2023)]])</f>
        <v>8128529.4117647056</v>
      </c>
      <c r="BV161" s="21">
        <f>+PlanIndicativo[[#This Row],[Total (2020)]]+PlanIndicativo[[#This Row],[Total  (2021)]]+PlanIndicativo[[#This Row],[Total  (2022)]]+PlanIndicativo[[#This Row],[Total (2023)]]</f>
        <v>16257058.823529411</v>
      </c>
      <c r="BW161" s="22" t="s">
        <v>442</v>
      </c>
    </row>
    <row r="162" spans="1:75" ht="21" customHeight="1" x14ac:dyDescent="0.25">
      <c r="A162" s="7">
        <v>2</v>
      </c>
      <c r="B162" s="8" t="s">
        <v>480</v>
      </c>
      <c r="C162" s="7" t="s">
        <v>526</v>
      </c>
      <c r="D162" s="7" t="s">
        <v>527</v>
      </c>
      <c r="E162" s="7" t="s">
        <v>528</v>
      </c>
      <c r="F162" s="8" t="s">
        <v>529</v>
      </c>
      <c r="G162" s="7" t="s">
        <v>530</v>
      </c>
      <c r="H162" s="8" t="s">
        <v>531</v>
      </c>
      <c r="I162" s="9">
        <v>2402045</v>
      </c>
      <c r="J162" s="25" t="s">
        <v>547</v>
      </c>
      <c r="K162" s="25" t="s">
        <v>545</v>
      </c>
      <c r="L162" s="25" t="s">
        <v>262</v>
      </c>
      <c r="M162" s="25" t="s">
        <v>243</v>
      </c>
      <c r="N162" s="25" t="s">
        <v>86</v>
      </c>
      <c r="O162" s="25"/>
      <c r="P162" s="9">
        <v>240204500</v>
      </c>
      <c r="Q162" s="25" t="s">
        <v>548</v>
      </c>
      <c r="R162" s="12" t="s">
        <v>465</v>
      </c>
      <c r="S162" s="13" t="s">
        <v>93</v>
      </c>
      <c r="T162" s="14">
        <v>0</v>
      </c>
      <c r="U162" s="16">
        <v>1.5</v>
      </c>
      <c r="V162" s="30">
        <v>0.2</v>
      </c>
      <c r="W162" s="30">
        <v>0.3</v>
      </c>
      <c r="X162" s="30">
        <v>100</v>
      </c>
      <c r="Y162" s="30">
        <v>0</v>
      </c>
      <c r="Z162" s="17">
        <f>53185000/17*2</f>
        <v>6257058.823529412</v>
      </c>
      <c r="AA162" s="17">
        <v>0</v>
      </c>
      <c r="AB162" s="17">
        <v>0</v>
      </c>
      <c r="AC162" s="17">
        <v>0</v>
      </c>
      <c r="AD162" s="17">
        <v>0</v>
      </c>
      <c r="AE162" s="17">
        <f>85000000/17*2</f>
        <v>10000000</v>
      </c>
      <c r="AF162" s="17">
        <v>0</v>
      </c>
      <c r="AG162" s="17">
        <v>248518857</v>
      </c>
      <c r="AH162" s="17">
        <v>0</v>
      </c>
      <c r="AI162" s="17">
        <v>0</v>
      </c>
      <c r="AJ162" s="17">
        <v>0</v>
      </c>
      <c r="AK162" s="18">
        <f>SUM(PlanIndicativo[[#This Row],[Ingresos Corrientes de Libre Destinación - ICLD (2020)]:[Otros (2020)]])</f>
        <v>264775915.82352942</v>
      </c>
      <c r="AL162" s="17">
        <f>53185000/17*2</f>
        <v>6257058.823529412</v>
      </c>
      <c r="AM162" s="17">
        <v>0</v>
      </c>
      <c r="AN162" s="17">
        <v>0</v>
      </c>
      <c r="AO162" s="17">
        <v>0</v>
      </c>
      <c r="AP162" s="17">
        <v>0</v>
      </c>
      <c r="AQ162" s="17">
        <f>85000000/17*2</f>
        <v>10000000</v>
      </c>
      <c r="AR162" s="17">
        <v>0</v>
      </c>
      <c r="AS162" s="17">
        <v>508454284</v>
      </c>
      <c r="AT162" s="17">
        <v>0</v>
      </c>
      <c r="AU162" s="17">
        <v>0</v>
      </c>
      <c r="AV162" s="17">
        <v>0</v>
      </c>
      <c r="AW162" s="19">
        <f>SUM(PlanIndicativo[[#This Row],[Ingresos Corrientes de Libre Destinación - ICLD (2021)]:[Otros  (2021)]])</f>
        <v>524711342.82352942</v>
      </c>
      <c r="AX162" s="17">
        <f t="shared" si="100"/>
        <v>3128529.411764706</v>
      </c>
      <c r="AY162" s="17">
        <v>0</v>
      </c>
      <c r="AZ162" s="17">
        <v>0</v>
      </c>
      <c r="BA162" s="17">
        <v>0</v>
      </c>
      <c r="BB162" s="17">
        <v>0</v>
      </c>
      <c r="BC162" s="17">
        <f t="shared" si="101"/>
        <v>5000000</v>
      </c>
      <c r="BD162" s="17">
        <v>0</v>
      </c>
      <c r="BE162" s="17">
        <v>498260209</v>
      </c>
      <c r="BF162" s="17">
        <v>0</v>
      </c>
      <c r="BG162" s="17">
        <v>0</v>
      </c>
      <c r="BH162" s="17">
        <v>0</v>
      </c>
      <c r="BI162" s="20">
        <f>SUM(PlanIndicativo[[#This Row],[Ingresos Corrientes de Libre Destinación - ICLD (2022)]:[Otros   (2022)]])</f>
        <v>506388738.41176468</v>
      </c>
      <c r="BJ162" s="17">
        <f t="shared" si="102"/>
        <v>3128529.411764706</v>
      </c>
      <c r="BK162" s="17">
        <v>0</v>
      </c>
      <c r="BL162" s="17">
        <v>0</v>
      </c>
      <c r="BM162" s="17">
        <v>0</v>
      </c>
      <c r="BN162" s="17">
        <v>0</v>
      </c>
      <c r="BO162" s="17">
        <f t="shared" si="103"/>
        <v>5000000</v>
      </c>
      <c r="BP162" s="17">
        <v>0</v>
      </c>
      <c r="BQ162" s="17">
        <v>521939480</v>
      </c>
      <c r="BR162" s="17">
        <v>0</v>
      </c>
      <c r="BS162" s="17">
        <v>0</v>
      </c>
      <c r="BT162" s="17">
        <v>0</v>
      </c>
      <c r="BU162" s="21">
        <f>SUM(PlanIndicativo[[#This Row],[Ingresos Corrientes de Libre Destinación - ICLD (2023)]:[Otros (2023)]])</f>
        <v>530068009.41176468</v>
      </c>
      <c r="BV162" s="21">
        <f>+PlanIndicativo[[#This Row],[Total (2020)]]+PlanIndicativo[[#This Row],[Total  (2021)]]+PlanIndicativo[[#This Row],[Total  (2022)]]+PlanIndicativo[[#This Row],[Total (2023)]]</f>
        <v>1825944006.4705882</v>
      </c>
      <c r="BW162" s="22" t="s">
        <v>442</v>
      </c>
    </row>
    <row r="163" spans="1:75" ht="21" customHeight="1" x14ac:dyDescent="0.25">
      <c r="A163" s="7">
        <v>2</v>
      </c>
      <c r="B163" s="8" t="s">
        <v>480</v>
      </c>
      <c r="C163" s="7" t="s">
        <v>526</v>
      </c>
      <c r="D163" s="7" t="s">
        <v>527</v>
      </c>
      <c r="E163" s="7" t="s">
        <v>528</v>
      </c>
      <c r="F163" s="8" t="s">
        <v>529</v>
      </c>
      <c r="G163" s="7" t="s">
        <v>530</v>
      </c>
      <c r="H163" s="8" t="s">
        <v>531</v>
      </c>
      <c r="I163" s="9">
        <v>2402046</v>
      </c>
      <c r="J163" s="25" t="s">
        <v>549</v>
      </c>
      <c r="K163" s="25" t="s">
        <v>545</v>
      </c>
      <c r="L163" s="25" t="s">
        <v>262</v>
      </c>
      <c r="M163" s="25" t="s">
        <v>243</v>
      </c>
      <c r="N163" s="25" t="s">
        <v>86</v>
      </c>
      <c r="O163" s="25"/>
      <c r="P163" s="9">
        <v>240204600</v>
      </c>
      <c r="Q163" s="25" t="s">
        <v>550</v>
      </c>
      <c r="R163" s="12" t="s">
        <v>88</v>
      </c>
      <c r="S163" s="13" t="s">
        <v>93</v>
      </c>
      <c r="T163" s="14">
        <v>0</v>
      </c>
      <c r="U163" s="15">
        <v>1</v>
      </c>
      <c r="V163" s="30">
        <v>0</v>
      </c>
      <c r="W163" s="30">
        <v>0</v>
      </c>
      <c r="X163" s="30">
        <v>0</v>
      </c>
      <c r="Y163" s="30">
        <v>1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0</v>
      </c>
      <c r="AK163" s="18">
        <f>SUM(PlanIndicativo[[#This Row],[Ingresos Corrientes de Libre Destinación - ICLD (2020)]:[Otros (2020)]])</f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9">
        <f>SUM(PlanIndicativo[[#This Row],[Ingresos Corrientes de Libre Destinación - ICLD (2021)]:[Otros  (2021)]])</f>
        <v>0</v>
      </c>
      <c r="AX163" s="17">
        <f t="shared" si="100"/>
        <v>3128529.411764706</v>
      </c>
      <c r="AY163" s="17">
        <v>0</v>
      </c>
      <c r="AZ163" s="17">
        <v>0</v>
      </c>
      <c r="BA163" s="17">
        <v>0</v>
      </c>
      <c r="BB163" s="17">
        <v>0</v>
      </c>
      <c r="BC163" s="17">
        <f t="shared" si="101"/>
        <v>5000000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20">
        <f>SUM(PlanIndicativo[[#This Row],[Ingresos Corrientes de Libre Destinación - ICLD (2022)]:[Otros   (2022)]])</f>
        <v>8128529.4117647056</v>
      </c>
      <c r="BJ163" s="17">
        <f t="shared" si="102"/>
        <v>3128529.411764706</v>
      </c>
      <c r="BK163" s="17">
        <v>0</v>
      </c>
      <c r="BL163" s="17">
        <v>0</v>
      </c>
      <c r="BM163" s="17">
        <v>0</v>
      </c>
      <c r="BN163" s="17">
        <v>0</v>
      </c>
      <c r="BO163" s="17">
        <f t="shared" si="103"/>
        <v>5000000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21">
        <f>SUM(PlanIndicativo[[#This Row],[Ingresos Corrientes de Libre Destinación - ICLD (2023)]:[Otros (2023)]])</f>
        <v>8128529.4117647056</v>
      </c>
      <c r="BV163" s="21">
        <f>+PlanIndicativo[[#This Row],[Total (2020)]]+PlanIndicativo[[#This Row],[Total  (2021)]]+PlanIndicativo[[#This Row],[Total  (2022)]]+PlanIndicativo[[#This Row],[Total (2023)]]</f>
        <v>16257058.823529411</v>
      </c>
      <c r="BW163" s="22" t="s">
        <v>442</v>
      </c>
    </row>
    <row r="164" spans="1:75" ht="21" customHeight="1" x14ac:dyDescent="0.25">
      <c r="A164" s="7">
        <v>2</v>
      </c>
      <c r="B164" s="8" t="s">
        <v>480</v>
      </c>
      <c r="C164" s="7" t="s">
        <v>526</v>
      </c>
      <c r="D164" s="7" t="s">
        <v>527</v>
      </c>
      <c r="E164" s="7" t="s">
        <v>528</v>
      </c>
      <c r="F164" s="8" t="s">
        <v>529</v>
      </c>
      <c r="G164" s="7" t="s">
        <v>530</v>
      </c>
      <c r="H164" s="8" t="s">
        <v>531</v>
      </c>
      <c r="I164" s="9">
        <v>2402056</v>
      </c>
      <c r="J164" s="25" t="s">
        <v>551</v>
      </c>
      <c r="K164" s="25" t="s">
        <v>552</v>
      </c>
      <c r="L164" s="25" t="s">
        <v>262</v>
      </c>
      <c r="M164" s="25" t="s">
        <v>243</v>
      </c>
      <c r="N164" s="25" t="s">
        <v>86</v>
      </c>
      <c r="O164" s="25"/>
      <c r="P164" s="9">
        <v>240205600</v>
      </c>
      <c r="Q164" s="25" t="s">
        <v>553</v>
      </c>
      <c r="R164" s="12" t="s">
        <v>465</v>
      </c>
      <c r="S164" s="13" t="s">
        <v>93</v>
      </c>
      <c r="T164" s="14">
        <v>0</v>
      </c>
      <c r="U164" s="15">
        <v>5</v>
      </c>
      <c r="V164" s="30">
        <v>0.5</v>
      </c>
      <c r="W164" s="30">
        <v>1</v>
      </c>
      <c r="X164" s="30">
        <v>2</v>
      </c>
      <c r="Y164" s="30">
        <v>1.5</v>
      </c>
      <c r="Z164" s="17">
        <f>53185000/17*2</f>
        <v>6257058.823529412</v>
      </c>
      <c r="AA164" s="17">
        <v>0</v>
      </c>
      <c r="AB164" s="17">
        <v>0</v>
      </c>
      <c r="AC164" s="17">
        <v>0</v>
      </c>
      <c r="AD164" s="17">
        <v>0</v>
      </c>
      <c r="AE164" s="17">
        <f>85000000/17*2</f>
        <v>10000000</v>
      </c>
      <c r="AF164" s="17">
        <v>0</v>
      </c>
      <c r="AG164" s="17">
        <v>0</v>
      </c>
      <c r="AH164" s="17">
        <v>0</v>
      </c>
      <c r="AI164" s="17">
        <v>0</v>
      </c>
      <c r="AJ164" s="17">
        <v>0</v>
      </c>
      <c r="AK164" s="18">
        <f>SUM(PlanIndicativo[[#This Row],[Ingresos Corrientes de Libre Destinación - ICLD (2020)]:[Otros (2020)]])</f>
        <v>16257058.823529411</v>
      </c>
      <c r="AL164" s="17">
        <f t="shared" ref="AL164:AL172" si="104">53185000/17</f>
        <v>3128529.411764706</v>
      </c>
      <c r="AM164" s="17">
        <v>0</v>
      </c>
      <c r="AN164" s="17">
        <v>0</v>
      </c>
      <c r="AO164" s="17">
        <v>0</v>
      </c>
      <c r="AP164" s="17">
        <v>0</v>
      </c>
      <c r="AQ164" s="17">
        <f t="shared" ref="AQ164:AQ171" si="105">85000000/17</f>
        <v>5000000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9">
        <f>SUM(PlanIndicativo[[#This Row],[Ingresos Corrientes de Libre Destinación - ICLD (2021)]:[Otros  (2021)]])</f>
        <v>8128529.4117647056</v>
      </c>
      <c r="AX164" s="17">
        <f t="shared" si="100"/>
        <v>3128529.411764706</v>
      </c>
      <c r="AY164" s="17">
        <v>0</v>
      </c>
      <c r="AZ164" s="17">
        <v>0</v>
      </c>
      <c r="BA164" s="17">
        <v>0</v>
      </c>
      <c r="BB164" s="17">
        <v>0</v>
      </c>
      <c r="BC164" s="17">
        <f t="shared" si="101"/>
        <v>5000000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20">
        <f>SUM(PlanIndicativo[[#This Row],[Ingresos Corrientes de Libre Destinación - ICLD (2022)]:[Otros   (2022)]])</f>
        <v>8128529.4117647056</v>
      </c>
      <c r="BJ164" s="17">
        <f t="shared" si="102"/>
        <v>3128529.411764706</v>
      </c>
      <c r="BK164" s="17">
        <v>0</v>
      </c>
      <c r="BL164" s="17">
        <v>0</v>
      </c>
      <c r="BM164" s="17">
        <v>0</v>
      </c>
      <c r="BN164" s="17">
        <v>0</v>
      </c>
      <c r="BO164" s="17">
        <f t="shared" si="103"/>
        <v>5000000</v>
      </c>
      <c r="BP164" s="17">
        <v>0</v>
      </c>
      <c r="BQ164" s="17">
        <v>0</v>
      </c>
      <c r="BR164" s="17">
        <v>0</v>
      </c>
      <c r="BS164" s="17">
        <v>0</v>
      </c>
      <c r="BT164" s="17">
        <v>0</v>
      </c>
      <c r="BU164" s="21">
        <f>SUM(PlanIndicativo[[#This Row],[Ingresos Corrientes de Libre Destinación - ICLD (2023)]:[Otros (2023)]])</f>
        <v>8128529.4117647056</v>
      </c>
      <c r="BV164" s="21">
        <f>+PlanIndicativo[[#This Row],[Total (2020)]]+PlanIndicativo[[#This Row],[Total  (2021)]]+PlanIndicativo[[#This Row],[Total  (2022)]]+PlanIndicativo[[#This Row],[Total (2023)]]</f>
        <v>40642647.058823526</v>
      </c>
      <c r="BW164" s="22" t="s">
        <v>442</v>
      </c>
    </row>
    <row r="165" spans="1:75" ht="21" customHeight="1" x14ac:dyDescent="0.25">
      <c r="A165" s="7">
        <v>2</v>
      </c>
      <c r="B165" s="8" t="s">
        <v>480</v>
      </c>
      <c r="C165" s="7" t="s">
        <v>526</v>
      </c>
      <c r="D165" s="7" t="s">
        <v>527</v>
      </c>
      <c r="E165" s="7" t="s">
        <v>528</v>
      </c>
      <c r="F165" s="8" t="s">
        <v>529</v>
      </c>
      <c r="G165" s="7" t="s">
        <v>530</v>
      </c>
      <c r="H165" s="8" t="s">
        <v>531</v>
      </c>
      <c r="I165" s="9">
        <v>2402057</v>
      </c>
      <c r="J165" s="25" t="s">
        <v>554</v>
      </c>
      <c r="K165" s="25" t="s">
        <v>552</v>
      </c>
      <c r="L165" s="25" t="s">
        <v>262</v>
      </c>
      <c r="M165" s="25" t="s">
        <v>243</v>
      </c>
      <c r="N165" s="25" t="s">
        <v>86</v>
      </c>
      <c r="O165" s="25"/>
      <c r="P165" s="9">
        <v>240205700</v>
      </c>
      <c r="Q165" s="25" t="s">
        <v>555</v>
      </c>
      <c r="R165" s="12" t="s">
        <v>88</v>
      </c>
      <c r="S165" s="13" t="s">
        <v>93</v>
      </c>
      <c r="T165" s="14">
        <v>0</v>
      </c>
      <c r="U165" s="15">
        <v>2</v>
      </c>
      <c r="V165" s="30">
        <v>0</v>
      </c>
      <c r="W165" s="30">
        <v>0</v>
      </c>
      <c r="X165" s="30">
        <v>1</v>
      </c>
      <c r="Y165" s="30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8">
        <f>SUM(PlanIndicativo[[#This Row],[Ingresos Corrientes de Libre Destinación - ICLD (2020)]:[Otros (2020)]])</f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9">
        <f>SUM(PlanIndicativo[[#This Row],[Ingresos Corrientes de Libre Destinación - ICLD (2021)]:[Otros  (2021)]])</f>
        <v>0</v>
      </c>
      <c r="AX165" s="17">
        <f t="shared" si="100"/>
        <v>3128529.411764706</v>
      </c>
      <c r="AY165" s="17">
        <v>0</v>
      </c>
      <c r="AZ165" s="17">
        <v>0</v>
      </c>
      <c r="BA165" s="17">
        <v>0</v>
      </c>
      <c r="BB165" s="17">
        <v>0</v>
      </c>
      <c r="BC165" s="17">
        <f t="shared" si="101"/>
        <v>5000000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20">
        <f>SUM(PlanIndicativo[[#This Row],[Ingresos Corrientes de Libre Destinación - ICLD (2022)]:[Otros   (2022)]])</f>
        <v>8128529.4117647056</v>
      </c>
      <c r="BJ165" s="17">
        <f t="shared" si="102"/>
        <v>3128529.411764706</v>
      </c>
      <c r="BK165" s="17">
        <v>0</v>
      </c>
      <c r="BL165" s="17">
        <v>0</v>
      </c>
      <c r="BM165" s="17">
        <v>0</v>
      </c>
      <c r="BN165" s="17">
        <v>0</v>
      </c>
      <c r="BO165" s="17">
        <f t="shared" si="103"/>
        <v>5000000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21">
        <f>SUM(PlanIndicativo[[#This Row],[Ingresos Corrientes de Libre Destinación - ICLD (2023)]:[Otros (2023)]])</f>
        <v>8128529.4117647056</v>
      </c>
      <c r="BV165" s="21">
        <f>+PlanIndicativo[[#This Row],[Total (2020)]]+PlanIndicativo[[#This Row],[Total  (2021)]]+PlanIndicativo[[#This Row],[Total  (2022)]]+PlanIndicativo[[#This Row],[Total (2023)]]</f>
        <v>16257058.823529411</v>
      </c>
      <c r="BW165" s="22" t="s">
        <v>442</v>
      </c>
    </row>
    <row r="166" spans="1:75" ht="21" customHeight="1" x14ac:dyDescent="0.25">
      <c r="A166" s="7">
        <v>2</v>
      </c>
      <c r="B166" s="8" t="s">
        <v>480</v>
      </c>
      <c r="C166" s="7" t="s">
        <v>526</v>
      </c>
      <c r="D166" s="7" t="s">
        <v>527</v>
      </c>
      <c r="E166" s="7" t="s">
        <v>528</v>
      </c>
      <c r="F166" s="8" t="s">
        <v>529</v>
      </c>
      <c r="G166" s="7" t="s">
        <v>530</v>
      </c>
      <c r="H166" s="8" t="s">
        <v>531</v>
      </c>
      <c r="I166" s="9">
        <v>2402104</v>
      </c>
      <c r="J166" s="25" t="s">
        <v>113</v>
      </c>
      <c r="K166" s="25" t="s">
        <v>552</v>
      </c>
      <c r="L166" s="25" t="s">
        <v>262</v>
      </c>
      <c r="M166" s="25" t="s">
        <v>243</v>
      </c>
      <c r="N166" s="25" t="s">
        <v>86</v>
      </c>
      <c r="O166" s="25"/>
      <c r="P166" s="9">
        <v>240210400</v>
      </c>
      <c r="Q166" s="25" t="s">
        <v>556</v>
      </c>
      <c r="R166" s="12" t="s">
        <v>88</v>
      </c>
      <c r="S166" s="13" t="s">
        <v>93</v>
      </c>
      <c r="T166" s="14">
        <v>0</v>
      </c>
      <c r="U166" s="15">
        <v>1</v>
      </c>
      <c r="V166" s="30">
        <v>0</v>
      </c>
      <c r="W166" s="30">
        <v>1</v>
      </c>
      <c r="X166" s="30">
        <v>0</v>
      </c>
      <c r="Y166" s="30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8">
        <f>SUM(PlanIndicativo[[#This Row],[Ingresos Corrientes de Libre Destinación - ICLD (2020)]:[Otros (2020)]])</f>
        <v>0</v>
      </c>
      <c r="AL166" s="17">
        <f>53185000/17*2</f>
        <v>6257058.823529412</v>
      </c>
      <c r="AM166" s="17">
        <v>0</v>
      </c>
      <c r="AN166" s="17">
        <v>0</v>
      </c>
      <c r="AO166" s="17">
        <v>0</v>
      </c>
      <c r="AP166" s="17">
        <v>0</v>
      </c>
      <c r="AQ166" s="17">
        <f>85000000/17*2</f>
        <v>10000000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9">
        <f>SUM(PlanIndicativo[[#This Row],[Ingresos Corrientes de Libre Destinación - ICLD (2021)]:[Otros  (2021)]])</f>
        <v>16257058.823529411</v>
      </c>
      <c r="AX166" s="17">
        <f t="shared" si="100"/>
        <v>3128529.411764706</v>
      </c>
      <c r="AY166" s="17">
        <v>0</v>
      </c>
      <c r="AZ166" s="17">
        <v>0</v>
      </c>
      <c r="BA166" s="17">
        <v>0</v>
      </c>
      <c r="BB166" s="17">
        <v>0</v>
      </c>
      <c r="BC166" s="17">
        <f t="shared" si="101"/>
        <v>5000000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20">
        <f>SUM(PlanIndicativo[[#This Row],[Ingresos Corrientes de Libre Destinación - ICLD (2022)]:[Otros   (2022)]])</f>
        <v>8128529.4117647056</v>
      </c>
      <c r="BJ166" s="17">
        <f t="shared" si="102"/>
        <v>3128529.411764706</v>
      </c>
      <c r="BK166" s="17">
        <v>0</v>
      </c>
      <c r="BL166" s="17">
        <v>0</v>
      </c>
      <c r="BM166" s="17">
        <v>0</v>
      </c>
      <c r="BN166" s="17">
        <v>0</v>
      </c>
      <c r="BO166" s="17">
        <f t="shared" si="103"/>
        <v>5000000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21">
        <f>SUM(PlanIndicativo[[#This Row],[Ingresos Corrientes de Libre Destinación - ICLD (2023)]:[Otros (2023)]])</f>
        <v>8128529.4117647056</v>
      </c>
      <c r="BV166" s="21">
        <f>+PlanIndicativo[[#This Row],[Total (2020)]]+PlanIndicativo[[#This Row],[Total  (2021)]]+PlanIndicativo[[#This Row],[Total  (2022)]]+PlanIndicativo[[#This Row],[Total (2023)]]</f>
        <v>32514117.647058822</v>
      </c>
      <c r="BW166" s="22" t="s">
        <v>442</v>
      </c>
    </row>
    <row r="167" spans="1:75" ht="21" customHeight="1" x14ac:dyDescent="0.25">
      <c r="A167" s="7">
        <v>2</v>
      </c>
      <c r="B167" s="8" t="s">
        <v>480</v>
      </c>
      <c r="C167" s="7" t="s">
        <v>526</v>
      </c>
      <c r="D167" s="7" t="s">
        <v>527</v>
      </c>
      <c r="E167" s="7" t="s">
        <v>528</v>
      </c>
      <c r="F167" s="8" t="s">
        <v>529</v>
      </c>
      <c r="G167" s="7" t="s">
        <v>530</v>
      </c>
      <c r="H167" s="8" t="s">
        <v>531</v>
      </c>
      <c r="I167" s="9">
        <v>2402112</v>
      </c>
      <c r="J167" s="11" t="s">
        <v>557</v>
      </c>
      <c r="K167" s="25" t="s">
        <v>552</v>
      </c>
      <c r="L167" s="25" t="s">
        <v>262</v>
      </c>
      <c r="M167" s="25" t="s">
        <v>243</v>
      </c>
      <c r="N167" s="25" t="s">
        <v>86</v>
      </c>
      <c r="O167" s="11"/>
      <c r="P167" s="9">
        <v>240211200</v>
      </c>
      <c r="Q167" s="11" t="s">
        <v>558</v>
      </c>
      <c r="R167" s="12" t="s">
        <v>465</v>
      </c>
      <c r="S167" s="13" t="s">
        <v>93</v>
      </c>
      <c r="T167" s="36">
        <v>0</v>
      </c>
      <c r="U167" s="37">
        <v>1500</v>
      </c>
      <c r="V167" s="38">
        <v>200</v>
      </c>
      <c r="W167" s="38">
        <v>400</v>
      </c>
      <c r="X167" s="38">
        <v>400</v>
      </c>
      <c r="Y167" s="38">
        <v>400</v>
      </c>
      <c r="Z167" s="17">
        <f>53185000/17*2</f>
        <v>6257058.823529412</v>
      </c>
      <c r="AA167" s="17">
        <v>0</v>
      </c>
      <c r="AB167" s="17">
        <v>0</v>
      </c>
      <c r="AC167" s="17">
        <v>0</v>
      </c>
      <c r="AD167" s="17">
        <v>0</v>
      </c>
      <c r="AE167" s="17">
        <v>15000000</v>
      </c>
      <c r="AF167" s="17">
        <v>0</v>
      </c>
      <c r="AG167" s="17">
        <v>0</v>
      </c>
      <c r="AH167" s="17">
        <v>0</v>
      </c>
      <c r="AI167" s="17">
        <v>0</v>
      </c>
      <c r="AJ167" s="17">
        <v>0</v>
      </c>
      <c r="AK167" s="18">
        <f>SUM(PlanIndicativo[[#This Row],[Ingresos Corrientes de Libre Destinación - ICLD (2020)]:[Otros (2020)]])</f>
        <v>21257058.823529411</v>
      </c>
      <c r="AL167" s="17">
        <f t="shared" si="104"/>
        <v>3128529.411764706</v>
      </c>
      <c r="AM167" s="17">
        <v>0</v>
      </c>
      <c r="AN167" s="17">
        <v>0</v>
      </c>
      <c r="AO167" s="17">
        <v>0</v>
      </c>
      <c r="AP167" s="17">
        <v>0</v>
      </c>
      <c r="AQ167" s="17">
        <v>10000000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  <c r="AW167" s="19">
        <f>SUM(PlanIndicativo[[#This Row],[Ingresos Corrientes de Libre Destinación - ICLD (2021)]:[Otros  (2021)]])</f>
        <v>13128529.411764706</v>
      </c>
      <c r="AX167" s="17">
        <f t="shared" si="100"/>
        <v>3128529.411764706</v>
      </c>
      <c r="AY167" s="17">
        <v>0</v>
      </c>
      <c r="AZ167" s="17">
        <v>0</v>
      </c>
      <c r="BA167" s="17">
        <v>0</v>
      </c>
      <c r="BB167" s="17">
        <v>0</v>
      </c>
      <c r="BC167" s="17">
        <f t="shared" si="101"/>
        <v>5000000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20">
        <f>SUM(PlanIndicativo[[#This Row],[Ingresos Corrientes de Libre Destinación - ICLD (2022)]:[Otros   (2022)]])</f>
        <v>8128529.4117647056</v>
      </c>
      <c r="BJ167" s="17">
        <f t="shared" si="102"/>
        <v>3128529.411764706</v>
      </c>
      <c r="BK167" s="17">
        <v>0</v>
      </c>
      <c r="BL167" s="17">
        <v>0</v>
      </c>
      <c r="BM167" s="17">
        <v>0</v>
      </c>
      <c r="BN167" s="17">
        <v>0</v>
      </c>
      <c r="BO167" s="17">
        <f t="shared" si="103"/>
        <v>5000000</v>
      </c>
      <c r="BP167" s="17">
        <v>0</v>
      </c>
      <c r="BQ167" s="17">
        <v>0</v>
      </c>
      <c r="BR167" s="17">
        <v>0</v>
      </c>
      <c r="BS167" s="17">
        <v>0</v>
      </c>
      <c r="BT167" s="17">
        <v>0</v>
      </c>
      <c r="BU167" s="21">
        <f>SUM(PlanIndicativo[[#This Row],[Ingresos Corrientes de Libre Destinación - ICLD (2023)]:[Otros (2023)]])</f>
        <v>8128529.4117647056</v>
      </c>
      <c r="BV167" s="21">
        <f>+PlanIndicativo[[#This Row],[Total (2020)]]+PlanIndicativo[[#This Row],[Total  (2021)]]+PlanIndicativo[[#This Row],[Total  (2022)]]+PlanIndicativo[[#This Row],[Total (2023)]]</f>
        <v>50642647.058823526</v>
      </c>
      <c r="BW167" s="22" t="s">
        <v>442</v>
      </c>
    </row>
    <row r="168" spans="1:75" ht="21" customHeight="1" x14ac:dyDescent="0.25">
      <c r="A168" s="7">
        <v>2</v>
      </c>
      <c r="B168" s="8" t="s">
        <v>480</v>
      </c>
      <c r="C168" s="7" t="s">
        <v>526</v>
      </c>
      <c r="D168" s="7" t="s">
        <v>527</v>
      </c>
      <c r="E168" s="7" t="s">
        <v>528</v>
      </c>
      <c r="F168" s="8" t="s">
        <v>529</v>
      </c>
      <c r="G168" s="7" t="s">
        <v>530</v>
      </c>
      <c r="H168" s="8" t="s">
        <v>531</v>
      </c>
      <c r="I168" s="9">
        <v>2402116</v>
      </c>
      <c r="J168" s="11" t="s">
        <v>559</v>
      </c>
      <c r="K168" s="25" t="s">
        <v>552</v>
      </c>
      <c r="L168" s="25" t="s">
        <v>262</v>
      </c>
      <c r="M168" s="25" t="s">
        <v>243</v>
      </c>
      <c r="N168" s="25" t="s">
        <v>86</v>
      </c>
      <c r="O168" s="11"/>
      <c r="P168" s="9">
        <v>240211600</v>
      </c>
      <c r="Q168" s="11" t="s">
        <v>560</v>
      </c>
      <c r="R168" s="12" t="s">
        <v>465</v>
      </c>
      <c r="S168" s="13" t="s">
        <v>93</v>
      </c>
      <c r="T168" s="36">
        <v>0</v>
      </c>
      <c r="U168" s="39">
        <v>0.3</v>
      </c>
      <c r="V168" s="38">
        <v>0</v>
      </c>
      <c r="W168" s="38">
        <v>0.1</v>
      </c>
      <c r="X168" s="38">
        <v>0.2</v>
      </c>
      <c r="Y168" s="38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8">
        <f>SUM(PlanIndicativo[[#This Row],[Ingresos Corrientes de Libre Destinación - ICLD (2020)]:[Otros (2020)]])</f>
        <v>0</v>
      </c>
      <c r="AL168" s="17">
        <f t="shared" si="104"/>
        <v>3128529.411764706</v>
      </c>
      <c r="AM168" s="17">
        <v>0</v>
      </c>
      <c r="AN168" s="17">
        <v>0</v>
      </c>
      <c r="AO168" s="17">
        <v>0</v>
      </c>
      <c r="AP168" s="17">
        <v>0</v>
      </c>
      <c r="AQ168" s="17">
        <f t="shared" si="105"/>
        <v>5000000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9">
        <f>SUM(PlanIndicativo[[#This Row],[Ingresos Corrientes de Libre Destinación - ICLD (2021)]:[Otros  (2021)]])</f>
        <v>8128529.4117647056</v>
      </c>
      <c r="AX168" s="17">
        <f t="shared" si="100"/>
        <v>3128529.411764706</v>
      </c>
      <c r="AY168" s="17">
        <v>0</v>
      </c>
      <c r="AZ168" s="17">
        <v>0</v>
      </c>
      <c r="BA168" s="17">
        <v>0</v>
      </c>
      <c r="BB168" s="17">
        <v>0</v>
      </c>
      <c r="BC168" s="17">
        <f t="shared" si="101"/>
        <v>5000000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20">
        <f>SUM(PlanIndicativo[[#This Row],[Ingresos Corrientes de Libre Destinación - ICLD (2022)]:[Otros   (2022)]])</f>
        <v>8128529.4117647056</v>
      </c>
      <c r="BJ168" s="17">
        <f t="shared" si="102"/>
        <v>3128529.411764706</v>
      </c>
      <c r="BK168" s="17">
        <v>0</v>
      </c>
      <c r="BL168" s="17">
        <v>0</v>
      </c>
      <c r="BM168" s="17">
        <v>0</v>
      </c>
      <c r="BN168" s="17">
        <v>0</v>
      </c>
      <c r="BO168" s="17">
        <f t="shared" si="103"/>
        <v>5000000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21">
        <f>SUM(PlanIndicativo[[#This Row],[Ingresos Corrientes de Libre Destinación - ICLD (2023)]:[Otros (2023)]])</f>
        <v>8128529.4117647056</v>
      </c>
      <c r="BV168" s="21">
        <f>+PlanIndicativo[[#This Row],[Total (2020)]]+PlanIndicativo[[#This Row],[Total  (2021)]]+PlanIndicativo[[#This Row],[Total  (2022)]]+PlanIndicativo[[#This Row],[Total (2023)]]</f>
        <v>24385588.235294119</v>
      </c>
      <c r="BW168" s="22" t="s">
        <v>442</v>
      </c>
    </row>
    <row r="169" spans="1:75" ht="21" customHeight="1" x14ac:dyDescent="0.25">
      <c r="A169" s="7">
        <v>2</v>
      </c>
      <c r="B169" s="8" t="s">
        <v>480</v>
      </c>
      <c r="C169" s="7" t="s">
        <v>526</v>
      </c>
      <c r="D169" s="7" t="s">
        <v>527</v>
      </c>
      <c r="E169" s="7" t="s">
        <v>528</v>
      </c>
      <c r="F169" s="8" t="s">
        <v>529</v>
      </c>
      <c r="G169" s="7" t="s">
        <v>530</v>
      </c>
      <c r="H169" s="8" t="s">
        <v>531</v>
      </c>
      <c r="I169" s="9">
        <v>2402118</v>
      </c>
      <c r="J169" s="25" t="s">
        <v>561</v>
      </c>
      <c r="K169" s="25" t="s">
        <v>541</v>
      </c>
      <c r="L169" s="25" t="s">
        <v>262</v>
      </c>
      <c r="M169" s="25" t="s">
        <v>243</v>
      </c>
      <c r="N169" s="25" t="s">
        <v>86</v>
      </c>
      <c r="O169" s="25"/>
      <c r="P169" s="9">
        <v>240211800</v>
      </c>
      <c r="Q169" s="25" t="s">
        <v>562</v>
      </c>
      <c r="R169" s="12" t="s">
        <v>88</v>
      </c>
      <c r="S169" s="13" t="s">
        <v>93</v>
      </c>
      <c r="T169" s="14">
        <v>0</v>
      </c>
      <c r="U169" s="15">
        <v>2</v>
      </c>
      <c r="V169" s="30">
        <v>0</v>
      </c>
      <c r="W169" s="30">
        <v>1</v>
      </c>
      <c r="X169" s="30">
        <v>0</v>
      </c>
      <c r="Y169" s="30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8">
        <f>SUM(PlanIndicativo[[#This Row],[Ingresos Corrientes de Libre Destinación - ICLD (2020)]:[Otros (2020)]])</f>
        <v>0</v>
      </c>
      <c r="AL169" s="17">
        <f t="shared" si="104"/>
        <v>3128529.411764706</v>
      </c>
      <c r="AM169" s="17">
        <v>0</v>
      </c>
      <c r="AN169" s="17">
        <v>0</v>
      </c>
      <c r="AO169" s="17">
        <v>0</v>
      </c>
      <c r="AP169" s="17">
        <v>0</v>
      </c>
      <c r="AQ169" s="17">
        <f t="shared" si="105"/>
        <v>5000000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9">
        <f>SUM(PlanIndicativo[[#This Row],[Ingresos Corrientes de Libre Destinación - ICLD (2021)]:[Otros  (2021)]])</f>
        <v>8128529.4117647056</v>
      </c>
      <c r="AX169" s="17">
        <f t="shared" si="100"/>
        <v>3128529.411764706</v>
      </c>
      <c r="AY169" s="17">
        <v>0</v>
      </c>
      <c r="AZ169" s="17">
        <v>0</v>
      </c>
      <c r="BA169" s="17">
        <v>0</v>
      </c>
      <c r="BB169" s="17">
        <v>0</v>
      </c>
      <c r="BC169" s="17">
        <f t="shared" si="101"/>
        <v>5000000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20">
        <f>SUM(PlanIndicativo[[#This Row],[Ingresos Corrientes de Libre Destinación - ICLD (2022)]:[Otros   (2022)]])</f>
        <v>8128529.4117647056</v>
      </c>
      <c r="BJ169" s="17">
        <f t="shared" si="102"/>
        <v>3128529.411764706</v>
      </c>
      <c r="BK169" s="17">
        <v>0</v>
      </c>
      <c r="BL169" s="17">
        <v>0</v>
      </c>
      <c r="BM169" s="17">
        <v>0</v>
      </c>
      <c r="BN169" s="17">
        <v>0</v>
      </c>
      <c r="BO169" s="17">
        <f t="shared" si="103"/>
        <v>5000000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21">
        <f>SUM(PlanIndicativo[[#This Row],[Ingresos Corrientes de Libre Destinación - ICLD (2023)]:[Otros (2023)]])</f>
        <v>8128529.4117647056</v>
      </c>
      <c r="BV169" s="21">
        <f>+PlanIndicativo[[#This Row],[Total (2020)]]+PlanIndicativo[[#This Row],[Total  (2021)]]+PlanIndicativo[[#This Row],[Total  (2022)]]+PlanIndicativo[[#This Row],[Total (2023)]]</f>
        <v>24385588.235294119</v>
      </c>
      <c r="BW169" s="22" t="s">
        <v>442</v>
      </c>
    </row>
    <row r="170" spans="1:75" ht="21" customHeight="1" x14ac:dyDescent="0.25">
      <c r="A170" s="7">
        <v>2</v>
      </c>
      <c r="B170" s="8" t="s">
        <v>480</v>
      </c>
      <c r="C170" s="7" t="s">
        <v>526</v>
      </c>
      <c r="D170" s="7" t="s">
        <v>527</v>
      </c>
      <c r="E170" s="7" t="s">
        <v>528</v>
      </c>
      <c r="F170" s="8" t="s">
        <v>529</v>
      </c>
      <c r="G170" s="7" t="s">
        <v>563</v>
      </c>
      <c r="H170" s="8" t="s">
        <v>564</v>
      </c>
      <c r="I170" s="9">
        <v>2408029</v>
      </c>
      <c r="J170" s="25" t="s">
        <v>565</v>
      </c>
      <c r="K170" s="25" t="s">
        <v>566</v>
      </c>
      <c r="L170" s="25" t="s">
        <v>262</v>
      </c>
      <c r="M170" s="25" t="s">
        <v>243</v>
      </c>
      <c r="N170" s="25" t="s">
        <v>86</v>
      </c>
      <c r="O170" s="25"/>
      <c r="P170" s="9">
        <v>240802900</v>
      </c>
      <c r="Q170" s="25" t="s">
        <v>567</v>
      </c>
      <c r="R170" s="12" t="s">
        <v>88</v>
      </c>
      <c r="S170" s="13" t="s">
        <v>93</v>
      </c>
      <c r="T170" s="14">
        <v>0</v>
      </c>
      <c r="U170" s="15">
        <v>4</v>
      </c>
      <c r="V170" s="30">
        <v>1</v>
      </c>
      <c r="W170" s="30">
        <v>1</v>
      </c>
      <c r="X170" s="30">
        <v>1</v>
      </c>
      <c r="Y170" s="30">
        <v>1</v>
      </c>
      <c r="Z170" s="17">
        <f>53185000/17*2</f>
        <v>6257058.823529412</v>
      </c>
      <c r="AA170" s="17">
        <v>0</v>
      </c>
      <c r="AB170" s="17">
        <v>0</v>
      </c>
      <c r="AC170" s="17">
        <v>0</v>
      </c>
      <c r="AD170" s="17">
        <v>0</v>
      </c>
      <c r="AE170" s="17">
        <f>85000000/17*2</f>
        <v>10000000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8">
        <f>SUM(PlanIndicativo[[#This Row],[Ingresos Corrientes de Libre Destinación - ICLD (2020)]:[Otros (2020)]])</f>
        <v>16257058.823529411</v>
      </c>
      <c r="AL170" s="17">
        <f t="shared" si="104"/>
        <v>3128529.411764706</v>
      </c>
      <c r="AM170" s="17">
        <v>0</v>
      </c>
      <c r="AN170" s="17">
        <v>0</v>
      </c>
      <c r="AO170" s="17">
        <v>0</v>
      </c>
      <c r="AP170" s="17">
        <v>0</v>
      </c>
      <c r="AQ170" s="17">
        <f t="shared" si="105"/>
        <v>5000000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9">
        <f>SUM(PlanIndicativo[[#This Row],[Ingresos Corrientes de Libre Destinación - ICLD (2021)]:[Otros  (2021)]])</f>
        <v>8128529.4117647056</v>
      </c>
      <c r="AX170" s="17">
        <f t="shared" si="100"/>
        <v>3128529.411764706</v>
      </c>
      <c r="AY170" s="17">
        <v>0</v>
      </c>
      <c r="AZ170" s="17">
        <v>0</v>
      </c>
      <c r="BA170" s="17">
        <v>0</v>
      </c>
      <c r="BB170" s="17">
        <v>0</v>
      </c>
      <c r="BC170" s="17">
        <f t="shared" si="101"/>
        <v>5000000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20">
        <f>SUM(PlanIndicativo[[#This Row],[Ingresos Corrientes de Libre Destinación - ICLD (2022)]:[Otros   (2022)]])</f>
        <v>8128529.4117647056</v>
      </c>
      <c r="BJ170" s="17">
        <f t="shared" si="102"/>
        <v>3128529.411764706</v>
      </c>
      <c r="BK170" s="17">
        <v>0</v>
      </c>
      <c r="BL170" s="17">
        <v>0</v>
      </c>
      <c r="BM170" s="17">
        <v>0</v>
      </c>
      <c r="BN170" s="17">
        <v>0</v>
      </c>
      <c r="BO170" s="17">
        <f t="shared" si="103"/>
        <v>5000000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21">
        <f>SUM(PlanIndicativo[[#This Row],[Ingresos Corrientes de Libre Destinación - ICLD (2023)]:[Otros (2023)]])</f>
        <v>8128529.4117647056</v>
      </c>
      <c r="BV170" s="21">
        <f>+PlanIndicativo[[#This Row],[Total (2020)]]+PlanIndicativo[[#This Row],[Total  (2021)]]+PlanIndicativo[[#This Row],[Total  (2022)]]+PlanIndicativo[[#This Row],[Total (2023)]]</f>
        <v>40642647.058823526</v>
      </c>
      <c r="BW170" s="22" t="s">
        <v>442</v>
      </c>
    </row>
    <row r="171" spans="1:75" ht="21" customHeight="1" x14ac:dyDescent="0.25">
      <c r="A171" s="7">
        <v>2</v>
      </c>
      <c r="B171" s="8" t="s">
        <v>480</v>
      </c>
      <c r="C171" s="7" t="s">
        <v>526</v>
      </c>
      <c r="D171" s="7" t="s">
        <v>527</v>
      </c>
      <c r="E171" s="7" t="s">
        <v>528</v>
      </c>
      <c r="F171" s="8" t="s">
        <v>529</v>
      </c>
      <c r="G171" s="7" t="s">
        <v>563</v>
      </c>
      <c r="H171" s="8" t="s">
        <v>564</v>
      </c>
      <c r="I171" s="9">
        <v>2408030</v>
      </c>
      <c r="J171" s="25" t="s">
        <v>568</v>
      </c>
      <c r="K171" s="25" t="s">
        <v>566</v>
      </c>
      <c r="L171" s="25" t="s">
        <v>262</v>
      </c>
      <c r="M171" s="25" t="s">
        <v>243</v>
      </c>
      <c r="N171" s="25" t="s">
        <v>86</v>
      </c>
      <c r="O171" s="25"/>
      <c r="P171" s="9">
        <v>240803000</v>
      </c>
      <c r="Q171" s="25" t="s">
        <v>569</v>
      </c>
      <c r="R171" s="12" t="s">
        <v>88</v>
      </c>
      <c r="S171" s="13" t="s">
        <v>93</v>
      </c>
      <c r="T171" s="14">
        <v>0</v>
      </c>
      <c r="U171" s="15">
        <v>4</v>
      </c>
      <c r="V171" s="30">
        <v>1</v>
      </c>
      <c r="W171" s="30">
        <v>1</v>
      </c>
      <c r="X171" s="30">
        <v>1</v>
      </c>
      <c r="Y171" s="30">
        <v>1</v>
      </c>
      <c r="Z171" s="17">
        <f>53185000/17*2</f>
        <v>6257058.823529412</v>
      </c>
      <c r="AA171" s="17">
        <v>0</v>
      </c>
      <c r="AB171" s="17">
        <v>0</v>
      </c>
      <c r="AC171" s="17">
        <v>0</v>
      </c>
      <c r="AD171" s="17">
        <v>0</v>
      </c>
      <c r="AE171" s="17">
        <f>85000000/17*2</f>
        <v>10000000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8">
        <f>SUM(PlanIndicativo[[#This Row],[Ingresos Corrientes de Libre Destinación - ICLD (2020)]:[Otros (2020)]])</f>
        <v>16257058.823529411</v>
      </c>
      <c r="AL171" s="17">
        <f t="shared" si="104"/>
        <v>3128529.411764706</v>
      </c>
      <c r="AM171" s="17">
        <v>0</v>
      </c>
      <c r="AN171" s="17">
        <v>0</v>
      </c>
      <c r="AO171" s="17">
        <v>0</v>
      </c>
      <c r="AP171" s="17">
        <v>0</v>
      </c>
      <c r="AQ171" s="17">
        <f t="shared" si="105"/>
        <v>5000000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9">
        <f>SUM(PlanIndicativo[[#This Row],[Ingresos Corrientes de Libre Destinación - ICLD (2021)]:[Otros  (2021)]])</f>
        <v>8128529.4117647056</v>
      </c>
      <c r="AX171" s="17">
        <f t="shared" si="100"/>
        <v>3128529.411764706</v>
      </c>
      <c r="AY171" s="17">
        <v>0</v>
      </c>
      <c r="AZ171" s="17">
        <v>0</v>
      </c>
      <c r="BA171" s="17">
        <v>0</v>
      </c>
      <c r="BB171" s="17">
        <v>0</v>
      </c>
      <c r="BC171" s="17">
        <f t="shared" si="101"/>
        <v>5000000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20">
        <f>SUM(PlanIndicativo[[#This Row],[Ingresos Corrientes de Libre Destinación - ICLD (2022)]:[Otros   (2022)]])</f>
        <v>8128529.4117647056</v>
      </c>
      <c r="BJ171" s="17">
        <f t="shared" si="102"/>
        <v>3128529.411764706</v>
      </c>
      <c r="BK171" s="17">
        <v>0</v>
      </c>
      <c r="BL171" s="17">
        <v>0</v>
      </c>
      <c r="BM171" s="17">
        <v>0</v>
      </c>
      <c r="BN171" s="17">
        <v>0</v>
      </c>
      <c r="BO171" s="17">
        <f t="shared" si="103"/>
        <v>5000000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21">
        <f>SUM(PlanIndicativo[[#This Row],[Ingresos Corrientes de Libre Destinación - ICLD (2023)]:[Otros (2023)]])</f>
        <v>8128529.4117647056</v>
      </c>
      <c r="BV171" s="21">
        <f>+PlanIndicativo[[#This Row],[Total (2020)]]+PlanIndicativo[[#This Row],[Total  (2021)]]+PlanIndicativo[[#This Row],[Total  (2022)]]+PlanIndicativo[[#This Row],[Total (2023)]]</f>
        <v>40642647.058823526</v>
      </c>
      <c r="BW171" s="22" t="s">
        <v>442</v>
      </c>
    </row>
    <row r="172" spans="1:75" ht="21" customHeight="1" x14ac:dyDescent="0.25">
      <c r="A172" s="7">
        <v>2</v>
      </c>
      <c r="B172" s="8" t="s">
        <v>480</v>
      </c>
      <c r="C172" s="7" t="s">
        <v>526</v>
      </c>
      <c r="D172" s="7" t="s">
        <v>527</v>
      </c>
      <c r="E172" s="7" t="s">
        <v>528</v>
      </c>
      <c r="F172" s="8" t="s">
        <v>529</v>
      </c>
      <c r="G172" s="7" t="s">
        <v>563</v>
      </c>
      <c r="H172" s="8" t="s">
        <v>564</v>
      </c>
      <c r="I172" s="9">
        <v>2409009</v>
      </c>
      <c r="J172" s="25" t="s">
        <v>570</v>
      </c>
      <c r="K172" s="32" t="s">
        <v>571</v>
      </c>
      <c r="L172" s="25" t="s">
        <v>262</v>
      </c>
      <c r="M172" s="25" t="s">
        <v>243</v>
      </c>
      <c r="N172" s="25" t="s">
        <v>86</v>
      </c>
      <c r="O172" s="25"/>
      <c r="P172" s="9">
        <v>240900900</v>
      </c>
      <c r="Q172" s="25" t="s">
        <v>572</v>
      </c>
      <c r="R172" s="12" t="s">
        <v>88</v>
      </c>
      <c r="S172" s="13" t="s">
        <v>93</v>
      </c>
      <c r="T172" s="14">
        <v>0</v>
      </c>
      <c r="U172" s="15">
        <v>4</v>
      </c>
      <c r="V172" s="30">
        <v>1</v>
      </c>
      <c r="W172" s="30">
        <v>1</v>
      </c>
      <c r="X172" s="30">
        <v>1</v>
      </c>
      <c r="Y172" s="30">
        <v>1</v>
      </c>
      <c r="Z172" s="17">
        <f t="shared" ref="Z172" si="106">53185000/17</f>
        <v>3128529.411764706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8">
        <f>SUM(PlanIndicativo[[#This Row],[Ingresos Corrientes de Libre Destinación - ICLD (2020)]:[Otros (2020)]])</f>
        <v>3128529.411764706</v>
      </c>
      <c r="AL172" s="17">
        <f t="shared" si="104"/>
        <v>3128529.411764706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9">
        <f>SUM(PlanIndicativo[[#This Row],[Ingresos Corrientes de Libre Destinación - ICLD (2021)]:[Otros  (2021)]])</f>
        <v>3128529.411764706</v>
      </c>
      <c r="AX172" s="17">
        <f t="shared" si="100"/>
        <v>3128529.411764706</v>
      </c>
      <c r="AY172" s="17">
        <v>0</v>
      </c>
      <c r="AZ172" s="17">
        <v>0</v>
      </c>
      <c r="BA172" s="17">
        <v>0</v>
      </c>
      <c r="BB172" s="17">
        <v>0</v>
      </c>
      <c r="BC172" s="17">
        <f t="shared" si="101"/>
        <v>5000000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20">
        <f>SUM(PlanIndicativo[[#This Row],[Ingresos Corrientes de Libre Destinación - ICLD (2022)]:[Otros   (2022)]])</f>
        <v>8128529.4117647056</v>
      </c>
      <c r="BJ172" s="17">
        <f t="shared" si="102"/>
        <v>3128529.411764706</v>
      </c>
      <c r="BK172" s="17">
        <v>0</v>
      </c>
      <c r="BL172" s="17">
        <v>0</v>
      </c>
      <c r="BM172" s="17">
        <v>0</v>
      </c>
      <c r="BN172" s="17">
        <v>0</v>
      </c>
      <c r="BO172" s="17">
        <f t="shared" si="103"/>
        <v>5000000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21">
        <f>SUM(PlanIndicativo[[#This Row],[Ingresos Corrientes de Libre Destinación - ICLD (2023)]:[Otros (2023)]])</f>
        <v>8128529.4117647056</v>
      </c>
      <c r="BV172" s="21">
        <f>+PlanIndicativo[[#This Row],[Total (2020)]]+PlanIndicativo[[#This Row],[Total  (2021)]]+PlanIndicativo[[#This Row],[Total  (2022)]]+PlanIndicativo[[#This Row],[Total (2023)]]</f>
        <v>22514117.647058822</v>
      </c>
      <c r="BW172" s="22" t="s">
        <v>442</v>
      </c>
    </row>
    <row r="173" spans="1:75" ht="21" customHeight="1" x14ac:dyDescent="0.25">
      <c r="A173" s="7">
        <v>2</v>
      </c>
      <c r="B173" s="8" t="s">
        <v>480</v>
      </c>
      <c r="C173" s="7" t="s">
        <v>573</v>
      </c>
      <c r="D173" s="7" t="s">
        <v>574</v>
      </c>
      <c r="E173" s="7" t="s">
        <v>575</v>
      </c>
      <c r="F173" s="8" t="s">
        <v>576</v>
      </c>
      <c r="G173" s="7" t="s">
        <v>577</v>
      </c>
      <c r="H173" s="8" t="s">
        <v>578</v>
      </c>
      <c r="I173" s="9">
        <v>2104010</v>
      </c>
      <c r="J173" s="25" t="s">
        <v>579</v>
      </c>
      <c r="K173" s="25" t="s">
        <v>580</v>
      </c>
      <c r="L173" s="25" t="s">
        <v>581</v>
      </c>
      <c r="M173" s="25" t="s">
        <v>582</v>
      </c>
      <c r="N173" s="25" t="s">
        <v>86</v>
      </c>
      <c r="O173" s="25"/>
      <c r="P173" s="9">
        <v>210401001</v>
      </c>
      <c r="Q173" s="25" t="s">
        <v>583</v>
      </c>
      <c r="R173" s="12" t="s">
        <v>88</v>
      </c>
      <c r="S173" s="13" t="s">
        <v>93</v>
      </c>
      <c r="T173" s="14">
        <v>0</v>
      </c>
      <c r="U173" s="15">
        <v>4</v>
      </c>
      <c r="V173" s="30">
        <v>1</v>
      </c>
      <c r="W173" s="30">
        <v>1</v>
      </c>
      <c r="X173" s="30">
        <v>1</v>
      </c>
      <c r="Y173" s="30">
        <v>1</v>
      </c>
      <c r="Z173" s="17">
        <f>58012500/38*2</f>
        <v>3053289.4736842103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7">
        <v>0</v>
      </c>
      <c r="AJ173" s="17">
        <v>0</v>
      </c>
      <c r="AK173" s="18">
        <f>SUM(PlanIndicativo[[#This Row],[Ingresos Corrientes de Libre Destinación - ICLD (2020)]:[Otros (2020)]])</f>
        <v>3053289.4736842103</v>
      </c>
      <c r="AL173" s="17">
        <f t="shared" ref="AL173:AL208" si="107">58012500/38</f>
        <v>1526644.7368421052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0</v>
      </c>
      <c r="AV173" s="17">
        <v>0</v>
      </c>
      <c r="AW173" s="19">
        <f>SUM(PlanIndicativo[[#This Row],[Ingresos Corrientes de Libre Destinación - ICLD (2021)]:[Otros  (2021)]])</f>
        <v>1526644.7368421052</v>
      </c>
      <c r="AX173" s="17">
        <f t="shared" ref="AX173:AX210" si="108">58012500/38</f>
        <v>1526644.7368421052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20">
        <f>SUM(PlanIndicativo[[#This Row],[Ingresos Corrientes de Libre Destinación - ICLD (2022)]:[Otros   (2022)]])</f>
        <v>1526644.7368421052</v>
      </c>
      <c r="BJ173" s="17">
        <f t="shared" ref="BJ173:BJ210" si="109">58012500/38</f>
        <v>1526644.7368421052</v>
      </c>
      <c r="BK173" s="17">
        <v>0</v>
      </c>
      <c r="BL173" s="17">
        <v>0</v>
      </c>
      <c r="BM173" s="17">
        <v>0</v>
      </c>
      <c r="BN173" s="17">
        <v>0</v>
      </c>
      <c r="BO173" s="17">
        <v>0</v>
      </c>
      <c r="BP173" s="17">
        <v>0</v>
      </c>
      <c r="BQ173" s="17">
        <v>0</v>
      </c>
      <c r="BR173" s="17">
        <v>0</v>
      </c>
      <c r="BS173" s="17">
        <v>0</v>
      </c>
      <c r="BT173" s="17">
        <v>0</v>
      </c>
      <c r="BU173" s="21">
        <f>SUM(PlanIndicativo[[#This Row],[Ingresos Corrientes de Libre Destinación - ICLD (2023)]:[Otros (2023)]])</f>
        <v>1526644.7368421052</v>
      </c>
      <c r="BV173" s="21">
        <f>+PlanIndicativo[[#This Row],[Total (2020)]]+PlanIndicativo[[#This Row],[Total  (2021)]]+PlanIndicativo[[#This Row],[Total  (2022)]]+PlanIndicativo[[#This Row],[Total (2023)]]</f>
        <v>7633223.6842105258</v>
      </c>
      <c r="BW173" s="22" t="s">
        <v>584</v>
      </c>
    </row>
    <row r="174" spans="1:75" ht="21" customHeight="1" x14ac:dyDescent="0.25">
      <c r="A174" s="7">
        <v>2</v>
      </c>
      <c r="B174" s="8" t="s">
        <v>480</v>
      </c>
      <c r="C174" s="7" t="s">
        <v>573</v>
      </c>
      <c r="D174" s="7" t="s">
        <v>574</v>
      </c>
      <c r="E174" s="7" t="s">
        <v>575</v>
      </c>
      <c r="F174" s="8" t="s">
        <v>576</v>
      </c>
      <c r="G174" s="7" t="s">
        <v>577</v>
      </c>
      <c r="H174" s="8" t="s">
        <v>578</v>
      </c>
      <c r="I174" s="9">
        <v>2104015</v>
      </c>
      <c r="J174" s="25" t="s">
        <v>585</v>
      </c>
      <c r="K174" s="25" t="s">
        <v>580</v>
      </c>
      <c r="L174" s="25" t="s">
        <v>581</v>
      </c>
      <c r="M174" s="25" t="s">
        <v>586</v>
      </c>
      <c r="N174" s="25" t="s">
        <v>86</v>
      </c>
      <c r="O174" s="25"/>
      <c r="P174" s="9">
        <v>210401500</v>
      </c>
      <c r="Q174" s="25" t="s">
        <v>587</v>
      </c>
      <c r="R174" s="12" t="s">
        <v>88</v>
      </c>
      <c r="S174" s="13" t="s">
        <v>93</v>
      </c>
      <c r="T174" s="14">
        <v>0</v>
      </c>
      <c r="U174" s="15">
        <v>2</v>
      </c>
      <c r="V174" s="30">
        <v>0</v>
      </c>
      <c r="W174" s="30">
        <v>1</v>
      </c>
      <c r="X174" s="30">
        <v>0</v>
      </c>
      <c r="Y174" s="30">
        <v>1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8">
        <f>SUM(PlanIndicativo[[#This Row],[Ingresos Corrientes de Libre Destinación - ICLD (2020)]:[Otros (2020)]])</f>
        <v>0</v>
      </c>
      <c r="AL174" s="17">
        <f t="shared" si="107"/>
        <v>1526644.7368421052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9">
        <f>SUM(PlanIndicativo[[#This Row],[Ingresos Corrientes de Libre Destinación - ICLD (2021)]:[Otros  (2021)]])</f>
        <v>1526644.7368421052</v>
      </c>
      <c r="AX174" s="17">
        <f t="shared" si="108"/>
        <v>1526644.7368421052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20">
        <f>SUM(PlanIndicativo[[#This Row],[Ingresos Corrientes de Libre Destinación - ICLD (2022)]:[Otros   (2022)]])</f>
        <v>1526644.7368421052</v>
      </c>
      <c r="BJ174" s="17">
        <f t="shared" si="109"/>
        <v>1526644.7368421052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7">
        <v>0</v>
      </c>
      <c r="BR174" s="17">
        <v>0</v>
      </c>
      <c r="BS174" s="17">
        <v>0</v>
      </c>
      <c r="BT174" s="17">
        <v>0</v>
      </c>
      <c r="BU174" s="21">
        <f>SUM(PlanIndicativo[[#This Row],[Ingresos Corrientes de Libre Destinación - ICLD (2023)]:[Otros (2023)]])</f>
        <v>1526644.7368421052</v>
      </c>
      <c r="BV174" s="21">
        <f>+PlanIndicativo[[#This Row],[Total (2020)]]+PlanIndicativo[[#This Row],[Total  (2021)]]+PlanIndicativo[[#This Row],[Total  (2022)]]+PlanIndicativo[[#This Row],[Total (2023)]]</f>
        <v>4579934.2105263155</v>
      </c>
      <c r="BW174" s="22" t="s">
        <v>584</v>
      </c>
    </row>
    <row r="175" spans="1:75" ht="21" customHeight="1" x14ac:dyDescent="0.25">
      <c r="A175" s="7">
        <v>2</v>
      </c>
      <c r="B175" s="8" t="s">
        <v>480</v>
      </c>
      <c r="C175" s="7" t="s">
        <v>573</v>
      </c>
      <c r="D175" s="7" t="s">
        <v>574</v>
      </c>
      <c r="E175" s="7" t="s">
        <v>575</v>
      </c>
      <c r="F175" s="8" t="s">
        <v>576</v>
      </c>
      <c r="G175" s="7" t="s">
        <v>577</v>
      </c>
      <c r="H175" s="8" t="s">
        <v>578</v>
      </c>
      <c r="I175" s="9">
        <v>2104021</v>
      </c>
      <c r="J175" s="25" t="s">
        <v>588</v>
      </c>
      <c r="K175" s="25" t="s">
        <v>589</v>
      </c>
      <c r="L175" s="25" t="s">
        <v>581</v>
      </c>
      <c r="M175" s="25" t="s">
        <v>586</v>
      </c>
      <c r="N175" s="25" t="s">
        <v>86</v>
      </c>
      <c r="O175" s="25"/>
      <c r="P175" s="9">
        <v>210402100</v>
      </c>
      <c r="Q175" s="25" t="s">
        <v>590</v>
      </c>
      <c r="R175" s="12" t="s">
        <v>88</v>
      </c>
      <c r="S175" s="13" t="s">
        <v>93</v>
      </c>
      <c r="T175" s="14">
        <v>0</v>
      </c>
      <c r="U175" s="15">
        <v>4</v>
      </c>
      <c r="V175" s="30">
        <v>1</v>
      </c>
      <c r="W175" s="30">
        <v>1</v>
      </c>
      <c r="X175" s="30">
        <v>1</v>
      </c>
      <c r="Y175" s="30">
        <v>1</v>
      </c>
      <c r="Z175" s="17">
        <f t="shared" ref="Z175:Z209" si="110">58012500/38</f>
        <v>1526644.7368421052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8">
        <f>SUM(PlanIndicativo[[#This Row],[Ingresos Corrientes de Libre Destinación - ICLD (2020)]:[Otros (2020)]])</f>
        <v>1526644.7368421052</v>
      </c>
      <c r="AL175" s="17">
        <f t="shared" si="107"/>
        <v>1526644.7368421052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9">
        <f>SUM(PlanIndicativo[[#This Row],[Ingresos Corrientes de Libre Destinación - ICLD (2021)]:[Otros  (2021)]])</f>
        <v>1526644.7368421052</v>
      </c>
      <c r="AX175" s="17">
        <f t="shared" si="108"/>
        <v>1526644.7368421052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20">
        <f>SUM(PlanIndicativo[[#This Row],[Ingresos Corrientes de Libre Destinación - ICLD (2022)]:[Otros   (2022)]])</f>
        <v>1526644.7368421052</v>
      </c>
      <c r="BJ175" s="17">
        <f t="shared" si="109"/>
        <v>1526644.7368421052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21">
        <f>SUM(PlanIndicativo[[#This Row],[Ingresos Corrientes de Libre Destinación - ICLD (2023)]:[Otros (2023)]])</f>
        <v>1526644.7368421052</v>
      </c>
      <c r="BV175" s="21">
        <f>+PlanIndicativo[[#This Row],[Total (2020)]]+PlanIndicativo[[#This Row],[Total  (2021)]]+PlanIndicativo[[#This Row],[Total  (2022)]]+PlanIndicativo[[#This Row],[Total (2023)]]</f>
        <v>6106578.9473684207</v>
      </c>
      <c r="BW175" s="22" t="s">
        <v>584</v>
      </c>
    </row>
    <row r="176" spans="1:75" ht="21" customHeight="1" x14ac:dyDescent="0.25">
      <c r="A176" s="7">
        <v>2</v>
      </c>
      <c r="B176" s="8" t="s">
        <v>480</v>
      </c>
      <c r="C176" s="7" t="s">
        <v>573</v>
      </c>
      <c r="D176" s="7" t="s">
        <v>574</v>
      </c>
      <c r="E176" s="7" t="s">
        <v>575</v>
      </c>
      <c r="F176" s="8" t="s">
        <v>576</v>
      </c>
      <c r="G176" s="7" t="s">
        <v>577</v>
      </c>
      <c r="H176" s="8" t="s">
        <v>578</v>
      </c>
      <c r="I176" s="9">
        <v>2104018</v>
      </c>
      <c r="J176" s="25" t="s">
        <v>591</v>
      </c>
      <c r="K176" s="25" t="s">
        <v>580</v>
      </c>
      <c r="L176" s="25" t="s">
        <v>581</v>
      </c>
      <c r="M176" s="25" t="s">
        <v>586</v>
      </c>
      <c r="N176" s="25" t="s">
        <v>86</v>
      </c>
      <c r="O176" s="25"/>
      <c r="P176" s="9">
        <v>210401800</v>
      </c>
      <c r="Q176" s="25" t="s">
        <v>592</v>
      </c>
      <c r="R176" s="12" t="s">
        <v>88</v>
      </c>
      <c r="S176" s="13" t="s">
        <v>93</v>
      </c>
      <c r="T176" s="14">
        <v>0</v>
      </c>
      <c r="U176" s="15">
        <v>6</v>
      </c>
      <c r="V176" s="30">
        <v>1</v>
      </c>
      <c r="W176" s="30">
        <v>2</v>
      </c>
      <c r="X176" s="30">
        <v>1</v>
      </c>
      <c r="Y176" s="30">
        <v>2</v>
      </c>
      <c r="Z176" s="17">
        <f t="shared" si="110"/>
        <v>1526644.7368421052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8">
        <f>SUM(PlanIndicativo[[#This Row],[Ingresos Corrientes de Libre Destinación - ICLD (2020)]:[Otros (2020)]])</f>
        <v>1526644.7368421052</v>
      </c>
      <c r="AL176" s="17">
        <f t="shared" si="107"/>
        <v>1526644.7368421052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9">
        <f>SUM(PlanIndicativo[[#This Row],[Ingresos Corrientes de Libre Destinación - ICLD (2021)]:[Otros  (2021)]])</f>
        <v>1526644.7368421052</v>
      </c>
      <c r="AX176" s="17">
        <f t="shared" si="108"/>
        <v>1526644.7368421052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20">
        <f>SUM(PlanIndicativo[[#This Row],[Ingresos Corrientes de Libre Destinación - ICLD (2022)]:[Otros   (2022)]])</f>
        <v>1526644.7368421052</v>
      </c>
      <c r="BJ176" s="17">
        <f t="shared" si="109"/>
        <v>1526644.7368421052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21">
        <f>SUM(PlanIndicativo[[#This Row],[Ingresos Corrientes de Libre Destinación - ICLD (2023)]:[Otros (2023)]])</f>
        <v>1526644.7368421052</v>
      </c>
      <c r="BV176" s="21">
        <f>+PlanIndicativo[[#This Row],[Total (2020)]]+PlanIndicativo[[#This Row],[Total  (2021)]]+PlanIndicativo[[#This Row],[Total  (2022)]]+PlanIndicativo[[#This Row],[Total (2023)]]</f>
        <v>6106578.9473684207</v>
      </c>
      <c r="BW176" s="22" t="s">
        <v>584</v>
      </c>
    </row>
    <row r="177" spans="1:75" ht="21" customHeight="1" x14ac:dyDescent="0.25">
      <c r="A177" s="7">
        <v>2</v>
      </c>
      <c r="B177" s="8" t="s">
        <v>480</v>
      </c>
      <c r="C177" s="7" t="s">
        <v>573</v>
      </c>
      <c r="D177" s="7" t="s">
        <v>574</v>
      </c>
      <c r="E177" s="7" t="s">
        <v>575</v>
      </c>
      <c r="F177" s="8" t="s">
        <v>576</v>
      </c>
      <c r="G177" s="7" t="s">
        <v>577</v>
      </c>
      <c r="H177" s="8" t="s">
        <v>578</v>
      </c>
      <c r="I177" s="9">
        <v>2105019</v>
      </c>
      <c r="J177" s="25" t="s">
        <v>593</v>
      </c>
      <c r="K177" s="25" t="s">
        <v>589</v>
      </c>
      <c r="L177" s="25" t="s">
        <v>581</v>
      </c>
      <c r="M177" s="25" t="s">
        <v>586</v>
      </c>
      <c r="N177" s="25" t="s">
        <v>86</v>
      </c>
      <c r="O177" s="25"/>
      <c r="P177" s="9">
        <v>210501900</v>
      </c>
      <c r="Q177" s="25" t="s">
        <v>590</v>
      </c>
      <c r="R177" s="12" t="s">
        <v>88</v>
      </c>
      <c r="S177" s="13" t="s">
        <v>93</v>
      </c>
      <c r="T177" s="14">
        <v>0</v>
      </c>
      <c r="U177" s="15">
        <v>120</v>
      </c>
      <c r="V177" s="30">
        <v>30</v>
      </c>
      <c r="W177" s="30">
        <v>30</v>
      </c>
      <c r="X177" s="30">
        <v>30</v>
      </c>
      <c r="Y177" s="30">
        <v>30</v>
      </c>
      <c r="Z177" s="17">
        <f t="shared" si="110"/>
        <v>1526644.7368421052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8">
        <f>SUM(PlanIndicativo[[#This Row],[Ingresos Corrientes de Libre Destinación - ICLD (2020)]:[Otros (2020)]])</f>
        <v>1526644.7368421052</v>
      </c>
      <c r="AL177" s="17">
        <f t="shared" si="107"/>
        <v>1526644.7368421052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9">
        <f>SUM(PlanIndicativo[[#This Row],[Ingresos Corrientes de Libre Destinación - ICLD (2021)]:[Otros  (2021)]])</f>
        <v>1526644.7368421052</v>
      </c>
      <c r="AX177" s="17">
        <f t="shared" si="108"/>
        <v>1526644.7368421052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20">
        <f>SUM(PlanIndicativo[[#This Row],[Ingresos Corrientes de Libre Destinación - ICLD (2022)]:[Otros   (2022)]])</f>
        <v>1526644.7368421052</v>
      </c>
      <c r="BJ177" s="17">
        <f t="shared" si="109"/>
        <v>1526644.7368421052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21">
        <f>SUM(PlanIndicativo[[#This Row],[Ingresos Corrientes de Libre Destinación - ICLD (2023)]:[Otros (2023)]])</f>
        <v>1526644.7368421052</v>
      </c>
      <c r="BV177" s="21">
        <f>+PlanIndicativo[[#This Row],[Total (2020)]]+PlanIndicativo[[#This Row],[Total  (2021)]]+PlanIndicativo[[#This Row],[Total  (2022)]]+PlanIndicativo[[#This Row],[Total (2023)]]</f>
        <v>6106578.9473684207</v>
      </c>
      <c r="BW177" s="22" t="s">
        <v>584</v>
      </c>
    </row>
    <row r="178" spans="1:75" ht="21" customHeight="1" x14ac:dyDescent="0.25">
      <c r="A178" s="7">
        <v>2</v>
      </c>
      <c r="B178" s="8" t="s">
        <v>480</v>
      </c>
      <c r="C178" s="7" t="s">
        <v>573</v>
      </c>
      <c r="D178" s="7" t="s">
        <v>574</v>
      </c>
      <c r="E178" s="7" t="s">
        <v>575</v>
      </c>
      <c r="F178" s="8" t="s">
        <v>576</v>
      </c>
      <c r="G178" s="7" t="s">
        <v>577</v>
      </c>
      <c r="H178" s="8" t="s">
        <v>578</v>
      </c>
      <c r="I178" s="9">
        <v>2104004</v>
      </c>
      <c r="J178" s="25" t="s">
        <v>594</v>
      </c>
      <c r="K178" s="25" t="s">
        <v>589</v>
      </c>
      <c r="L178" s="25" t="s">
        <v>581</v>
      </c>
      <c r="M178" s="25" t="s">
        <v>586</v>
      </c>
      <c r="N178" s="25" t="s">
        <v>86</v>
      </c>
      <c r="O178" s="25"/>
      <c r="P178" s="9">
        <v>210400400</v>
      </c>
      <c r="Q178" s="25" t="s">
        <v>595</v>
      </c>
      <c r="R178" s="12" t="s">
        <v>88</v>
      </c>
      <c r="S178" s="13" t="s">
        <v>93</v>
      </c>
      <c r="T178" s="14">
        <v>0</v>
      </c>
      <c r="U178" s="15">
        <v>6</v>
      </c>
      <c r="V178" s="30">
        <v>1</v>
      </c>
      <c r="W178" s="30">
        <v>2</v>
      </c>
      <c r="X178" s="30">
        <v>1</v>
      </c>
      <c r="Y178" s="30">
        <v>2</v>
      </c>
      <c r="Z178" s="17">
        <f t="shared" si="110"/>
        <v>1526644.7368421052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8">
        <f>SUM(PlanIndicativo[[#This Row],[Ingresos Corrientes de Libre Destinación - ICLD (2020)]:[Otros (2020)]])</f>
        <v>1526644.7368421052</v>
      </c>
      <c r="AL178" s="17">
        <f t="shared" si="107"/>
        <v>1526644.7368421052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9">
        <f>SUM(PlanIndicativo[[#This Row],[Ingresos Corrientes de Libre Destinación - ICLD (2021)]:[Otros  (2021)]])</f>
        <v>1526644.7368421052</v>
      </c>
      <c r="AX178" s="17">
        <f t="shared" si="108"/>
        <v>1526644.7368421052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20">
        <f>SUM(PlanIndicativo[[#This Row],[Ingresos Corrientes de Libre Destinación - ICLD (2022)]:[Otros   (2022)]])</f>
        <v>1526644.7368421052</v>
      </c>
      <c r="BJ178" s="17">
        <f t="shared" si="109"/>
        <v>1526644.7368421052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21">
        <f>SUM(PlanIndicativo[[#This Row],[Ingresos Corrientes de Libre Destinación - ICLD (2023)]:[Otros (2023)]])</f>
        <v>1526644.7368421052</v>
      </c>
      <c r="BV178" s="21">
        <f>+PlanIndicativo[[#This Row],[Total (2020)]]+PlanIndicativo[[#This Row],[Total  (2021)]]+PlanIndicativo[[#This Row],[Total  (2022)]]+PlanIndicativo[[#This Row],[Total (2023)]]</f>
        <v>6106578.9473684207</v>
      </c>
      <c r="BW178" s="22" t="s">
        <v>584</v>
      </c>
    </row>
    <row r="179" spans="1:75" ht="21" customHeight="1" x14ac:dyDescent="0.25">
      <c r="A179" s="7">
        <v>2</v>
      </c>
      <c r="B179" s="8" t="s">
        <v>480</v>
      </c>
      <c r="C179" s="7" t="s">
        <v>573</v>
      </c>
      <c r="D179" s="7" t="s">
        <v>574</v>
      </c>
      <c r="E179" s="7" t="s">
        <v>575</v>
      </c>
      <c r="F179" s="8" t="s">
        <v>576</v>
      </c>
      <c r="G179" s="7" t="s">
        <v>596</v>
      </c>
      <c r="H179" s="8" t="s">
        <v>597</v>
      </c>
      <c r="I179" s="9">
        <v>2302086</v>
      </c>
      <c r="J179" s="25" t="s">
        <v>598</v>
      </c>
      <c r="K179" s="25" t="s">
        <v>599</v>
      </c>
      <c r="L179" s="25" t="s">
        <v>581</v>
      </c>
      <c r="M179" s="25" t="s">
        <v>586</v>
      </c>
      <c r="N179" s="25" t="s">
        <v>86</v>
      </c>
      <c r="O179" s="25"/>
      <c r="P179" s="9">
        <v>230208600</v>
      </c>
      <c r="Q179" s="25" t="s">
        <v>600</v>
      </c>
      <c r="R179" s="12" t="s">
        <v>88</v>
      </c>
      <c r="S179" s="13" t="s">
        <v>93</v>
      </c>
      <c r="T179" s="14">
        <v>0</v>
      </c>
      <c r="U179" s="15">
        <v>4</v>
      </c>
      <c r="V179" s="30">
        <v>1</v>
      </c>
      <c r="W179" s="30">
        <v>1</v>
      </c>
      <c r="X179" s="30">
        <v>1</v>
      </c>
      <c r="Y179" s="30">
        <v>1</v>
      </c>
      <c r="Z179" s="17">
        <f t="shared" si="110"/>
        <v>1526644.7368421052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8">
        <f>SUM(PlanIndicativo[[#This Row],[Ingresos Corrientes de Libre Destinación - ICLD (2020)]:[Otros (2020)]])</f>
        <v>1526644.7368421052</v>
      </c>
      <c r="AL179" s="17">
        <f t="shared" si="107"/>
        <v>1526644.7368421052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0</v>
      </c>
      <c r="AT179" s="17">
        <v>0</v>
      </c>
      <c r="AU179" s="17">
        <v>0</v>
      </c>
      <c r="AV179" s="17">
        <v>0</v>
      </c>
      <c r="AW179" s="19">
        <f>SUM(PlanIndicativo[[#This Row],[Ingresos Corrientes de Libre Destinación - ICLD (2021)]:[Otros  (2021)]])</f>
        <v>1526644.7368421052</v>
      </c>
      <c r="AX179" s="17">
        <f t="shared" si="108"/>
        <v>1526644.7368421052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20">
        <f>SUM(PlanIndicativo[[#This Row],[Ingresos Corrientes de Libre Destinación - ICLD (2022)]:[Otros   (2022)]])</f>
        <v>1526644.7368421052</v>
      </c>
      <c r="BJ179" s="17">
        <f t="shared" si="109"/>
        <v>1526644.7368421052</v>
      </c>
      <c r="BK179" s="17">
        <v>0</v>
      </c>
      <c r="BL179" s="17">
        <v>0</v>
      </c>
      <c r="BM179" s="17">
        <v>0</v>
      </c>
      <c r="BN179" s="17">
        <v>0</v>
      </c>
      <c r="BO179" s="17">
        <v>0</v>
      </c>
      <c r="BP179" s="17">
        <v>0</v>
      </c>
      <c r="BQ179" s="17">
        <v>0</v>
      </c>
      <c r="BR179" s="17">
        <v>0</v>
      </c>
      <c r="BS179" s="17">
        <v>0</v>
      </c>
      <c r="BT179" s="17">
        <v>0</v>
      </c>
      <c r="BU179" s="21">
        <f>SUM(PlanIndicativo[[#This Row],[Ingresos Corrientes de Libre Destinación - ICLD (2023)]:[Otros (2023)]])</f>
        <v>1526644.7368421052</v>
      </c>
      <c r="BV179" s="21">
        <f>+PlanIndicativo[[#This Row],[Total (2020)]]+PlanIndicativo[[#This Row],[Total  (2021)]]+PlanIndicativo[[#This Row],[Total  (2022)]]+PlanIndicativo[[#This Row],[Total (2023)]]</f>
        <v>6106578.9473684207</v>
      </c>
      <c r="BW179" s="22" t="s">
        <v>584</v>
      </c>
    </row>
    <row r="180" spans="1:75" ht="21" customHeight="1" x14ac:dyDescent="0.25">
      <c r="A180" s="7">
        <v>2</v>
      </c>
      <c r="B180" s="8" t="s">
        <v>480</v>
      </c>
      <c r="C180" s="7" t="s">
        <v>573</v>
      </c>
      <c r="D180" s="7" t="s">
        <v>574</v>
      </c>
      <c r="E180" s="7" t="s">
        <v>575</v>
      </c>
      <c r="F180" s="8" t="s">
        <v>576</v>
      </c>
      <c r="G180" s="7" t="s">
        <v>596</v>
      </c>
      <c r="H180" s="8" t="s">
        <v>597</v>
      </c>
      <c r="I180" s="9">
        <v>2302075</v>
      </c>
      <c r="J180" s="25" t="s">
        <v>601</v>
      </c>
      <c r="K180" s="25" t="s">
        <v>599</v>
      </c>
      <c r="L180" s="25" t="s">
        <v>581</v>
      </c>
      <c r="M180" s="25" t="s">
        <v>586</v>
      </c>
      <c r="N180" s="25" t="s">
        <v>86</v>
      </c>
      <c r="O180" s="25"/>
      <c r="P180" s="9">
        <v>230207500</v>
      </c>
      <c r="Q180" s="25" t="s">
        <v>602</v>
      </c>
      <c r="R180" s="12" t="s">
        <v>88</v>
      </c>
      <c r="S180" s="13" t="s">
        <v>93</v>
      </c>
      <c r="T180" s="14">
        <v>0</v>
      </c>
      <c r="U180" s="15">
        <v>4</v>
      </c>
      <c r="V180" s="30">
        <v>1</v>
      </c>
      <c r="W180" s="30">
        <v>1</v>
      </c>
      <c r="X180" s="30">
        <v>1</v>
      </c>
      <c r="Y180" s="30">
        <v>1</v>
      </c>
      <c r="Z180" s="17">
        <f t="shared" si="110"/>
        <v>1526644.7368421052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8">
        <f>SUM(PlanIndicativo[[#This Row],[Ingresos Corrientes de Libre Destinación - ICLD (2020)]:[Otros (2020)]])</f>
        <v>1526644.7368421052</v>
      </c>
      <c r="AL180" s="17">
        <f t="shared" si="107"/>
        <v>1526644.7368421052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9">
        <f>SUM(PlanIndicativo[[#This Row],[Ingresos Corrientes de Libre Destinación - ICLD (2021)]:[Otros  (2021)]])</f>
        <v>1526644.7368421052</v>
      </c>
      <c r="AX180" s="17">
        <f t="shared" si="108"/>
        <v>1526644.7368421052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20">
        <f>SUM(PlanIndicativo[[#This Row],[Ingresos Corrientes de Libre Destinación - ICLD (2022)]:[Otros   (2022)]])</f>
        <v>1526644.7368421052</v>
      </c>
      <c r="BJ180" s="17">
        <f t="shared" si="109"/>
        <v>1526644.7368421052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21">
        <f>SUM(PlanIndicativo[[#This Row],[Ingresos Corrientes de Libre Destinación - ICLD (2023)]:[Otros (2023)]])</f>
        <v>1526644.7368421052</v>
      </c>
      <c r="BV180" s="21">
        <f>+PlanIndicativo[[#This Row],[Total (2020)]]+PlanIndicativo[[#This Row],[Total  (2021)]]+PlanIndicativo[[#This Row],[Total  (2022)]]+PlanIndicativo[[#This Row],[Total (2023)]]</f>
        <v>6106578.9473684207</v>
      </c>
      <c r="BW180" s="22" t="s">
        <v>584</v>
      </c>
    </row>
    <row r="181" spans="1:75" ht="21" customHeight="1" x14ac:dyDescent="0.25">
      <c r="A181" s="7">
        <v>2</v>
      </c>
      <c r="B181" s="8" t="s">
        <v>480</v>
      </c>
      <c r="C181" s="7" t="s">
        <v>573</v>
      </c>
      <c r="D181" s="7" t="s">
        <v>574</v>
      </c>
      <c r="E181" s="7" t="s">
        <v>575</v>
      </c>
      <c r="F181" s="8" t="s">
        <v>576</v>
      </c>
      <c r="G181" s="7" t="s">
        <v>596</v>
      </c>
      <c r="H181" s="8" t="s">
        <v>597</v>
      </c>
      <c r="I181" s="9">
        <v>2302033</v>
      </c>
      <c r="J181" s="25" t="s">
        <v>603</v>
      </c>
      <c r="K181" s="25" t="s">
        <v>599</v>
      </c>
      <c r="L181" s="25" t="s">
        <v>581</v>
      </c>
      <c r="M181" s="25" t="s">
        <v>586</v>
      </c>
      <c r="N181" s="25" t="s">
        <v>86</v>
      </c>
      <c r="O181" s="25"/>
      <c r="P181" s="9">
        <v>230203300</v>
      </c>
      <c r="Q181" s="25" t="s">
        <v>604</v>
      </c>
      <c r="R181" s="12" t="s">
        <v>88</v>
      </c>
      <c r="S181" s="13" t="s">
        <v>93</v>
      </c>
      <c r="T181" s="14">
        <v>0</v>
      </c>
      <c r="U181" s="15">
        <v>30</v>
      </c>
      <c r="V181" s="30">
        <v>7</v>
      </c>
      <c r="W181" s="30">
        <v>7</v>
      </c>
      <c r="X181" s="30">
        <v>8</v>
      </c>
      <c r="Y181" s="30">
        <v>8</v>
      </c>
      <c r="Z181" s="17">
        <f>58012500/38*2</f>
        <v>3053289.4736842103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8">
        <f>SUM(PlanIndicativo[[#This Row],[Ingresos Corrientes de Libre Destinación - ICLD (2020)]:[Otros (2020)]])</f>
        <v>3053289.4736842103</v>
      </c>
      <c r="AL181" s="17">
        <f t="shared" si="107"/>
        <v>1526644.7368421052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9">
        <f>SUM(PlanIndicativo[[#This Row],[Ingresos Corrientes de Libre Destinación - ICLD (2021)]:[Otros  (2021)]])</f>
        <v>1526644.7368421052</v>
      </c>
      <c r="AX181" s="17">
        <f t="shared" si="108"/>
        <v>1526644.7368421052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20">
        <f>SUM(PlanIndicativo[[#This Row],[Ingresos Corrientes de Libre Destinación - ICLD (2022)]:[Otros   (2022)]])</f>
        <v>1526644.7368421052</v>
      </c>
      <c r="BJ181" s="17">
        <f t="shared" si="109"/>
        <v>1526644.7368421052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21">
        <f>SUM(PlanIndicativo[[#This Row],[Ingresos Corrientes de Libre Destinación - ICLD (2023)]:[Otros (2023)]])</f>
        <v>1526644.7368421052</v>
      </c>
      <c r="BV181" s="21">
        <f>+PlanIndicativo[[#This Row],[Total (2020)]]+PlanIndicativo[[#This Row],[Total  (2021)]]+PlanIndicativo[[#This Row],[Total  (2022)]]+PlanIndicativo[[#This Row],[Total (2023)]]</f>
        <v>7633223.6842105258</v>
      </c>
      <c r="BW181" s="22" t="s">
        <v>584</v>
      </c>
    </row>
    <row r="182" spans="1:75" ht="21" customHeight="1" x14ac:dyDescent="0.25">
      <c r="A182" s="7">
        <v>2</v>
      </c>
      <c r="B182" s="8" t="s">
        <v>480</v>
      </c>
      <c r="C182" s="7" t="s">
        <v>573</v>
      </c>
      <c r="D182" s="7" t="s">
        <v>574</v>
      </c>
      <c r="E182" s="7" t="s">
        <v>575</v>
      </c>
      <c r="F182" s="8" t="s">
        <v>576</v>
      </c>
      <c r="G182" s="7" t="s">
        <v>596</v>
      </c>
      <c r="H182" s="8" t="s">
        <v>597</v>
      </c>
      <c r="I182" s="9">
        <v>2302037</v>
      </c>
      <c r="J182" s="25" t="s">
        <v>605</v>
      </c>
      <c r="K182" s="25" t="s">
        <v>599</v>
      </c>
      <c r="L182" s="25" t="s">
        <v>581</v>
      </c>
      <c r="M182" s="25" t="s">
        <v>586</v>
      </c>
      <c r="N182" s="25" t="s">
        <v>86</v>
      </c>
      <c r="O182" s="25"/>
      <c r="P182" s="9">
        <v>230203700</v>
      </c>
      <c r="Q182" s="25" t="s">
        <v>606</v>
      </c>
      <c r="R182" s="12" t="s">
        <v>88</v>
      </c>
      <c r="S182" s="13" t="s">
        <v>93</v>
      </c>
      <c r="T182" s="14">
        <v>0</v>
      </c>
      <c r="U182" s="15">
        <v>1</v>
      </c>
      <c r="V182" s="30">
        <v>0</v>
      </c>
      <c r="W182" s="30">
        <v>1</v>
      </c>
      <c r="X182" s="30">
        <v>0</v>
      </c>
      <c r="Y182" s="30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8">
        <f>SUM(PlanIndicativo[[#This Row],[Ingresos Corrientes de Libre Destinación - ICLD (2020)]:[Otros (2020)]])</f>
        <v>0</v>
      </c>
      <c r="AL182" s="17">
        <f t="shared" si="107"/>
        <v>1526644.7368421052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  <c r="AW182" s="19">
        <f>SUM(PlanIndicativo[[#This Row],[Ingresos Corrientes de Libre Destinación - ICLD (2021)]:[Otros  (2021)]])</f>
        <v>1526644.7368421052</v>
      </c>
      <c r="AX182" s="17">
        <f t="shared" si="108"/>
        <v>1526644.7368421052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20">
        <f>SUM(PlanIndicativo[[#This Row],[Ingresos Corrientes de Libre Destinación - ICLD (2022)]:[Otros   (2022)]])</f>
        <v>1526644.7368421052</v>
      </c>
      <c r="BJ182" s="17">
        <f t="shared" si="109"/>
        <v>1526644.7368421052</v>
      </c>
      <c r="BK182" s="17">
        <v>0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7">
        <v>0</v>
      </c>
      <c r="BR182" s="17">
        <v>0</v>
      </c>
      <c r="BS182" s="17">
        <v>0</v>
      </c>
      <c r="BT182" s="17">
        <v>0</v>
      </c>
      <c r="BU182" s="21">
        <f>SUM(PlanIndicativo[[#This Row],[Ingresos Corrientes de Libre Destinación - ICLD (2023)]:[Otros (2023)]])</f>
        <v>1526644.7368421052</v>
      </c>
      <c r="BV182" s="21">
        <f>+PlanIndicativo[[#This Row],[Total (2020)]]+PlanIndicativo[[#This Row],[Total  (2021)]]+PlanIndicativo[[#This Row],[Total  (2022)]]+PlanIndicativo[[#This Row],[Total (2023)]]</f>
        <v>4579934.2105263155</v>
      </c>
      <c r="BW182" s="22" t="s">
        <v>584</v>
      </c>
    </row>
    <row r="183" spans="1:75" ht="21" customHeight="1" x14ac:dyDescent="0.25">
      <c r="A183" s="7">
        <v>2</v>
      </c>
      <c r="B183" s="8" t="s">
        <v>480</v>
      </c>
      <c r="C183" s="7" t="s">
        <v>573</v>
      </c>
      <c r="D183" s="7" t="s">
        <v>574</v>
      </c>
      <c r="E183" s="7" t="s">
        <v>575</v>
      </c>
      <c r="F183" s="8" t="s">
        <v>576</v>
      </c>
      <c r="G183" s="7" t="s">
        <v>596</v>
      </c>
      <c r="H183" s="8" t="s">
        <v>597</v>
      </c>
      <c r="I183" s="9">
        <v>2302040</v>
      </c>
      <c r="J183" s="25" t="s">
        <v>607</v>
      </c>
      <c r="K183" s="25" t="s">
        <v>599</v>
      </c>
      <c r="L183" s="25" t="s">
        <v>581</v>
      </c>
      <c r="M183" s="25" t="s">
        <v>586</v>
      </c>
      <c r="N183" s="25" t="s">
        <v>86</v>
      </c>
      <c r="O183" s="25"/>
      <c r="P183" s="9">
        <v>230204000</v>
      </c>
      <c r="Q183" s="25" t="s">
        <v>608</v>
      </c>
      <c r="R183" s="12" t="s">
        <v>88</v>
      </c>
      <c r="S183" s="13" t="s">
        <v>93</v>
      </c>
      <c r="T183" s="14">
        <v>0</v>
      </c>
      <c r="U183" s="15">
        <v>4</v>
      </c>
      <c r="V183" s="30">
        <v>1</v>
      </c>
      <c r="W183" s="30">
        <v>1</v>
      </c>
      <c r="X183" s="30">
        <v>1</v>
      </c>
      <c r="Y183" s="30">
        <v>1</v>
      </c>
      <c r="Z183" s="17">
        <f t="shared" si="110"/>
        <v>1526644.7368421052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8">
        <f>SUM(PlanIndicativo[[#This Row],[Ingresos Corrientes de Libre Destinación - ICLD (2020)]:[Otros (2020)]])</f>
        <v>1526644.7368421052</v>
      </c>
      <c r="AL183" s="17">
        <f t="shared" si="107"/>
        <v>1526644.7368421052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9">
        <f>SUM(PlanIndicativo[[#This Row],[Ingresos Corrientes de Libre Destinación - ICLD (2021)]:[Otros  (2021)]])</f>
        <v>1526644.7368421052</v>
      </c>
      <c r="AX183" s="17">
        <f t="shared" si="108"/>
        <v>1526644.7368421052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20">
        <f>SUM(PlanIndicativo[[#This Row],[Ingresos Corrientes de Libre Destinación - ICLD (2022)]:[Otros   (2022)]])</f>
        <v>1526644.7368421052</v>
      </c>
      <c r="BJ183" s="17">
        <f t="shared" si="109"/>
        <v>1526644.7368421052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21">
        <f>SUM(PlanIndicativo[[#This Row],[Ingresos Corrientes de Libre Destinación - ICLD (2023)]:[Otros (2023)]])</f>
        <v>1526644.7368421052</v>
      </c>
      <c r="BV183" s="21">
        <f>+PlanIndicativo[[#This Row],[Total (2020)]]+PlanIndicativo[[#This Row],[Total  (2021)]]+PlanIndicativo[[#This Row],[Total  (2022)]]+PlanIndicativo[[#This Row],[Total (2023)]]</f>
        <v>6106578.9473684207</v>
      </c>
      <c r="BW183" s="22" t="s">
        <v>584</v>
      </c>
    </row>
    <row r="184" spans="1:75" ht="21" customHeight="1" x14ac:dyDescent="0.25">
      <c r="A184" s="7">
        <v>2</v>
      </c>
      <c r="B184" s="8" t="s">
        <v>480</v>
      </c>
      <c r="C184" s="7" t="s">
        <v>573</v>
      </c>
      <c r="D184" s="7" t="s">
        <v>574</v>
      </c>
      <c r="E184" s="7" t="s">
        <v>575</v>
      </c>
      <c r="F184" s="8" t="s">
        <v>576</v>
      </c>
      <c r="G184" s="7" t="s">
        <v>596</v>
      </c>
      <c r="H184" s="8" t="s">
        <v>597</v>
      </c>
      <c r="I184" s="9">
        <v>2302052</v>
      </c>
      <c r="J184" s="25" t="s">
        <v>609</v>
      </c>
      <c r="K184" s="25" t="s">
        <v>599</v>
      </c>
      <c r="L184" s="25" t="s">
        <v>581</v>
      </c>
      <c r="M184" s="25" t="s">
        <v>586</v>
      </c>
      <c r="N184" s="25" t="s">
        <v>86</v>
      </c>
      <c r="O184" s="25"/>
      <c r="P184" s="9">
        <v>230205200</v>
      </c>
      <c r="Q184" s="25" t="s">
        <v>610</v>
      </c>
      <c r="R184" s="12" t="s">
        <v>88</v>
      </c>
      <c r="S184" s="13" t="s">
        <v>93</v>
      </c>
      <c r="T184" s="14">
        <v>0</v>
      </c>
      <c r="U184" s="15">
        <v>4</v>
      </c>
      <c r="V184" s="30">
        <v>1</v>
      </c>
      <c r="W184" s="30">
        <v>1</v>
      </c>
      <c r="X184" s="30">
        <v>1</v>
      </c>
      <c r="Y184" s="30">
        <v>1</v>
      </c>
      <c r="Z184" s="17">
        <f t="shared" si="110"/>
        <v>1526644.7368421052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8">
        <f>SUM(PlanIndicativo[[#This Row],[Ingresos Corrientes de Libre Destinación - ICLD (2020)]:[Otros (2020)]])</f>
        <v>1526644.7368421052</v>
      </c>
      <c r="AL184" s="17">
        <f t="shared" si="107"/>
        <v>1526644.7368421052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9">
        <f>SUM(PlanIndicativo[[#This Row],[Ingresos Corrientes de Libre Destinación - ICLD (2021)]:[Otros  (2021)]])</f>
        <v>1526644.7368421052</v>
      </c>
      <c r="AX184" s="17">
        <f t="shared" si="108"/>
        <v>1526644.7368421052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20">
        <f>SUM(PlanIndicativo[[#This Row],[Ingresos Corrientes de Libre Destinación - ICLD (2022)]:[Otros   (2022)]])</f>
        <v>1526644.7368421052</v>
      </c>
      <c r="BJ184" s="17">
        <f t="shared" si="109"/>
        <v>1526644.7368421052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21">
        <f>SUM(PlanIndicativo[[#This Row],[Ingresos Corrientes de Libre Destinación - ICLD (2023)]:[Otros (2023)]])</f>
        <v>1526644.7368421052</v>
      </c>
      <c r="BV184" s="21">
        <f>+PlanIndicativo[[#This Row],[Total (2020)]]+PlanIndicativo[[#This Row],[Total  (2021)]]+PlanIndicativo[[#This Row],[Total  (2022)]]+PlanIndicativo[[#This Row],[Total (2023)]]</f>
        <v>6106578.9473684207</v>
      </c>
      <c r="BW184" s="22" t="s">
        <v>584</v>
      </c>
    </row>
    <row r="185" spans="1:75" ht="21" customHeight="1" x14ac:dyDescent="0.25">
      <c r="A185" s="7">
        <v>2</v>
      </c>
      <c r="B185" s="8" t="s">
        <v>480</v>
      </c>
      <c r="C185" s="7" t="s">
        <v>573</v>
      </c>
      <c r="D185" s="7" t="s">
        <v>574</v>
      </c>
      <c r="E185" s="7" t="s">
        <v>575</v>
      </c>
      <c r="F185" s="8" t="s">
        <v>576</v>
      </c>
      <c r="G185" s="7" t="s">
        <v>596</v>
      </c>
      <c r="H185" s="8" t="s">
        <v>597</v>
      </c>
      <c r="I185" s="9">
        <v>2302054</v>
      </c>
      <c r="J185" s="25" t="s">
        <v>611</v>
      </c>
      <c r="K185" s="25" t="s">
        <v>599</v>
      </c>
      <c r="L185" s="25" t="s">
        <v>581</v>
      </c>
      <c r="M185" s="25" t="s">
        <v>586</v>
      </c>
      <c r="N185" s="25" t="s">
        <v>86</v>
      </c>
      <c r="O185" s="25"/>
      <c r="P185" s="9">
        <v>230205400</v>
      </c>
      <c r="Q185" s="25" t="s">
        <v>612</v>
      </c>
      <c r="R185" s="12" t="s">
        <v>88</v>
      </c>
      <c r="S185" s="13" t="s">
        <v>93</v>
      </c>
      <c r="T185" s="14">
        <v>0</v>
      </c>
      <c r="U185" s="15">
        <v>4</v>
      </c>
      <c r="V185" s="30">
        <v>1</v>
      </c>
      <c r="W185" s="30">
        <v>1</v>
      </c>
      <c r="X185" s="30">
        <v>1</v>
      </c>
      <c r="Y185" s="30">
        <v>1</v>
      </c>
      <c r="Z185" s="17">
        <f>58012500/38*2</f>
        <v>3053289.4736842103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8">
        <f>SUM(PlanIndicativo[[#This Row],[Ingresos Corrientes de Libre Destinación - ICLD (2020)]:[Otros (2020)]])</f>
        <v>3053289.4736842103</v>
      </c>
      <c r="AL185" s="17">
        <f t="shared" si="107"/>
        <v>1526644.7368421052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9">
        <f>SUM(PlanIndicativo[[#This Row],[Ingresos Corrientes de Libre Destinación - ICLD (2021)]:[Otros  (2021)]])</f>
        <v>1526644.7368421052</v>
      </c>
      <c r="AX185" s="17">
        <f t="shared" si="108"/>
        <v>1526644.7368421052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20">
        <f>SUM(PlanIndicativo[[#This Row],[Ingresos Corrientes de Libre Destinación - ICLD (2022)]:[Otros   (2022)]])</f>
        <v>1526644.7368421052</v>
      </c>
      <c r="BJ185" s="17">
        <f t="shared" si="109"/>
        <v>1526644.7368421052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21">
        <f>SUM(PlanIndicativo[[#This Row],[Ingresos Corrientes de Libre Destinación - ICLD (2023)]:[Otros (2023)]])</f>
        <v>1526644.7368421052</v>
      </c>
      <c r="BV185" s="21">
        <f>+PlanIndicativo[[#This Row],[Total (2020)]]+PlanIndicativo[[#This Row],[Total  (2021)]]+PlanIndicativo[[#This Row],[Total  (2022)]]+PlanIndicativo[[#This Row],[Total (2023)]]</f>
        <v>7633223.6842105258</v>
      </c>
      <c r="BW185" s="22" t="s">
        <v>584</v>
      </c>
    </row>
    <row r="186" spans="1:75" ht="21" customHeight="1" x14ac:dyDescent="0.25">
      <c r="A186" s="7">
        <v>2</v>
      </c>
      <c r="B186" s="8" t="s">
        <v>480</v>
      </c>
      <c r="C186" s="7" t="s">
        <v>573</v>
      </c>
      <c r="D186" s="7" t="s">
        <v>574</v>
      </c>
      <c r="E186" s="7" t="s">
        <v>575</v>
      </c>
      <c r="F186" s="8" t="s">
        <v>576</v>
      </c>
      <c r="G186" s="7" t="s">
        <v>613</v>
      </c>
      <c r="H186" s="8" t="s">
        <v>614</v>
      </c>
      <c r="I186" s="9">
        <v>3502008</v>
      </c>
      <c r="J186" s="25" t="s">
        <v>615</v>
      </c>
      <c r="K186" s="25" t="s">
        <v>616</v>
      </c>
      <c r="L186" s="25" t="s">
        <v>581</v>
      </c>
      <c r="M186" s="25" t="s">
        <v>586</v>
      </c>
      <c r="N186" s="25" t="s">
        <v>86</v>
      </c>
      <c r="O186" s="25"/>
      <c r="P186" s="9">
        <v>350200800</v>
      </c>
      <c r="Q186" s="25" t="s">
        <v>617</v>
      </c>
      <c r="R186" s="12" t="s">
        <v>88</v>
      </c>
      <c r="S186" s="13" t="s">
        <v>93</v>
      </c>
      <c r="T186" s="14">
        <v>0</v>
      </c>
      <c r="U186" s="15">
        <v>1</v>
      </c>
      <c r="V186" s="30">
        <v>0</v>
      </c>
      <c r="W186" s="30">
        <v>1</v>
      </c>
      <c r="X186" s="30">
        <v>0</v>
      </c>
      <c r="Y186" s="30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8">
        <f>SUM(PlanIndicativo[[#This Row],[Ingresos Corrientes de Libre Destinación - ICLD (2020)]:[Otros (2020)]])</f>
        <v>0</v>
      </c>
      <c r="AL186" s="17">
        <f t="shared" si="107"/>
        <v>1526644.7368421052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9">
        <f>SUM(PlanIndicativo[[#This Row],[Ingresos Corrientes de Libre Destinación - ICLD (2021)]:[Otros  (2021)]])</f>
        <v>1526644.7368421052</v>
      </c>
      <c r="AX186" s="17">
        <f t="shared" si="108"/>
        <v>1526644.7368421052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20">
        <f>SUM(PlanIndicativo[[#This Row],[Ingresos Corrientes de Libre Destinación - ICLD (2022)]:[Otros   (2022)]])</f>
        <v>1526644.7368421052</v>
      </c>
      <c r="BJ186" s="17">
        <f t="shared" si="109"/>
        <v>1526644.7368421052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>
        <v>0</v>
      </c>
      <c r="BU186" s="21">
        <f>SUM(PlanIndicativo[[#This Row],[Ingresos Corrientes de Libre Destinación - ICLD (2023)]:[Otros (2023)]])</f>
        <v>1526644.7368421052</v>
      </c>
      <c r="BV186" s="21">
        <f>+PlanIndicativo[[#This Row],[Total (2020)]]+PlanIndicativo[[#This Row],[Total  (2021)]]+PlanIndicativo[[#This Row],[Total  (2022)]]+PlanIndicativo[[#This Row],[Total (2023)]]</f>
        <v>4579934.2105263155</v>
      </c>
      <c r="BW186" s="22" t="s">
        <v>584</v>
      </c>
    </row>
    <row r="187" spans="1:75" ht="21" customHeight="1" x14ac:dyDescent="0.25">
      <c r="A187" s="7">
        <v>2</v>
      </c>
      <c r="B187" s="8" t="s">
        <v>480</v>
      </c>
      <c r="C187" s="7" t="s">
        <v>573</v>
      </c>
      <c r="D187" s="7" t="s">
        <v>574</v>
      </c>
      <c r="E187" s="7" t="s">
        <v>575</v>
      </c>
      <c r="F187" s="8" t="s">
        <v>576</v>
      </c>
      <c r="G187" s="7" t="s">
        <v>613</v>
      </c>
      <c r="H187" s="8" t="s">
        <v>614</v>
      </c>
      <c r="I187" s="9">
        <v>3502019</v>
      </c>
      <c r="J187" s="25" t="s">
        <v>618</v>
      </c>
      <c r="K187" s="25" t="s">
        <v>616</v>
      </c>
      <c r="L187" s="25" t="s">
        <v>581</v>
      </c>
      <c r="M187" s="25" t="s">
        <v>586</v>
      </c>
      <c r="N187" s="25" t="s">
        <v>86</v>
      </c>
      <c r="O187" s="25"/>
      <c r="P187" s="9">
        <v>350201900</v>
      </c>
      <c r="Q187" s="25" t="s">
        <v>287</v>
      </c>
      <c r="R187" s="12" t="s">
        <v>88</v>
      </c>
      <c r="S187" s="13" t="s">
        <v>93</v>
      </c>
      <c r="T187" s="14">
        <v>0</v>
      </c>
      <c r="U187" s="15">
        <v>400</v>
      </c>
      <c r="V187" s="30">
        <v>100</v>
      </c>
      <c r="W187" s="30">
        <v>100</v>
      </c>
      <c r="X187" s="30">
        <v>100</v>
      </c>
      <c r="Y187" s="30">
        <v>100</v>
      </c>
      <c r="Z187" s="17">
        <f t="shared" si="110"/>
        <v>1526644.7368421052</v>
      </c>
      <c r="AA187" s="17">
        <v>0</v>
      </c>
      <c r="AB187" s="17">
        <v>0</v>
      </c>
      <c r="AC187" s="17">
        <v>0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8">
        <f>SUM(PlanIndicativo[[#This Row],[Ingresos Corrientes de Libre Destinación - ICLD (2020)]:[Otros (2020)]])</f>
        <v>1526644.7368421052</v>
      </c>
      <c r="AL187" s="17">
        <f t="shared" si="107"/>
        <v>1526644.7368421052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9">
        <f>SUM(PlanIndicativo[[#This Row],[Ingresos Corrientes de Libre Destinación - ICLD (2021)]:[Otros  (2021)]])</f>
        <v>1526644.7368421052</v>
      </c>
      <c r="AX187" s="17">
        <f t="shared" si="108"/>
        <v>1526644.7368421052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20">
        <f>SUM(PlanIndicativo[[#This Row],[Ingresos Corrientes de Libre Destinación - ICLD (2022)]:[Otros   (2022)]])</f>
        <v>1526644.7368421052</v>
      </c>
      <c r="BJ187" s="17">
        <f t="shared" si="109"/>
        <v>1526644.7368421052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0</v>
      </c>
      <c r="BU187" s="21">
        <f>SUM(PlanIndicativo[[#This Row],[Ingresos Corrientes de Libre Destinación - ICLD (2023)]:[Otros (2023)]])</f>
        <v>1526644.7368421052</v>
      </c>
      <c r="BV187" s="21">
        <f>+PlanIndicativo[[#This Row],[Total (2020)]]+PlanIndicativo[[#This Row],[Total  (2021)]]+PlanIndicativo[[#This Row],[Total  (2022)]]+PlanIndicativo[[#This Row],[Total (2023)]]</f>
        <v>6106578.9473684207</v>
      </c>
      <c r="BW187" s="22" t="s">
        <v>584</v>
      </c>
    </row>
    <row r="188" spans="1:75" ht="21" customHeight="1" x14ac:dyDescent="0.25">
      <c r="A188" s="7">
        <v>2</v>
      </c>
      <c r="B188" s="8" t="s">
        <v>480</v>
      </c>
      <c r="C188" s="7" t="s">
        <v>573</v>
      </c>
      <c r="D188" s="7" t="s">
        <v>574</v>
      </c>
      <c r="E188" s="7" t="s">
        <v>575</v>
      </c>
      <c r="F188" s="8" t="s">
        <v>576</v>
      </c>
      <c r="G188" s="7" t="s">
        <v>613</v>
      </c>
      <c r="H188" s="8" t="s">
        <v>614</v>
      </c>
      <c r="I188" s="9">
        <v>3502024</v>
      </c>
      <c r="J188" s="25" t="s">
        <v>619</v>
      </c>
      <c r="K188" s="25" t="s">
        <v>616</v>
      </c>
      <c r="L188" s="25" t="s">
        <v>581</v>
      </c>
      <c r="M188" s="25" t="s">
        <v>586</v>
      </c>
      <c r="N188" s="25" t="s">
        <v>86</v>
      </c>
      <c r="O188" s="25"/>
      <c r="P188" s="9">
        <v>350202400</v>
      </c>
      <c r="Q188" s="25" t="s">
        <v>620</v>
      </c>
      <c r="R188" s="12" t="s">
        <v>88</v>
      </c>
      <c r="S188" s="13" t="s">
        <v>93</v>
      </c>
      <c r="T188" s="14">
        <v>0</v>
      </c>
      <c r="U188" s="15">
        <v>60</v>
      </c>
      <c r="V188" s="30">
        <v>15</v>
      </c>
      <c r="W188" s="30">
        <v>15</v>
      </c>
      <c r="X188" s="30">
        <v>15</v>
      </c>
      <c r="Y188" s="30">
        <v>15</v>
      </c>
      <c r="Z188" s="17">
        <f t="shared" si="110"/>
        <v>1526644.7368421052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8">
        <f>SUM(PlanIndicativo[[#This Row],[Ingresos Corrientes de Libre Destinación - ICLD (2020)]:[Otros (2020)]])</f>
        <v>1526644.7368421052</v>
      </c>
      <c r="AL188" s="17">
        <f t="shared" si="107"/>
        <v>1526644.7368421052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9">
        <f>SUM(PlanIndicativo[[#This Row],[Ingresos Corrientes de Libre Destinación - ICLD (2021)]:[Otros  (2021)]])</f>
        <v>1526644.7368421052</v>
      </c>
      <c r="AX188" s="17">
        <f t="shared" si="108"/>
        <v>1526644.7368421052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20">
        <f>SUM(PlanIndicativo[[#This Row],[Ingresos Corrientes de Libre Destinación - ICLD (2022)]:[Otros   (2022)]])</f>
        <v>1526644.7368421052</v>
      </c>
      <c r="BJ188" s="17">
        <f t="shared" si="109"/>
        <v>1526644.7368421052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21">
        <f>SUM(PlanIndicativo[[#This Row],[Ingresos Corrientes de Libre Destinación - ICLD (2023)]:[Otros (2023)]])</f>
        <v>1526644.7368421052</v>
      </c>
      <c r="BV188" s="21">
        <f>+PlanIndicativo[[#This Row],[Total (2020)]]+PlanIndicativo[[#This Row],[Total  (2021)]]+PlanIndicativo[[#This Row],[Total  (2022)]]+PlanIndicativo[[#This Row],[Total (2023)]]</f>
        <v>6106578.9473684207</v>
      </c>
      <c r="BW188" s="22" t="s">
        <v>584</v>
      </c>
    </row>
    <row r="189" spans="1:75" ht="21" customHeight="1" x14ac:dyDescent="0.25">
      <c r="A189" s="7">
        <v>2</v>
      </c>
      <c r="B189" s="8" t="s">
        <v>480</v>
      </c>
      <c r="C189" s="7" t="s">
        <v>573</v>
      </c>
      <c r="D189" s="7" t="s">
        <v>574</v>
      </c>
      <c r="E189" s="7" t="s">
        <v>575</v>
      </c>
      <c r="F189" s="8" t="s">
        <v>576</v>
      </c>
      <c r="G189" s="7" t="s">
        <v>613</v>
      </c>
      <c r="H189" s="8" t="s">
        <v>614</v>
      </c>
      <c r="I189" s="9">
        <v>3502046</v>
      </c>
      <c r="J189" s="25" t="s">
        <v>621</v>
      </c>
      <c r="K189" s="25" t="s">
        <v>622</v>
      </c>
      <c r="L189" s="25" t="s">
        <v>581</v>
      </c>
      <c r="M189" s="25" t="s">
        <v>586</v>
      </c>
      <c r="N189" s="25" t="s">
        <v>86</v>
      </c>
      <c r="O189" s="25"/>
      <c r="P189" s="9">
        <v>350204600</v>
      </c>
      <c r="Q189" s="25" t="s">
        <v>623</v>
      </c>
      <c r="R189" s="12" t="s">
        <v>88</v>
      </c>
      <c r="S189" s="13" t="s">
        <v>93</v>
      </c>
      <c r="T189" s="14">
        <v>0</v>
      </c>
      <c r="U189" s="15">
        <v>12</v>
      </c>
      <c r="V189" s="30">
        <v>3</v>
      </c>
      <c r="W189" s="30">
        <v>3</v>
      </c>
      <c r="X189" s="30">
        <v>3</v>
      </c>
      <c r="Y189" s="30">
        <v>3</v>
      </c>
      <c r="Z189" s="17">
        <f>58012500/38*2</f>
        <v>3053289.4736842103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8">
        <f>SUM(PlanIndicativo[[#This Row],[Ingresos Corrientes de Libre Destinación - ICLD (2020)]:[Otros (2020)]])</f>
        <v>3053289.4736842103</v>
      </c>
      <c r="AL189" s="17">
        <f t="shared" si="107"/>
        <v>1526644.7368421052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9">
        <f>SUM(PlanIndicativo[[#This Row],[Ingresos Corrientes de Libre Destinación - ICLD (2021)]:[Otros  (2021)]])</f>
        <v>1526644.7368421052</v>
      </c>
      <c r="AX189" s="17">
        <f t="shared" si="108"/>
        <v>1526644.7368421052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20">
        <f>SUM(PlanIndicativo[[#This Row],[Ingresos Corrientes de Libre Destinación - ICLD (2022)]:[Otros   (2022)]])</f>
        <v>1526644.7368421052</v>
      </c>
      <c r="BJ189" s="17">
        <f t="shared" si="109"/>
        <v>1526644.7368421052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7">
        <v>0</v>
      </c>
      <c r="BR189" s="17">
        <v>0</v>
      </c>
      <c r="BS189" s="17">
        <v>0</v>
      </c>
      <c r="BT189" s="17">
        <v>0</v>
      </c>
      <c r="BU189" s="21">
        <f>SUM(PlanIndicativo[[#This Row],[Ingresos Corrientes de Libre Destinación - ICLD (2023)]:[Otros (2023)]])</f>
        <v>1526644.7368421052</v>
      </c>
      <c r="BV189" s="21">
        <f>+PlanIndicativo[[#This Row],[Total (2020)]]+PlanIndicativo[[#This Row],[Total  (2021)]]+PlanIndicativo[[#This Row],[Total  (2022)]]+PlanIndicativo[[#This Row],[Total (2023)]]</f>
        <v>7633223.6842105258</v>
      </c>
      <c r="BW189" s="22" t="s">
        <v>584</v>
      </c>
    </row>
    <row r="190" spans="1:75" ht="21" customHeight="1" x14ac:dyDescent="0.25">
      <c r="A190" s="7">
        <v>2</v>
      </c>
      <c r="B190" s="8" t="s">
        <v>480</v>
      </c>
      <c r="C190" s="7" t="s">
        <v>573</v>
      </c>
      <c r="D190" s="7" t="s">
        <v>574</v>
      </c>
      <c r="E190" s="7" t="s">
        <v>575</v>
      </c>
      <c r="F190" s="8" t="s">
        <v>576</v>
      </c>
      <c r="G190" s="7" t="s">
        <v>613</v>
      </c>
      <c r="H190" s="8" t="s">
        <v>614</v>
      </c>
      <c r="I190" s="9">
        <v>3502058</v>
      </c>
      <c r="J190" s="25" t="s">
        <v>624</v>
      </c>
      <c r="K190" s="25" t="s">
        <v>616</v>
      </c>
      <c r="L190" s="25" t="s">
        <v>581</v>
      </c>
      <c r="M190" s="25" t="s">
        <v>586</v>
      </c>
      <c r="N190" s="25" t="s">
        <v>86</v>
      </c>
      <c r="O190" s="25"/>
      <c r="P190" s="9">
        <v>350205800</v>
      </c>
      <c r="Q190" s="25" t="s">
        <v>625</v>
      </c>
      <c r="R190" s="12" t="s">
        <v>88</v>
      </c>
      <c r="S190" s="13" t="s">
        <v>93</v>
      </c>
      <c r="T190" s="14">
        <v>0</v>
      </c>
      <c r="U190" s="15">
        <v>1</v>
      </c>
      <c r="V190" s="30">
        <v>0</v>
      </c>
      <c r="W190" s="30">
        <v>1</v>
      </c>
      <c r="X190" s="30">
        <v>0</v>
      </c>
      <c r="Y190" s="30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8">
        <f>SUM(PlanIndicativo[[#This Row],[Ingresos Corrientes de Libre Destinación - ICLD (2020)]:[Otros (2020)]])</f>
        <v>0</v>
      </c>
      <c r="AL190" s="17">
        <f>58012500/38*2</f>
        <v>3053289.4736842103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9">
        <f>SUM(PlanIndicativo[[#This Row],[Ingresos Corrientes de Libre Destinación - ICLD (2021)]:[Otros  (2021)]])</f>
        <v>3053289.4736842103</v>
      </c>
      <c r="AX190" s="17">
        <f t="shared" si="108"/>
        <v>1526644.7368421052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20">
        <f>SUM(PlanIndicativo[[#This Row],[Ingresos Corrientes de Libre Destinación - ICLD (2022)]:[Otros   (2022)]])</f>
        <v>1526644.7368421052</v>
      </c>
      <c r="BJ190" s="17">
        <f t="shared" si="109"/>
        <v>1526644.7368421052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21">
        <f>SUM(PlanIndicativo[[#This Row],[Ingresos Corrientes de Libre Destinación - ICLD (2023)]:[Otros (2023)]])</f>
        <v>1526644.7368421052</v>
      </c>
      <c r="BV190" s="21">
        <f>+PlanIndicativo[[#This Row],[Total (2020)]]+PlanIndicativo[[#This Row],[Total  (2021)]]+PlanIndicativo[[#This Row],[Total  (2022)]]+PlanIndicativo[[#This Row],[Total (2023)]]</f>
        <v>6106578.9473684207</v>
      </c>
      <c r="BW190" s="22" t="s">
        <v>584</v>
      </c>
    </row>
    <row r="191" spans="1:75" ht="21" customHeight="1" x14ac:dyDescent="0.25">
      <c r="A191" s="7">
        <v>2</v>
      </c>
      <c r="B191" s="8" t="s">
        <v>480</v>
      </c>
      <c r="C191" s="7" t="s">
        <v>573</v>
      </c>
      <c r="D191" s="7" t="s">
        <v>574</v>
      </c>
      <c r="E191" s="7" t="s">
        <v>575</v>
      </c>
      <c r="F191" s="8" t="s">
        <v>576</v>
      </c>
      <c r="G191" s="7" t="s">
        <v>613</v>
      </c>
      <c r="H191" s="8" t="s">
        <v>614</v>
      </c>
      <c r="I191" s="9">
        <v>3502063</v>
      </c>
      <c r="J191" s="25" t="s">
        <v>626</v>
      </c>
      <c r="K191" s="25" t="s">
        <v>622</v>
      </c>
      <c r="L191" s="25" t="s">
        <v>581</v>
      </c>
      <c r="M191" s="25" t="s">
        <v>586</v>
      </c>
      <c r="N191" s="25" t="s">
        <v>86</v>
      </c>
      <c r="O191" s="25"/>
      <c r="P191" s="9">
        <v>350206300</v>
      </c>
      <c r="Q191" s="25" t="s">
        <v>627</v>
      </c>
      <c r="R191" s="12" t="s">
        <v>88</v>
      </c>
      <c r="S191" s="13" t="s">
        <v>93</v>
      </c>
      <c r="T191" s="14">
        <v>0</v>
      </c>
      <c r="U191" s="15">
        <v>1</v>
      </c>
      <c r="V191" s="30">
        <v>0</v>
      </c>
      <c r="W191" s="30">
        <v>0</v>
      </c>
      <c r="X191" s="30">
        <v>1</v>
      </c>
      <c r="Y191" s="30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8">
        <f>SUM(PlanIndicativo[[#This Row],[Ingresos Corrientes de Libre Destinación - ICLD (2020)]:[Otros (2020)]])</f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9">
        <f>SUM(PlanIndicativo[[#This Row],[Ingresos Corrientes de Libre Destinación - ICLD (2021)]:[Otros  (2021)]])</f>
        <v>0</v>
      </c>
      <c r="AX191" s="17">
        <f t="shared" si="108"/>
        <v>1526644.7368421052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20">
        <f>SUM(PlanIndicativo[[#This Row],[Ingresos Corrientes de Libre Destinación - ICLD (2022)]:[Otros   (2022)]])</f>
        <v>1526644.7368421052</v>
      </c>
      <c r="BJ191" s="17">
        <f t="shared" si="109"/>
        <v>1526644.7368421052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21">
        <f>SUM(PlanIndicativo[[#This Row],[Ingresos Corrientes de Libre Destinación - ICLD (2023)]:[Otros (2023)]])</f>
        <v>1526644.7368421052</v>
      </c>
      <c r="BV191" s="21">
        <f>+PlanIndicativo[[#This Row],[Total (2020)]]+PlanIndicativo[[#This Row],[Total  (2021)]]+PlanIndicativo[[#This Row],[Total  (2022)]]+PlanIndicativo[[#This Row],[Total (2023)]]</f>
        <v>3053289.4736842103</v>
      </c>
      <c r="BW191" s="22" t="s">
        <v>584</v>
      </c>
    </row>
    <row r="192" spans="1:75" ht="21" customHeight="1" x14ac:dyDescent="0.25">
      <c r="A192" s="7">
        <v>2</v>
      </c>
      <c r="B192" s="8" t="s">
        <v>480</v>
      </c>
      <c r="C192" s="7" t="s">
        <v>573</v>
      </c>
      <c r="D192" s="7" t="s">
        <v>574</v>
      </c>
      <c r="E192" s="7" t="s">
        <v>575</v>
      </c>
      <c r="F192" s="8" t="s">
        <v>576</v>
      </c>
      <c r="G192" s="7" t="s">
        <v>613</v>
      </c>
      <c r="H192" s="8" t="s">
        <v>614</v>
      </c>
      <c r="I192" s="9">
        <v>3502090</v>
      </c>
      <c r="J192" s="25" t="s">
        <v>152</v>
      </c>
      <c r="K192" s="25" t="s">
        <v>622</v>
      </c>
      <c r="L192" s="25" t="s">
        <v>581</v>
      </c>
      <c r="M192" s="25" t="s">
        <v>586</v>
      </c>
      <c r="N192" s="25" t="s">
        <v>86</v>
      </c>
      <c r="O192" s="25"/>
      <c r="P192" s="9">
        <v>35029000</v>
      </c>
      <c r="Q192" s="25" t="s">
        <v>628</v>
      </c>
      <c r="R192" s="12" t="s">
        <v>88</v>
      </c>
      <c r="S192" s="13" t="s">
        <v>93</v>
      </c>
      <c r="T192" s="14">
        <v>0</v>
      </c>
      <c r="U192" s="15">
        <v>4</v>
      </c>
      <c r="V192" s="30">
        <v>1</v>
      </c>
      <c r="W192" s="30">
        <v>1</v>
      </c>
      <c r="X192" s="30">
        <v>1</v>
      </c>
      <c r="Y192" s="30">
        <v>1</v>
      </c>
      <c r="Z192" s="17">
        <f>58012500/38*2</f>
        <v>3053289.4736842103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8">
        <f>SUM(PlanIndicativo[[#This Row],[Ingresos Corrientes de Libre Destinación - ICLD (2020)]:[Otros (2020)]])</f>
        <v>3053289.4736842103</v>
      </c>
      <c r="AL192" s="17">
        <f t="shared" si="107"/>
        <v>1526644.7368421052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9">
        <f>SUM(PlanIndicativo[[#This Row],[Ingresos Corrientes de Libre Destinación - ICLD (2021)]:[Otros  (2021)]])</f>
        <v>1526644.7368421052</v>
      </c>
      <c r="AX192" s="17">
        <f t="shared" si="108"/>
        <v>1526644.7368421052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20">
        <f>SUM(PlanIndicativo[[#This Row],[Ingresos Corrientes de Libre Destinación - ICLD (2022)]:[Otros   (2022)]])</f>
        <v>1526644.7368421052</v>
      </c>
      <c r="BJ192" s="17">
        <f t="shared" si="109"/>
        <v>1526644.7368421052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21">
        <f>SUM(PlanIndicativo[[#This Row],[Ingresos Corrientes de Libre Destinación - ICLD (2023)]:[Otros (2023)]])</f>
        <v>1526644.7368421052</v>
      </c>
      <c r="BV192" s="21">
        <f>+PlanIndicativo[[#This Row],[Total (2020)]]+PlanIndicativo[[#This Row],[Total  (2021)]]+PlanIndicativo[[#This Row],[Total  (2022)]]+PlanIndicativo[[#This Row],[Total (2023)]]</f>
        <v>7633223.6842105258</v>
      </c>
      <c r="BW192" s="22" t="s">
        <v>584</v>
      </c>
    </row>
    <row r="193" spans="1:75" ht="21" customHeight="1" x14ac:dyDescent="0.25">
      <c r="A193" s="7">
        <v>2</v>
      </c>
      <c r="B193" s="8" t="s">
        <v>480</v>
      </c>
      <c r="C193" s="7" t="s">
        <v>573</v>
      </c>
      <c r="D193" s="7" t="s">
        <v>574</v>
      </c>
      <c r="E193" s="7" t="s">
        <v>575</v>
      </c>
      <c r="F193" s="8" t="s">
        <v>576</v>
      </c>
      <c r="G193" s="7" t="s">
        <v>629</v>
      </c>
      <c r="H193" s="8" t="s">
        <v>630</v>
      </c>
      <c r="I193" s="9">
        <v>3602034</v>
      </c>
      <c r="J193" s="25" t="s">
        <v>631</v>
      </c>
      <c r="K193" s="25" t="s">
        <v>632</v>
      </c>
      <c r="L193" s="25" t="s">
        <v>581</v>
      </c>
      <c r="M193" s="25" t="s">
        <v>586</v>
      </c>
      <c r="N193" s="25" t="s">
        <v>86</v>
      </c>
      <c r="O193" s="25"/>
      <c r="P193" s="9">
        <v>360203400</v>
      </c>
      <c r="Q193" s="25" t="s">
        <v>633</v>
      </c>
      <c r="R193" s="12" t="s">
        <v>88</v>
      </c>
      <c r="S193" s="13" t="s">
        <v>93</v>
      </c>
      <c r="T193" s="14">
        <v>0</v>
      </c>
      <c r="U193" s="15">
        <v>4</v>
      </c>
      <c r="V193" s="30">
        <v>1</v>
      </c>
      <c r="W193" s="30">
        <v>1</v>
      </c>
      <c r="X193" s="30">
        <v>1</v>
      </c>
      <c r="Y193" s="30">
        <v>1</v>
      </c>
      <c r="Z193" s="17">
        <f>58012500/38*2</f>
        <v>3053289.4736842103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8">
        <f>SUM(PlanIndicativo[[#This Row],[Ingresos Corrientes de Libre Destinación - ICLD (2020)]:[Otros (2020)]])</f>
        <v>3053289.4736842103</v>
      </c>
      <c r="AL193" s="17">
        <f t="shared" si="107"/>
        <v>1526644.7368421052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9">
        <f>SUM(PlanIndicativo[[#This Row],[Ingresos Corrientes de Libre Destinación - ICLD (2021)]:[Otros  (2021)]])</f>
        <v>1526644.7368421052</v>
      </c>
      <c r="AX193" s="17">
        <f t="shared" si="108"/>
        <v>1526644.7368421052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20">
        <f>SUM(PlanIndicativo[[#This Row],[Ingresos Corrientes de Libre Destinación - ICLD (2022)]:[Otros   (2022)]])</f>
        <v>1526644.7368421052</v>
      </c>
      <c r="BJ193" s="17">
        <f t="shared" si="109"/>
        <v>1526644.7368421052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0</v>
      </c>
      <c r="BS193" s="17">
        <v>0</v>
      </c>
      <c r="BT193" s="17">
        <v>0</v>
      </c>
      <c r="BU193" s="21">
        <f>SUM(PlanIndicativo[[#This Row],[Ingresos Corrientes de Libre Destinación - ICLD (2023)]:[Otros (2023)]])</f>
        <v>1526644.7368421052</v>
      </c>
      <c r="BV193" s="21">
        <f>+PlanIndicativo[[#This Row],[Total (2020)]]+PlanIndicativo[[#This Row],[Total  (2021)]]+PlanIndicativo[[#This Row],[Total  (2022)]]+PlanIndicativo[[#This Row],[Total (2023)]]</f>
        <v>7633223.6842105258</v>
      </c>
      <c r="BW193" s="22" t="s">
        <v>584</v>
      </c>
    </row>
    <row r="194" spans="1:75" ht="21" customHeight="1" x14ac:dyDescent="0.25">
      <c r="A194" s="7">
        <v>2</v>
      </c>
      <c r="B194" s="8" t="s">
        <v>480</v>
      </c>
      <c r="C194" s="7" t="s">
        <v>573</v>
      </c>
      <c r="D194" s="7" t="s">
        <v>574</v>
      </c>
      <c r="E194" s="7" t="s">
        <v>575</v>
      </c>
      <c r="F194" s="8" t="s">
        <v>576</v>
      </c>
      <c r="G194" s="7" t="s">
        <v>629</v>
      </c>
      <c r="H194" s="8" t="s">
        <v>630</v>
      </c>
      <c r="I194" s="9">
        <v>3602003</v>
      </c>
      <c r="J194" s="25" t="s">
        <v>634</v>
      </c>
      <c r="K194" s="25" t="s">
        <v>632</v>
      </c>
      <c r="L194" s="25" t="s">
        <v>581</v>
      </c>
      <c r="M194" s="25" t="s">
        <v>586</v>
      </c>
      <c r="N194" s="25" t="s">
        <v>86</v>
      </c>
      <c r="O194" s="25"/>
      <c r="P194" s="9">
        <v>360200300</v>
      </c>
      <c r="Q194" s="25" t="s">
        <v>635</v>
      </c>
      <c r="R194" s="12" t="s">
        <v>88</v>
      </c>
      <c r="S194" s="13" t="s">
        <v>93</v>
      </c>
      <c r="T194" s="14">
        <v>0</v>
      </c>
      <c r="U194" s="15">
        <v>1</v>
      </c>
      <c r="V194" s="30">
        <v>0</v>
      </c>
      <c r="W194" s="30">
        <v>1</v>
      </c>
      <c r="X194" s="30">
        <v>0</v>
      </c>
      <c r="Y194" s="30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8">
        <f>SUM(PlanIndicativo[[#This Row],[Ingresos Corrientes de Libre Destinación - ICLD (2020)]:[Otros (2020)]])</f>
        <v>0</v>
      </c>
      <c r="AL194" s="17">
        <f t="shared" si="107"/>
        <v>1526644.7368421052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9">
        <f>SUM(PlanIndicativo[[#This Row],[Ingresos Corrientes de Libre Destinación - ICLD (2021)]:[Otros  (2021)]])</f>
        <v>1526644.7368421052</v>
      </c>
      <c r="AX194" s="17">
        <f t="shared" si="108"/>
        <v>1526644.7368421052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20">
        <f>SUM(PlanIndicativo[[#This Row],[Ingresos Corrientes de Libre Destinación - ICLD (2022)]:[Otros   (2022)]])</f>
        <v>1526644.7368421052</v>
      </c>
      <c r="BJ194" s="17">
        <f t="shared" si="109"/>
        <v>1526644.7368421052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21">
        <f>SUM(PlanIndicativo[[#This Row],[Ingresos Corrientes de Libre Destinación - ICLD (2023)]:[Otros (2023)]])</f>
        <v>1526644.7368421052</v>
      </c>
      <c r="BV194" s="21">
        <f>+PlanIndicativo[[#This Row],[Total (2020)]]+PlanIndicativo[[#This Row],[Total  (2021)]]+PlanIndicativo[[#This Row],[Total  (2022)]]+PlanIndicativo[[#This Row],[Total (2023)]]</f>
        <v>4579934.2105263155</v>
      </c>
      <c r="BW194" s="22" t="s">
        <v>584</v>
      </c>
    </row>
    <row r="195" spans="1:75" ht="21" customHeight="1" x14ac:dyDescent="0.25">
      <c r="A195" s="7">
        <v>2</v>
      </c>
      <c r="B195" s="8" t="s">
        <v>480</v>
      </c>
      <c r="C195" s="7" t="s">
        <v>573</v>
      </c>
      <c r="D195" s="7" t="s">
        <v>574</v>
      </c>
      <c r="E195" s="7" t="s">
        <v>575</v>
      </c>
      <c r="F195" s="8" t="s">
        <v>576</v>
      </c>
      <c r="G195" s="7" t="s">
        <v>629</v>
      </c>
      <c r="H195" s="8" t="s">
        <v>630</v>
      </c>
      <c r="I195" s="9">
        <v>3604006</v>
      </c>
      <c r="J195" s="25" t="s">
        <v>636</v>
      </c>
      <c r="K195" s="25" t="s">
        <v>637</v>
      </c>
      <c r="L195" s="25" t="s">
        <v>581</v>
      </c>
      <c r="M195" s="25" t="s">
        <v>586</v>
      </c>
      <c r="N195" s="25" t="s">
        <v>86</v>
      </c>
      <c r="O195" s="25"/>
      <c r="P195" s="9">
        <v>360400600</v>
      </c>
      <c r="Q195" s="25" t="s">
        <v>202</v>
      </c>
      <c r="R195" s="12" t="s">
        <v>88</v>
      </c>
      <c r="S195" s="13" t="s">
        <v>93</v>
      </c>
      <c r="T195" s="14">
        <v>0</v>
      </c>
      <c r="U195" s="15">
        <v>100</v>
      </c>
      <c r="V195" s="30">
        <v>25</v>
      </c>
      <c r="W195" s="30">
        <v>25</v>
      </c>
      <c r="X195" s="30">
        <v>25</v>
      </c>
      <c r="Y195" s="30">
        <v>25</v>
      </c>
      <c r="Z195" s="17">
        <f t="shared" si="110"/>
        <v>1526644.7368421052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8">
        <f>SUM(PlanIndicativo[[#This Row],[Ingresos Corrientes de Libre Destinación - ICLD (2020)]:[Otros (2020)]])</f>
        <v>1526644.7368421052</v>
      </c>
      <c r="AL195" s="17">
        <f t="shared" si="107"/>
        <v>1526644.7368421052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9">
        <f>SUM(PlanIndicativo[[#This Row],[Ingresos Corrientes de Libre Destinación - ICLD (2021)]:[Otros  (2021)]])</f>
        <v>1526644.7368421052</v>
      </c>
      <c r="AX195" s="17">
        <f t="shared" si="108"/>
        <v>1526644.7368421052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20">
        <f>SUM(PlanIndicativo[[#This Row],[Ingresos Corrientes de Libre Destinación - ICLD (2022)]:[Otros   (2022)]])</f>
        <v>1526644.7368421052</v>
      </c>
      <c r="BJ195" s="17">
        <f t="shared" si="109"/>
        <v>1526644.7368421052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21">
        <f>SUM(PlanIndicativo[[#This Row],[Ingresos Corrientes de Libre Destinación - ICLD (2023)]:[Otros (2023)]])</f>
        <v>1526644.7368421052</v>
      </c>
      <c r="BV195" s="21">
        <f>+PlanIndicativo[[#This Row],[Total (2020)]]+PlanIndicativo[[#This Row],[Total  (2021)]]+PlanIndicativo[[#This Row],[Total  (2022)]]+PlanIndicativo[[#This Row],[Total (2023)]]</f>
        <v>6106578.9473684207</v>
      </c>
      <c r="BW195" s="22" t="s">
        <v>584</v>
      </c>
    </row>
    <row r="196" spans="1:75" ht="21" customHeight="1" x14ac:dyDescent="0.25">
      <c r="A196" s="7">
        <v>2</v>
      </c>
      <c r="B196" s="8" t="s">
        <v>480</v>
      </c>
      <c r="C196" s="7" t="s">
        <v>573</v>
      </c>
      <c r="D196" s="7" t="s">
        <v>574</v>
      </c>
      <c r="E196" s="7" t="s">
        <v>575</v>
      </c>
      <c r="F196" s="8" t="s">
        <v>576</v>
      </c>
      <c r="G196" s="7" t="s">
        <v>629</v>
      </c>
      <c r="H196" s="8" t="s">
        <v>630</v>
      </c>
      <c r="I196" s="9">
        <v>3604013</v>
      </c>
      <c r="J196" s="25" t="s">
        <v>638</v>
      </c>
      <c r="K196" s="25" t="s">
        <v>637</v>
      </c>
      <c r="L196" s="25" t="s">
        <v>581</v>
      </c>
      <c r="M196" s="25" t="s">
        <v>586</v>
      </c>
      <c r="N196" s="25" t="s">
        <v>86</v>
      </c>
      <c r="O196" s="25"/>
      <c r="P196" s="9">
        <v>360401300</v>
      </c>
      <c r="Q196" s="25" t="s">
        <v>202</v>
      </c>
      <c r="R196" s="12" t="s">
        <v>88</v>
      </c>
      <c r="S196" s="13" t="s">
        <v>93</v>
      </c>
      <c r="T196" s="14">
        <v>0</v>
      </c>
      <c r="U196" s="15">
        <v>20</v>
      </c>
      <c r="V196" s="30">
        <v>5</v>
      </c>
      <c r="W196" s="30">
        <v>5</v>
      </c>
      <c r="X196" s="30">
        <v>5</v>
      </c>
      <c r="Y196" s="30">
        <v>5</v>
      </c>
      <c r="Z196" s="17">
        <f t="shared" si="110"/>
        <v>1526644.7368421052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8">
        <f>SUM(PlanIndicativo[[#This Row],[Ingresos Corrientes de Libre Destinación - ICLD (2020)]:[Otros (2020)]])</f>
        <v>1526644.7368421052</v>
      </c>
      <c r="AL196" s="17">
        <f t="shared" si="107"/>
        <v>1526644.7368421052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9">
        <f>SUM(PlanIndicativo[[#This Row],[Ingresos Corrientes de Libre Destinación - ICLD (2021)]:[Otros  (2021)]])</f>
        <v>1526644.7368421052</v>
      </c>
      <c r="AX196" s="17">
        <f t="shared" si="108"/>
        <v>1526644.7368421052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20">
        <f>SUM(PlanIndicativo[[#This Row],[Ingresos Corrientes de Libre Destinación - ICLD (2022)]:[Otros   (2022)]])</f>
        <v>1526644.7368421052</v>
      </c>
      <c r="BJ196" s="17">
        <f t="shared" si="109"/>
        <v>1526644.7368421052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0</v>
      </c>
      <c r="BU196" s="21">
        <f>SUM(PlanIndicativo[[#This Row],[Ingresos Corrientes de Libre Destinación - ICLD (2023)]:[Otros (2023)]])</f>
        <v>1526644.7368421052</v>
      </c>
      <c r="BV196" s="21">
        <f>+PlanIndicativo[[#This Row],[Total (2020)]]+PlanIndicativo[[#This Row],[Total  (2021)]]+PlanIndicativo[[#This Row],[Total  (2022)]]+PlanIndicativo[[#This Row],[Total (2023)]]</f>
        <v>6106578.9473684207</v>
      </c>
      <c r="BW196" s="22" t="s">
        <v>584</v>
      </c>
    </row>
    <row r="197" spans="1:75" ht="21" customHeight="1" x14ac:dyDescent="0.25">
      <c r="A197" s="7">
        <v>2</v>
      </c>
      <c r="B197" s="8" t="s">
        <v>480</v>
      </c>
      <c r="C197" s="7" t="s">
        <v>573</v>
      </c>
      <c r="D197" s="7" t="s">
        <v>574</v>
      </c>
      <c r="E197" s="7" t="s">
        <v>575</v>
      </c>
      <c r="F197" s="8" t="s">
        <v>576</v>
      </c>
      <c r="G197" s="7" t="s">
        <v>629</v>
      </c>
      <c r="H197" s="8" t="s">
        <v>630</v>
      </c>
      <c r="I197" s="9">
        <v>3602017</v>
      </c>
      <c r="J197" s="25" t="s">
        <v>639</v>
      </c>
      <c r="K197" s="25" t="s">
        <v>640</v>
      </c>
      <c r="L197" s="25" t="s">
        <v>581</v>
      </c>
      <c r="M197" s="25" t="s">
        <v>586</v>
      </c>
      <c r="N197" s="25" t="s">
        <v>86</v>
      </c>
      <c r="O197" s="25"/>
      <c r="P197" s="9">
        <v>360201700</v>
      </c>
      <c r="Q197" s="25" t="s">
        <v>641</v>
      </c>
      <c r="R197" s="12" t="s">
        <v>88</v>
      </c>
      <c r="S197" s="13" t="s">
        <v>93</v>
      </c>
      <c r="T197" s="14">
        <v>0</v>
      </c>
      <c r="U197" s="15">
        <v>10</v>
      </c>
      <c r="V197" s="30">
        <v>2</v>
      </c>
      <c r="W197" s="30">
        <v>2</v>
      </c>
      <c r="X197" s="30">
        <v>3</v>
      </c>
      <c r="Y197" s="30">
        <v>3</v>
      </c>
      <c r="Z197" s="17">
        <f>58012500/38*2</f>
        <v>3053289.4736842103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8">
        <f>SUM(PlanIndicativo[[#This Row],[Ingresos Corrientes de Libre Destinación - ICLD (2020)]:[Otros (2020)]])</f>
        <v>3053289.4736842103</v>
      </c>
      <c r="AL197" s="17">
        <f t="shared" si="107"/>
        <v>1526644.7368421052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9">
        <f>SUM(PlanIndicativo[[#This Row],[Ingresos Corrientes de Libre Destinación - ICLD (2021)]:[Otros  (2021)]])</f>
        <v>1526644.7368421052</v>
      </c>
      <c r="AX197" s="17">
        <f t="shared" si="108"/>
        <v>1526644.7368421052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20">
        <f>SUM(PlanIndicativo[[#This Row],[Ingresos Corrientes de Libre Destinación - ICLD (2022)]:[Otros   (2022)]])</f>
        <v>1526644.7368421052</v>
      </c>
      <c r="BJ197" s="17">
        <f t="shared" si="109"/>
        <v>1526644.7368421052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21">
        <f>SUM(PlanIndicativo[[#This Row],[Ingresos Corrientes de Libre Destinación - ICLD (2023)]:[Otros (2023)]])</f>
        <v>1526644.7368421052</v>
      </c>
      <c r="BV197" s="21">
        <f>+PlanIndicativo[[#This Row],[Total (2020)]]+PlanIndicativo[[#This Row],[Total  (2021)]]+PlanIndicativo[[#This Row],[Total  (2022)]]+PlanIndicativo[[#This Row],[Total (2023)]]</f>
        <v>7633223.6842105258</v>
      </c>
      <c r="BW197" s="22" t="s">
        <v>584</v>
      </c>
    </row>
    <row r="198" spans="1:75" ht="21" customHeight="1" x14ac:dyDescent="0.25">
      <c r="A198" s="7">
        <v>2</v>
      </c>
      <c r="B198" s="8" t="s">
        <v>480</v>
      </c>
      <c r="C198" s="7" t="s">
        <v>573</v>
      </c>
      <c r="D198" s="7" t="s">
        <v>574</v>
      </c>
      <c r="E198" s="7" t="s">
        <v>575</v>
      </c>
      <c r="F198" s="8" t="s">
        <v>576</v>
      </c>
      <c r="G198" s="7" t="s">
        <v>629</v>
      </c>
      <c r="H198" s="8" t="s">
        <v>630</v>
      </c>
      <c r="I198" s="9">
        <v>3603017</v>
      </c>
      <c r="J198" s="25" t="s">
        <v>642</v>
      </c>
      <c r="K198" s="25" t="s">
        <v>640</v>
      </c>
      <c r="L198" s="25" t="s">
        <v>581</v>
      </c>
      <c r="M198" s="25" t="s">
        <v>586</v>
      </c>
      <c r="N198" s="25" t="s">
        <v>86</v>
      </c>
      <c r="O198" s="25"/>
      <c r="P198" s="9">
        <v>360301700</v>
      </c>
      <c r="Q198" s="25" t="s">
        <v>643</v>
      </c>
      <c r="R198" s="12" t="s">
        <v>88</v>
      </c>
      <c r="S198" s="13" t="s">
        <v>93</v>
      </c>
      <c r="T198" s="14">
        <v>0</v>
      </c>
      <c r="U198" s="15">
        <v>2</v>
      </c>
      <c r="V198" s="30">
        <v>0</v>
      </c>
      <c r="W198" s="30">
        <v>1</v>
      </c>
      <c r="X198" s="30">
        <v>1</v>
      </c>
      <c r="Y198" s="30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8">
        <f>SUM(PlanIndicativo[[#This Row],[Ingresos Corrientes de Libre Destinación - ICLD (2020)]:[Otros (2020)]])</f>
        <v>0</v>
      </c>
      <c r="AL198" s="17">
        <f t="shared" si="107"/>
        <v>1526644.7368421052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9">
        <f>SUM(PlanIndicativo[[#This Row],[Ingresos Corrientes de Libre Destinación - ICLD (2021)]:[Otros  (2021)]])</f>
        <v>1526644.7368421052</v>
      </c>
      <c r="AX198" s="17">
        <f t="shared" si="108"/>
        <v>1526644.7368421052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20">
        <f>SUM(PlanIndicativo[[#This Row],[Ingresos Corrientes de Libre Destinación - ICLD (2022)]:[Otros   (2022)]])</f>
        <v>1526644.7368421052</v>
      </c>
      <c r="BJ198" s="17">
        <f t="shared" si="109"/>
        <v>1526644.7368421052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21">
        <f>SUM(PlanIndicativo[[#This Row],[Ingresos Corrientes de Libre Destinación - ICLD (2023)]:[Otros (2023)]])</f>
        <v>1526644.7368421052</v>
      </c>
      <c r="BV198" s="21">
        <f>+PlanIndicativo[[#This Row],[Total (2020)]]+PlanIndicativo[[#This Row],[Total  (2021)]]+PlanIndicativo[[#This Row],[Total  (2022)]]+PlanIndicativo[[#This Row],[Total (2023)]]</f>
        <v>4579934.2105263155</v>
      </c>
      <c r="BW198" s="22" t="s">
        <v>584</v>
      </c>
    </row>
    <row r="199" spans="1:75" ht="21" customHeight="1" x14ac:dyDescent="0.25">
      <c r="A199" s="7">
        <v>2</v>
      </c>
      <c r="B199" s="8" t="s">
        <v>480</v>
      </c>
      <c r="C199" s="7" t="s">
        <v>573</v>
      </c>
      <c r="D199" s="7" t="s">
        <v>574</v>
      </c>
      <c r="E199" s="7" t="s">
        <v>575</v>
      </c>
      <c r="F199" s="8" t="s">
        <v>576</v>
      </c>
      <c r="G199" s="7" t="s">
        <v>629</v>
      </c>
      <c r="H199" s="8" t="s">
        <v>630</v>
      </c>
      <c r="I199" s="9">
        <v>3602029</v>
      </c>
      <c r="J199" s="25" t="s">
        <v>644</v>
      </c>
      <c r="K199" s="32" t="s">
        <v>645</v>
      </c>
      <c r="L199" s="25" t="s">
        <v>581</v>
      </c>
      <c r="M199" s="25" t="s">
        <v>586</v>
      </c>
      <c r="N199" s="25" t="s">
        <v>86</v>
      </c>
      <c r="O199" s="25"/>
      <c r="P199" s="9">
        <v>360202900</v>
      </c>
      <c r="Q199" s="25" t="s">
        <v>590</v>
      </c>
      <c r="R199" s="12" t="s">
        <v>88</v>
      </c>
      <c r="S199" s="13" t="s">
        <v>93</v>
      </c>
      <c r="T199" s="14">
        <v>0</v>
      </c>
      <c r="U199" s="15">
        <v>20</v>
      </c>
      <c r="V199" s="30">
        <v>5</v>
      </c>
      <c r="W199" s="30">
        <v>5</v>
      </c>
      <c r="X199" s="30">
        <v>5</v>
      </c>
      <c r="Y199" s="30">
        <v>5</v>
      </c>
      <c r="Z199" s="17">
        <f t="shared" si="110"/>
        <v>1526644.7368421052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8">
        <f>SUM(PlanIndicativo[[#This Row],[Ingresos Corrientes de Libre Destinación - ICLD (2020)]:[Otros (2020)]])</f>
        <v>1526644.7368421052</v>
      </c>
      <c r="AL199" s="17">
        <f t="shared" si="107"/>
        <v>1526644.7368421052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9">
        <f>SUM(PlanIndicativo[[#This Row],[Ingresos Corrientes de Libre Destinación - ICLD (2021)]:[Otros  (2021)]])</f>
        <v>1526644.7368421052</v>
      </c>
      <c r="AX199" s="17">
        <f t="shared" si="108"/>
        <v>1526644.7368421052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20">
        <f>SUM(PlanIndicativo[[#This Row],[Ingresos Corrientes de Libre Destinación - ICLD (2022)]:[Otros   (2022)]])</f>
        <v>1526644.7368421052</v>
      </c>
      <c r="BJ199" s="17">
        <f t="shared" si="109"/>
        <v>1526644.7368421052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21">
        <f>SUM(PlanIndicativo[[#This Row],[Ingresos Corrientes de Libre Destinación - ICLD (2023)]:[Otros (2023)]])</f>
        <v>1526644.7368421052</v>
      </c>
      <c r="BV199" s="21">
        <f>+PlanIndicativo[[#This Row],[Total (2020)]]+PlanIndicativo[[#This Row],[Total  (2021)]]+PlanIndicativo[[#This Row],[Total  (2022)]]+PlanIndicativo[[#This Row],[Total (2023)]]</f>
        <v>6106578.9473684207</v>
      </c>
      <c r="BW199" s="22" t="s">
        <v>584</v>
      </c>
    </row>
    <row r="200" spans="1:75" ht="21" customHeight="1" x14ac:dyDescent="0.25">
      <c r="A200" s="7">
        <v>2</v>
      </c>
      <c r="B200" s="8" t="s">
        <v>480</v>
      </c>
      <c r="C200" s="7" t="s">
        <v>573</v>
      </c>
      <c r="D200" s="7" t="s">
        <v>574</v>
      </c>
      <c r="E200" s="7" t="s">
        <v>575</v>
      </c>
      <c r="F200" s="8" t="s">
        <v>576</v>
      </c>
      <c r="G200" s="7" t="s">
        <v>629</v>
      </c>
      <c r="H200" s="8" t="s">
        <v>630</v>
      </c>
      <c r="I200" s="9">
        <v>3604026</v>
      </c>
      <c r="J200" s="25" t="s">
        <v>646</v>
      </c>
      <c r="K200" s="25" t="s">
        <v>637</v>
      </c>
      <c r="L200" s="25" t="s">
        <v>581</v>
      </c>
      <c r="M200" s="25" t="s">
        <v>586</v>
      </c>
      <c r="N200" s="25" t="s">
        <v>86</v>
      </c>
      <c r="O200" s="25"/>
      <c r="P200" s="9">
        <v>360402600</v>
      </c>
      <c r="Q200" s="25" t="s">
        <v>647</v>
      </c>
      <c r="R200" s="12" t="s">
        <v>88</v>
      </c>
      <c r="S200" s="13" t="s">
        <v>93</v>
      </c>
      <c r="T200" s="14">
        <v>0</v>
      </c>
      <c r="U200" s="15">
        <v>100</v>
      </c>
      <c r="V200" s="30">
        <v>25</v>
      </c>
      <c r="W200" s="30">
        <v>25</v>
      </c>
      <c r="X200" s="30">
        <v>25</v>
      </c>
      <c r="Y200" s="30">
        <v>25</v>
      </c>
      <c r="Z200" s="17">
        <f t="shared" si="110"/>
        <v>1526644.7368421052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8">
        <f>SUM(PlanIndicativo[[#This Row],[Ingresos Corrientes de Libre Destinación - ICLD (2020)]:[Otros (2020)]])</f>
        <v>1526644.7368421052</v>
      </c>
      <c r="AL200" s="17">
        <f t="shared" si="107"/>
        <v>1526644.7368421052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9">
        <f>SUM(PlanIndicativo[[#This Row],[Ingresos Corrientes de Libre Destinación - ICLD (2021)]:[Otros  (2021)]])</f>
        <v>1526644.7368421052</v>
      </c>
      <c r="AX200" s="17">
        <f t="shared" si="108"/>
        <v>1526644.7368421052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20">
        <f>SUM(PlanIndicativo[[#This Row],[Ingresos Corrientes de Libre Destinación - ICLD (2022)]:[Otros   (2022)]])</f>
        <v>1526644.7368421052</v>
      </c>
      <c r="BJ200" s="17">
        <f t="shared" si="109"/>
        <v>1526644.7368421052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21">
        <f>SUM(PlanIndicativo[[#This Row],[Ingresos Corrientes de Libre Destinación - ICLD (2023)]:[Otros (2023)]])</f>
        <v>1526644.7368421052</v>
      </c>
      <c r="BV200" s="21">
        <f>+PlanIndicativo[[#This Row],[Total (2020)]]+PlanIndicativo[[#This Row],[Total  (2021)]]+PlanIndicativo[[#This Row],[Total  (2022)]]+PlanIndicativo[[#This Row],[Total (2023)]]</f>
        <v>6106578.9473684207</v>
      </c>
      <c r="BW200" s="22" t="s">
        <v>584</v>
      </c>
    </row>
    <row r="201" spans="1:75" ht="21" customHeight="1" x14ac:dyDescent="0.25">
      <c r="A201" s="7">
        <v>2</v>
      </c>
      <c r="B201" s="8" t="s">
        <v>480</v>
      </c>
      <c r="C201" s="7" t="s">
        <v>573</v>
      </c>
      <c r="D201" s="7" t="s">
        <v>574</v>
      </c>
      <c r="E201" s="7" t="s">
        <v>575</v>
      </c>
      <c r="F201" s="8" t="s">
        <v>576</v>
      </c>
      <c r="G201" s="7" t="s">
        <v>629</v>
      </c>
      <c r="H201" s="8" t="s">
        <v>630</v>
      </c>
      <c r="I201" s="9">
        <v>3604020</v>
      </c>
      <c r="J201" s="25" t="s">
        <v>648</v>
      </c>
      <c r="K201" s="32" t="s">
        <v>645</v>
      </c>
      <c r="L201" s="25" t="s">
        <v>581</v>
      </c>
      <c r="M201" s="25" t="s">
        <v>586</v>
      </c>
      <c r="N201" s="25" t="s">
        <v>86</v>
      </c>
      <c r="O201" s="25"/>
      <c r="P201" s="9">
        <v>360402000</v>
      </c>
      <c r="Q201" s="25" t="s">
        <v>202</v>
      </c>
      <c r="R201" s="12" t="s">
        <v>88</v>
      </c>
      <c r="S201" s="13" t="s">
        <v>93</v>
      </c>
      <c r="T201" s="14">
        <v>0</v>
      </c>
      <c r="U201" s="15">
        <v>100</v>
      </c>
      <c r="V201" s="30">
        <v>25</v>
      </c>
      <c r="W201" s="30">
        <v>25</v>
      </c>
      <c r="X201" s="30">
        <v>25</v>
      </c>
      <c r="Y201" s="30">
        <v>25</v>
      </c>
      <c r="Z201" s="17">
        <f t="shared" si="110"/>
        <v>1526644.7368421052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8">
        <f>SUM(PlanIndicativo[[#This Row],[Ingresos Corrientes de Libre Destinación - ICLD (2020)]:[Otros (2020)]])</f>
        <v>1526644.7368421052</v>
      </c>
      <c r="AL201" s="17">
        <f t="shared" si="107"/>
        <v>1526644.7368421052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9">
        <f>SUM(PlanIndicativo[[#This Row],[Ingresos Corrientes de Libre Destinación - ICLD (2021)]:[Otros  (2021)]])</f>
        <v>1526644.7368421052</v>
      </c>
      <c r="AX201" s="17">
        <f t="shared" si="108"/>
        <v>1526644.7368421052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20">
        <f>SUM(PlanIndicativo[[#This Row],[Ingresos Corrientes de Libre Destinación - ICLD (2022)]:[Otros   (2022)]])</f>
        <v>1526644.7368421052</v>
      </c>
      <c r="BJ201" s="17">
        <f t="shared" si="109"/>
        <v>1526644.7368421052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21">
        <f>SUM(PlanIndicativo[[#This Row],[Ingresos Corrientes de Libre Destinación - ICLD (2023)]:[Otros (2023)]])</f>
        <v>1526644.7368421052</v>
      </c>
      <c r="BV201" s="21">
        <f>+PlanIndicativo[[#This Row],[Total (2020)]]+PlanIndicativo[[#This Row],[Total  (2021)]]+PlanIndicativo[[#This Row],[Total  (2022)]]+PlanIndicativo[[#This Row],[Total (2023)]]</f>
        <v>6106578.9473684207</v>
      </c>
      <c r="BW201" s="22" t="s">
        <v>584</v>
      </c>
    </row>
    <row r="202" spans="1:75" ht="21" customHeight="1" x14ac:dyDescent="0.25">
      <c r="A202" s="7">
        <v>2</v>
      </c>
      <c r="B202" s="8" t="s">
        <v>480</v>
      </c>
      <c r="C202" s="7" t="s">
        <v>573</v>
      </c>
      <c r="D202" s="7" t="s">
        <v>574</v>
      </c>
      <c r="E202" s="7" t="s">
        <v>575</v>
      </c>
      <c r="F202" s="8" t="s">
        <v>576</v>
      </c>
      <c r="G202" s="7" t="s">
        <v>629</v>
      </c>
      <c r="H202" s="8" t="s">
        <v>630</v>
      </c>
      <c r="I202" s="9">
        <v>3602028</v>
      </c>
      <c r="J202" s="25" t="s">
        <v>649</v>
      </c>
      <c r="K202" s="25" t="s">
        <v>637</v>
      </c>
      <c r="L202" s="25" t="s">
        <v>581</v>
      </c>
      <c r="M202" s="25" t="s">
        <v>586</v>
      </c>
      <c r="N202" s="25" t="s">
        <v>86</v>
      </c>
      <c r="O202" s="25"/>
      <c r="P202" s="9">
        <v>360202800</v>
      </c>
      <c r="Q202" s="25" t="s">
        <v>650</v>
      </c>
      <c r="R202" s="12" t="s">
        <v>88</v>
      </c>
      <c r="S202" s="13" t="s">
        <v>93</v>
      </c>
      <c r="T202" s="14">
        <v>0</v>
      </c>
      <c r="U202" s="15">
        <v>4</v>
      </c>
      <c r="V202" s="30">
        <v>1</v>
      </c>
      <c r="W202" s="30">
        <v>1</v>
      </c>
      <c r="X202" s="30">
        <v>1</v>
      </c>
      <c r="Y202" s="30">
        <v>1</v>
      </c>
      <c r="Z202" s="17">
        <f>58012500/38*2</f>
        <v>3053289.4736842103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8">
        <f>SUM(PlanIndicativo[[#This Row],[Ingresos Corrientes de Libre Destinación - ICLD (2020)]:[Otros (2020)]])</f>
        <v>3053289.4736842103</v>
      </c>
      <c r="AL202" s="17">
        <f>58012500/38*2</f>
        <v>3053289.4736842103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9">
        <f>SUM(PlanIndicativo[[#This Row],[Ingresos Corrientes de Libre Destinación - ICLD (2021)]:[Otros  (2021)]])</f>
        <v>3053289.4736842103</v>
      </c>
      <c r="AX202" s="17">
        <f t="shared" si="108"/>
        <v>1526644.7368421052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20">
        <f>SUM(PlanIndicativo[[#This Row],[Ingresos Corrientes de Libre Destinación - ICLD (2022)]:[Otros   (2022)]])</f>
        <v>1526644.7368421052</v>
      </c>
      <c r="BJ202" s="17">
        <f t="shared" si="109"/>
        <v>1526644.7368421052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0</v>
      </c>
      <c r="BU202" s="21">
        <f>SUM(PlanIndicativo[[#This Row],[Ingresos Corrientes de Libre Destinación - ICLD (2023)]:[Otros (2023)]])</f>
        <v>1526644.7368421052</v>
      </c>
      <c r="BV202" s="21">
        <f>+PlanIndicativo[[#This Row],[Total (2020)]]+PlanIndicativo[[#This Row],[Total  (2021)]]+PlanIndicativo[[#This Row],[Total  (2022)]]+PlanIndicativo[[#This Row],[Total (2023)]]</f>
        <v>9159868.421052631</v>
      </c>
      <c r="BW202" s="22" t="s">
        <v>584</v>
      </c>
    </row>
    <row r="203" spans="1:75" ht="21" customHeight="1" x14ac:dyDescent="0.25">
      <c r="A203" s="7">
        <v>2</v>
      </c>
      <c r="B203" s="8" t="s">
        <v>480</v>
      </c>
      <c r="C203" s="7" t="s">
        <v>573</v>
      </c>
      <c r="D203" s="7" t="s">
        <v>574</v>
      </c>
      <c r="E203" s="7" t="s">
        <v>575</v>
      </c>
      <c r="F203" s="8" t="s">
        <v>576</v>
      </c>
      <c r="G203" s="7" t="s">
        <v>629</v>
      </c>
      <c r="H203" s="8" t="s">
        <v>630</v>
      </c>
      <c r="I203" s="9">
        <v>3604022</v>
      </c>
      <c r="J203" s="25" t="s">
        <v>651</v>
      </c>
      <c r="K203" s="32" t="s">
        <v>645</v>
      </c>
      <c r="L203" s="25" t="s">
        <v>581</v>
      </c>
      <c r="M203" s="25" t="s">
        <v>586</v>
      </c>
      <c r="N203" s="25" t="s">
        <v>86</v>
      </c>
      <c r="O203" s="25"/>
      <c r="P203" s="9">
        <v>360402200</v>
      </c>
      <c r="Q203" s="25" t="s">
        <v>652</v>
      </c>
      <c r="R203" s="12" t="s">
        <v>88</v>
      </c>
      <c r="S203" s="13" t="s">
        <v>93</v>
      </c>
      <c r="T203" s="14">
        <v>0</v>
      </c>
      <c r="U203" s="15">
        <v>2</v>
      </c>
      <c r="V203" s="30">
        <v>0</v>
      </c>
      <c r="W203" s="30">
        <v>0</v>
      </c>
      <c r="X203" s="30">
        <v>1</v>
      </c>
      <c r="Y203" s="30">
        <v>1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8">
        <f>SUM(PlanIndicativo[[#This Row],[Ingresos Corrientes de Libre Destinación - ICLD (2020)]:[Otros (2020)]])</f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9">
        <f>SUM(PlanIndicativo[[#This Row],[Ingresos Corrientes de Libre Destinación - ICLD (2021)]:[Otros  (2021)]])</f>
        <v>0</v>
      </c>
      <c r="AX203" s="17">
        <f t="shared" si="108"/>
        <v>1526644.7368421052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20">
        <f>SUM(PlanIndicativo[[#This Row],[Ingresos Corrientes de Libre Destinación - ICLD (2022)]:[Otros   (2022)]])</f>
        <v>1526644.7368421052</v>
      </c>
      <c r="BJ203" s="17">
        <f t="shared" si="109"/>
        <v>1526644.7368421052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21">
        <f>SUM(PlanIndicativo[[#This Row],[Ingresos Corrientes de Libre Destinación - ICLD (2023)]:[Otros (2023)]])</f>
        <v>1526644.7368421052</v>
      </c>
      <c r="BV203" s="21">
        <f>+PlanIndicativo[[#This Row],[Total (2020)]]+PlanIndicativo[[#This Row],[Total  (2021)]]+PlanIndicativo[[#This Row],[Total  (2022)]]+PlanIndicativo[[#This Row],[Total (2023)]]</f>
        <v>3053289.4736842103</v>
      </c>
      <c r="BW203" s="22" t="s">
        <v>584</v>
      </c>
    </row>
    <row r="204" spans="1:75" ht="21" customHeight="1" x14ac:dyDescent="0.25">
      <c r="A204" s="7">
        <v>2</v>
      </c>
      <c r="B204" s="8" t="s">
        <v>480</v>
      </c>
      <c r="C204" s="7" t="s">
        <v>573</v>
      </c>
      <c r="D204" s="7" t="s">
        <v>574</v>
      </c>
      <c r="E204" s="7" t="s">
        <v>575</v>
      </c>
      <c r="F204" s="8" t="s">
        <v>576</v>
      </c>
      <c r="G204" s="7" t="s">
        <v>629</v>
      </c>
      <c r="H204" s="8" t="s">
        <v>630</v>
      </c>
      <c r="I204" s="9">
        <v>3603016</v>
      </c>
      <c r="J204" s="25" t="s">
        <v>653</v>
      </c>
      <c r="K204" s="32" t="s">
        <v>645</v>
      </c>
      <c r="L204" s="25" t="s">
        <v>581</v>
      </c>
      <c r="M204" s="25" t="s">
        <v>586</v>
      </c>
      <c r="N204" s="25" t="s">
        <v>86</v>
      </c>
      <c r="O204" s="25"/>
      <c r="P204" s="9">
        <v>360301600</v>
      </c>
      <c r="Q204" s="25" t="s">
        <v>654</v>
      </c>
      <c r="R204" s="12" t="s">
        <v>88</v>
      </c>
      <c r="S204" s="13" t="s">
        <v>93</v>
      </c>
      <c r="T204" s="14">
        <v>0</v>
      </c>
      <c r="U204" s="15">
        <v>4</v>
      </c>
      <c r="V204" s="30">
        <v>1</v>
      </c>
      <c r="W204" s="30">
        <v>1</v>
      </c>
      <c r="X204" s="30">
        <v>1</v>
      </c>
      <c r="Y204" s="30">
        <v>1</v>
      </c>
      <c r="Z204" s="17">
        <f>58012500/38*2</f>
        <v>3053289.4736842103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8">
        <f>SUM(PlanIndicativo[[#This Row],[Ingresos Corrientes de Libre Destinación - ICLD (2020)]:[Otros (2020)]])</f>
        <v>3053289.4736842103</v>
      </c>
      <c r="AL204" s="17">
        <f t="shared" si="107"/>
        <v>1526644.7368421052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9">
        <f>SUM(PlanIndicativo[[#This Row],[Ingresos Corrientes de Libre Destinación - ICLD (2021)]:[Otros  (2021)]])</f>
        <v>1526644.7368421052</v>
      </c>
      <c r="AX204" s="17">
        <f t="shared" si="108"/>
        <v>1526644.7368421052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20">
        <f>SUM(PlanIndicativo[[#This Row],[Ingresos Corrientes de Libre Destinación - ICLD (2022)]:[Otros   (2022)]])</f>
        <v>1526644.7368421052</v>
      </c>
      <c r="BJ204" s="17">
        <f t="shared" si="109"/>
        <v>1526644.7368421052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21">
        <f>SUM(PlanIndicativo[[#This Row],[Ingresos Corrientes de Libre Destinación - ICLD (2023)]:[Otros (2023)]])</f>
        <v>1526644.7368421052</v>
      </c>
      <c r="BV204" s="21">
        <f>+PlanIndicativo[[#This Row],[Total (2020)]]+PlanIndicativo[[#This Row],[Total  (2021)]]+PlanIndicativo[[#This Row],[Total  (2022)]]+PlanIndicativo[[#This Row],[Total (2023)]]</f>
        <v>7633223.6842105258</v>
      </c>
      <c r="BW204" s="22" t="s">
        <v>584</v>
      </c>
    </row>
    <row r="205" spans="1:75" ht="21" customHeight="1" x14ac:dyDescent="0.25">
      <c r="A205" s="7">
        <v>2</v>
      </c>
      <c r="B205" s="8" t="s">
        <v>480</v>
      </c>
      <c r="C205" s="7" t="s">
        <v>573</v>
      </c>
      <c r="D205" s="7" t="s">
        <v>574</v>
      </c>
      <c r="E205" s="7" t="s">
        <v>575</v>
      </c>
      <c r="F205" s="8" t="s">
        <v>576</v>
      </c>
      <c r="G205" s="7" t="s">
        <v>629</v>
      </c>
      <c r="H205" s="8" t="s">
        <v>630</v>
      </c>
      <c r="I205" s="9">
        <v>3605008</v>
      </c>
      <c r="J205" s="25" t="s">
        <v>655</v>
      </c>
      <c r="K205" s="32" t="s">
        <v>645</v>
      </c>
      <c r="L205" s="25" t="s">
        <v>581</v>
      </c>
      <c r="M205" s="25" t="s">
        <v>586</v>
      </c>
      <c r="N205" s="25" t="s">
        <v>86</v>
      </c>
      <c r="O205" s="25"/>
      <c r="P205" s="9">
        <v>360500800</v>
      </c>
      <c r="Q205" s="25" t="s">
        <v>202</v>
      </c>
      <c r="R205" s="12" t="s">
        <v>88</v>
      </c>
      <c r="S205" s="13" t="s">
        <v>93</v>
      </c>
      <c r="T205" s="14">
        <v>0</v>
      </c>
      <c r="U205" s="15">
        <v>60</v>
      </c>
      <c r="V205" s="30">
        <v>15</v>
      </c>
      <c r="W205" s="30">
        <v>15</v>
      </c>
      <c r="X205" s="30">
        <v>15</v>
      </c>
      <c r="Y205" s="30">
        <v>15</v>
      </c>
      <c r="Z205" s="17">
        <f>58012500/38*2</f>
        <v>3053289.4736842103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8">
        <f>SUM(PlanIndicativo[[#This Row],[Ingresos Corrientes de Libre Destinación - ICLD (2020)]:[Otros (2020)]])</f>
        <v>3053289.4736842103</v>
      </c>
      <c r="AL205" s="17">
        <f>58012500/38*2</f>
        <v>3053289.4736842103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9">
        <f>SUM(PlanIndicativo[[#This Row],[Ingresos Corrientes de Libre Destinación - ICLD (2021)]:[Otros  (2021)]])</f>
        <v>3053289.4736842103</v>
      </c>
      <c r="AX205" s="17">
        <f t="shared" si="108"/>
        <v>1526644.7368421052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20">
        <f>SUM(PlanIndicativo[[#This Row],[Ingresos Corrientes de Libre Destinación - ICLD (2022)]:[Otros   (2022)]])</f>
        <v>1526644.7368421052</v>
      </c>
      <c r="BJ205" s="17">
        <f t="shared" si="109"/>
        <v>1526644.7368421052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21">
        <f>SUM(PlanIndicativo[[#This Row],[Ingresos Corrientes de Libre Destinación - ICLD (2023)]:[Otros (2023)]])</f>
        <v>1526644.7368421052</v>
      </c>
      <c r="BV205" s="21">
        <f>+PlanIndicativo[[#This Row],[Total (2020)]]+PlanIndicativo[[#This Row],[Total  (2021)]]+PlanIndicativo[[#This Row],[Total  (2022)]]+PlanIndicativo[[#This Row],[Total (2023)]]</f>
        <v>9159868.421052631</v>
      </c>
      <c r="BW205" s="22" t="s">
        <v>584</v>
      </c>
    </row>
    <row r="206" spans="1:75" ht="21" customHeight="1" x14ac:dyDescent="0.25">
      <c r="A206" s="7">
        <v>2</v>
      </c>
      <c r="B206" s="8" t="s">
        <v>480</v>
      </c>
      <c r="C206" s="7" t="s">
        <v>573</v>
      </c>
      <c r="D206" s="7" t="s">
        <v>574</v>
      </c>
      <c r="E206" s="7" t="s">
        <v>575</v>
      </c>
      <c r="F206" s="8" t="s">
        <v>576</v>
      </c>
      <c r="G206" s="7" t="s">
        <v>656</v>
      </c>
      <c r="H206" s="8" t="s">
        <v>657</v>
      </c>
      <c r="I206" s="9">
        <v>3903002</v>
      </c>
      <c r="J206" s="25" t="s">
        <v>658</v>
      </c>
      <c r="K206" s="32" t="s">
        <v>659</v>
      </c>
      <c r="L206" s="25" t="s">
        <v>581</v>
      </c>
      <c r="M206" s="25" t="s">
        <v>586</v>
      </c>
      <c r="N206" s="25" t="s">
        <v>86</v>
      </c>
      <c r="O206" s="25"/>
      <c r="P206" s="9">
        <v>390300200</v>
      </c>
      <c r="Q206" s="25" t="s">
        <v>660</v>
      </c>
      <c r="R206" s="12" t="s">
        <v>88</v>
      </c>
      <c r="S206" s="13" t="s">
        <v>93</v>
      </c>
      <c r="T206" s="14">
        <v>0</v>
      </c>
      <c r="U206" s="15">
        <v>1</v>
      </c>
      <c r="V206" s="30">
        <v>0</v>
      </c>
      <c r="W206" s="30">
        <v>0</v>
      </c>
      <c r="X206" s="30">
        <v>1</v>
      </c>
      <c r="Y206" s="30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8">
        <f>SUM(PlanIndicativo[[#This Row],[Ingresos Corrientes de Libre Destinación - ICLD (2020)]:[Otros (2020)]])</f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9">
        <f>SUM(PlanIndicativo[[#This Row],[Ingresos Corrientes de Libre Destinación - ICLD (2021)]:[Otros  (2021)]])</f>
        <v>0</v>
      </c>
      <c r="AX206" s="17">
        <f t="shared" si="108"/>
        <v>1526644.7368421052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20">
        <f>SUM(PlanIndicativo[[#This Row],[Ingresos Corrientes de Libre Destinación - ICLD (2022)]:[Otros   (2022)]])</f>
        <v>1526644.7368421052</v>
      </c>
      <c r="BJ206" s="17">
        <f t="shared" si="109"/>
        <v>1526644.7368421052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21">
        <f>SUM(PlanIndicativo[[#This Row],[Ingresos Corrientes de Libre Destinación - ICLD (2023)]:[Otros (2023)]])</f>
        <v>1526644.7368421052</v>
      </c>
      <c r="BV206" s="21">
        <f>+PlanIndicativo[[#This Row],[Total (2020)]]+PlanIndicativo[[#This Row],[Total  (2021)]]+PlanIndicativo[[#This Row],[Total  (2022)]]+PlanIndicativo[[#This Row],[Total (2023)]]</f>
        <v>3053289.4736842103</v>
      </c>
      <c r="BW206" s="22" t="s">
        <v>584</v>
      </c>
    </row>
    <row r="207" spans="1:75" ht="21" customHeight="1" x14ac:dyDescent="0.25">
      <c r="A207" s="7">
        <v>2</v>
      </c>
      <c r="B207" s="8" t="s">
        <v>480</v>
      </c>
      <c r="C207" s="7" t="s">
        <v>573</v>
      </c>
      <c r="D207" s="7" t="s">
        <v>574</v>
      </c>
      <c r="E207" s="7" t="s">
        <v>575</v>
      </c>
      <c r="F207" s="8" t="s">
        <v>576</v>
      </c>
      <c r="G207" s="7" t="s">
        <v>656</v>
      </c>
      <c r="H207" s="8" t="s">
        <v>657</v>
      </c>
      <c r="I207" s="9">
        <v>3903005</v>
      </c>
      <c r="J207" s="25" t="s">
        <v>661</v>
      </c>
      <c r="K207" s="32" t="s">
        <v>659</v>
      </c>
      <c r="L207" s="25" t="s">
        <v>581</v>
      </c>
      <c r="M207" s="25" t="s">
        <v>586</v>
      </c>
      <c r="N207" s="25" t="s">
        <v>86</v>
      </c>
      <c r="O207" s="25"/>
      <c r="P207" s="9">
        <v>390300500</v>
      </c>
      <c r="Q207" s="25" t="s">
        <v>662</v>
      </c>
      <c r="R207" s="12" t="s">
        <v>88</v>
      </c>
      <c r="S207" s="13" t="s">
        <v>93</v>
      </c>
      <c r="T207" s="14">
        <v>0</v>
      </c>
      <c r="U207" s="15">
        <v>1</v>
      </c>
      <c r="V207" s="30">
        <v>0</v>
      </c>
      <c r="W207" s="30">
        <v>1</v>
      </c>
      <c r="X207" s="30">
        <v>0</v>
      </c>
      <c r="Y207" s="30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8">
        <f>SUM(PlanIndicativo[[#This Row],[Ingresos Corrientes de Libre Destinación - ICLD (2020)]:[Otros (2020)]])</f>
        <v>0</v>
      </c>
      <c r="AL207" s="17">
        <f t="shared" si="107"/>
        <v>1526644.7368421052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9">
        <f>SUM(PlanIndicativo[[#This Row],[Ingresos Corrientes de Libre Destinación - ICLD (2021)]:[Otros  (2021)]])</f>
        <v>1526644.7368421052</v>
      </c>
      <c r="AX207" s="17">
        <f t="shared" si="108"/>
        <v>1526644.7368421052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20">
        <f>SUM(PlanIndicativo[[#This Row],[Ingresos Corrientes de Libre Destinación - ICLD (2022)]:[Otros   (2022)]])</f>
        <v>1526644.7368421052</v>
      </c>
      <c r="BJ207" s="17">
        <f t="shared" si="109"/>
        <v>1526644.7368421052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21">
        <f>SUM(PlanIndicativo[[#This Row],[Ingresos Corrientes de Libre Destinación - ICLD (2023)]:[Otros (2023)]])</f>
        <v>1526644.7368421052</v>
      </c>
      <c r="BV207" s="21">
        <f>+PlanIndicativo[[#This Row],[Total (2020)]]+PlanIndicativo[[#This Row],[Total  (2021)]]+PlanIndicativo[[#This Row],[Total  (2022)]]+PlanIndicativo[[#This Row],[Total (2023)]]</f>
        <v>4579934.2105263155</v>
      </c>
      <c r="BW207" s="22" t="s">
        <v>584</v>
      </c>
    </row>
    <row r="208" spans="1:75" ht="21" customHeight="1" x14ac:dyDescent="0.25">
      <c r="A208" s="7">
        <v>2</v>
      </c>
      <c r="B208" s="8" t="s">
        <v>480</v>
      </c>
      <c r="C208" s="7" t="s">
        <v>573</v>
      </c>
      <c r="D208" s="7" t="s">
        <v>574</v>
      </c>
      <c r="E208" s="7" t="s">
        <v>575</v>
      </c>
      <c r="F208" s="8" t="s">
        <v>576</v>
      </c>
      <c r="G208" s="7" t="s">
        <v>656</v>
      </c>
      <c r="H208" s="8" t="s">
        <v>657</v>
      </c>
      <c r="I208" s="9">
        <v>3904005</v>
      </c>
      <c r="J208" s="25" t="s">
        <v>663</v>
      </c>
      <c r="K208" s="32" t="s">
        <v>659</v>
      </c>
      <c r="L208" s="25" t="s">
        <v>581</v>
      </c>
      <c r="M208" s="25" t="s">
        <v>586</v>
      </c>
      <c r="N208" s="25" t="s">
        <v>86</v>
      </c>
      <c r="O208" s="25"/>
      <c r="P208" s="9">
        <v>390400500</v>
      </c>
      <c r="Q208" s="25" t="s">
        <v>664</v>
      </c>
      <c r="R208" s="12" t="s">
        <v>88</v>
      </c>
      <c r="S208" s="13" t="s">
        <v>93</v>
      </c>
      <c r="T208" s="14">
        <v>0</v>
      </c>
      <c r="U208" s="15">
        <v>50</v>
      </c>
      <c r="V208" s="30">
        <v>10</v>
      </c>
      <c r="W208" s="30">
        <v>10</v>
      </c>
      <c r="X208" s="30">
        <v>15</v>
      </c>
      <c r="Y208" s="30">
        <v>15</v>
      </c>
      <c r="Z208" s="17">
        <f>58012500/38*2</f>
        <v>3053289.4736842103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8">
        <f>SUM(PlanIndicativo[[#This Row],[Ingresos Corrientes de Libre Destinación - ICLD (2020)]:[Otros (2020)]])</f>
        <v>3053289.4736842103</v>
      </c>
      <c r="AL208" s="17">
        <f t="shared" si="107"/>
        <v>1526644.7368421052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9">
        <f>SUM(PlanIndicativo[[#This Row],[Ingresos Corrientes de Libre Destinación - ICLD (2021)]:[Otros  (2021)]])</f>
        <v>1526644.7368421052</v>
      </c>
      <c r="AX208" s="17">
        <f t="shared" si="108"/>
        <v>1526644.7368421052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20">
        <f>SUM(PlanIndicativo[[#This Row],[Ingresos Corrientes de Libre Destinación - ICLD (2022)]:[Otros   (2022)]])</f>
        <v>1526644.7368421052</v>
      </c>
      <c r="BJ208" s="17">
        <f t="shared" si="109"/>
        <v>1526644.7368421052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>
        <v>0</v>
      </c>
      <c r="BU208" s="21">
        <f>SUM(PlanIndicativo[[#This Row],[Ingresos Corrientes de Libre Destinación - ICLD (2023)]:[Otros (2023)]])</f>
        <v>1526644.7368421052</v>
      </c>
      <c r="BV208" s="21">
        <f>+PlanIndicativo[[#This Row],[Total (2020)]]+PlanIndicativo[[#This Row],[Total  (2021)]]+PlanIndicativo[[#This Row],[Total  (2022)]]+PlanIndicativo[[#This Row],[Total (2023)]]</f>
        <v>7633223.6842105258</v>
      </c>
      <c r="BW208" s="22" t="s">
        <v>584</v>
      </c>
    </row>
    <row r="209" spans="1:75" ht="21" customHeight="1" x14ac:dyDescent="0.25">
      <c r="A209" s="7">
        <v>2</v>
      </c>
      <c r="B209" s="8" t="s">
        <v>480</v>
      </c>
      <c r="C209" s="7" t="s">
        <v>573</v>
      </c>
      <c r="D209" s="7" t="s">
        <v>574</v>
      </c>
      <c r="E209" s="7" t="s">
        <v>575</v>
      </c>
      <c r="F209" s="8" t="s">
        <v>576</v>
      </c>
      <c r="G209" s="7" t="s">
        <v>656</v>
      </c>
      <c r="H209" s="8" t="s">
        <v>657</v>
      </c>
      <c r="I209" s="9">
        <v>3904006</v>
      </c>
      <c r="J209" s="25" t="s">
        <v>665</v>
      </c>
      <c r="K209" s="32" t="s">
        <v>659</v>
      </c>
      <c r="L209" s="25" t="s">
        <v>581</v>
      </c>
      <c r="M209" s="25" t="s">
        <v>586</v>
      </c>
      <c r="N209" s="25" t="s">
        <v>86</v>
      </c>
      <c r="O209" s="25"/>
      <c r="P209" s="9">
        <v>390400600</v>
      </c>
      <c r="Q209" s="25" t="s">
        <v>666</v>
      </c>
      <c r="R209" s="12" t="s">
        <v>88</v>
      </c>
      <c r="S209" s="13" t="s">
        <v>93</v>
      </c>
      <c r="T209" s="14">
        <v>0</v>
      </c>
      <c r="U209" s="15">
        <v>1</v>
      </c>
      <c r="V209" s="30">
        <v>1</v>
      </c>
      <c r="W209" s="30">
        <v>1</v>
      </c>
      <c r="X209" s="30">
        <v>1</v>
      </c>
      <c r="Y209" s="30">
        <v>1</v>
      </c>
      <c r="Z209" s="17">
        <f t="shared" si="110"/>
        <v>1526644.7368421052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8">
        <f>SUM(PlanIndicativo[[#This Row],[Ingresos Corrientes de Libre Destinación - ICLD (2020)]:[Otros (2020)]])</f>
        <v>1526644.7368421052</v>
      </c>
      <c r="AL209" s="17">
        <f>58012500/38*2</f>
        <v>3053289.4736842103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9">
        <f>SUM(PlanIndicativo[[#This Row],[Ingresos Corrientes de Libre Destinación - ICLD (2021)]:[Otros  (2021)]])</f>
        <v>3053289.4736842103</v>
      </c>
      <c r="AX209" s="17">
        <f t="shared" si="108"/>
        <v>1526644.7368421052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20">
        <f>SUM(PlanIndicativo[[#This Row],[Ingresos Corrientes de Libre Destinación - ICLD (2022)]:[Otros   (2022)]])</f>
        <v>1526644.7368421052</v>
      </c>
      <c r="BJ209" s="17">
        <f t="shared" si="109"/>
        <v>1526644.7368421052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21">
        <f>SUM(PlanIndicativo[[#This Row],[Ingresos Corrientes de Libre Destinación - ICLD (2023)]:[Otros (2023)]])</f>
        <v>1526644.7368421052</v>
      </c>
      <c r="BV209" s="21">
        <f>+PlanIndicativo[[#This Row],[Total (2020)]]+PlanIndicativo[[#This Row],[Total  (2021)]]+PlanIndicativo[[#This Row],[Total  (2022)]]+PlanIndicativo[[#This Row],[Total (2023)]]</f>
        <v>7633223.6842105258</v>
      </c>
      <c r="BW209" s="22" t="s">
        <v>584</v>
      </c>
    </row>
    <row r="210" spans="1:75" ht="21" customHeight="1" x14ac:dyDescent="0.25">
      <c r="A210" s="7">
        <v>2</v>
      </c>
      <c r="B210" s="8" t="s">
        <v>480</v>
      </c>
      <c r="C210" s="7" t="s">
        <v>573</v>
      </c>
      <c r="D210" s="7" t="s">
        <v>574</v>
      </c>
      <c r="E210" s="7" t="s">
        <v>575</v>
      </c>
      <c r="F210" s="8" t="s">
        <v>576</v>
      </c>
      <c r="G210" s="7" t="s">
        <v>656</v>
      </c>
      <c r="H210" s="8" t="s">
        <v>657</v>
      </c>
      <c r="I210" s="9">
        <v>3904007</v>
      </c>
      <c r="J210" s="25" t="s">
        <v>667</v>
      </c>
      <c r="K210" s="32" t="s">
        <v>659</v>
      </c>
      <c r="L210" s="25" t="s">
        <v>581</v>
      </c>
      <c r="M210" s="25" t="s">
        <v>586</v>
      </c>
      <c r="N210" s="25" t="s">
        <v>86</v>
      </c>
      <c r="O210" s="25"/>
      <c r="P210" s="9">
        <v>390400700</v>
      </c>
      <c r="Q210" s="25" t="s">
        <v>668</v>
      </c>
      <c r="R210" s="12" t="s">
        <v>88</v>
      </c>
      <c r="S210" s="13" t="s">
        <v>93</v>
      </c>
      <c r="T210" s="14">
        <v>0</v>
      </c>
      <c r="U210" s="15">
        <v>1</v>
      </c>
      <c r="V210" s="30">
        <v>0</v>
      </c>
      <c r="W210" s="30">
        <v>0</v>
      </c>
      <c r="X210" s="30">
        <v>0</v>
      </c>
      <c r="Y210" s="30">
        <v>1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8">
        <f>SUM(PlanIndicativo[[#This Row],[Ingresos Corrientes de Libre Destinación - ICLD (2020)]:[Otros (2020)]])</f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9">
        <f>SUM(PlanIndicativo[[#This Row],[Ingresos Corrientes de Libre Destinación - ICLD (2021)]:[Otros  (2021)]])</f>
        <v>0</v>
      </c>
      <c r="AX210" s="17">
        <f t="shared" si="108"/>
        <v>1526644.7368421052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20">
        <f>SUM(PlanIndicativo[[#This Row],[Ingresos Corrientes de Libre Destinación - ICLD (2022)]:[Otros   (2022)]])</f>
        <v>1526644.7368421052</v>
      </c>
      <c r="BJ210" s="17">
        <f t="shared" si="109"/>
        <v>1526644.7368421052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21">
        <f>SUM(PlanIndicativo[[#This Row],[Ingresos Corrientes de Libre Destinación - ICLD (2023)]:[Otros (2023)]])</f>
        <v>1526644.7368421052</v>
      </c>
      <c r="BV210" s="21">
        <f>+PlanIndicativo[[#This Row],[Total (2020)]]+PlanIndicativo[[#This Row],[Total  (2021)]]+PlanIndicativo[[#This Row],[Total  (2022)]]+PlanIndicativo[[#This Row],[Total (2023)]]</f>
        <v>3053289.4736842103</v>
      </c>
      <c r="BW210" s="22" t="s">
        <v>584</v>
      </c>
    </row>
    <row r="211" spans="1:75" ht="21" customHeight="1" x14ac:dyDescent="0.25">
      <c r="A211" s="7">
        <v>3</v>
      </c>
      <c r="B211" s="8" t="s">
        <v>669</v>
      </c>
      <c r="C211" s="7" t="s">
        <v>670</v>
      </c>
      <c r="D211" s="7" t="s">
        <v>671</v>
      </c>
      <c r="E211" s="7" t="s">
        <v>672</v>
      </c>
      <c r="F211" s="8" t="s">
        <v>673</v>
      </c>
      <c r="G211" s="7" t="s">
        <v>674</v>
      </c>
      <c r="H211" s="8" t="s">
        <v>675</v>
      </c>
      <c r="I211" s="9">
        <v>3201003</v>
      </c>
      <c r="J211" s="25" t="s">
        <v>676</v>
      </c>
      <c r="K211" s="32" t="s">
        <v>677</v>
      </c>
      <c r="L211" s="25" t="s">
        <v>678</v>
      </c>
      <c r="M211" s="25" t="s">
        <v>243</v>
      </c>
      <c r="N211" s="25" t="s">
        <v>86</v>
      </c>
      <c r="O211" s="25"/>
      <c r="P211" s="9">
        <v>320100300</v>
      </c>
      <c r="Q211" s="25" t="s">
        <v>679</v>
      </c>
      <c r="R211" s="12" t="s">
        <v>88</v>
      </c>
      <c r="S211" s="13" t="s">
        <v>93</v>
      </c>
      <c r="T211" s="14">
        <v>0</v>
      </c>
      <c r="U211" s="15">
        <v>2</v>
      </c>
      <c r="V211" s="30">
        <v>0</v>
      </c>
      <c r="W211" s="30">
        <v>1</v>
      </c>
      <c r="X211" s="30">
        <v>1</v>
      </c>
      <c r="Y211" s="30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8">
        <f>SUM(PlanIndicativo[[#This Row],[Ingresos Corrientes de Libre Destinación - ICLD (2020)]:[Otros (2020)]])</f>
        <v>0</v>
      </c>
      <c r="AL211" s="17">
        <f>15000000/23*2</f>
        <v>1304347.8260869565</v>
      </c>
      <c r="AM211" s="17">
        <v>0</v>
      </c>
      <c r="AN211" s="17">
        <v>0</v>
      </c>
      <c r="AO211" s="17">
        <v>0</v>
      </c>
      <c r="AP211" s="17">
        <v>0</v>
      </c>
      <c r="AQ211" s="17">
        <f>69037600/23*2</f>
        <v>6003269.5652173916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9">
        <f>SUM(PlanIndicativo[[#This Row],[Ingresos Corrientes de Libre Destinación - ICLD (2021)]:[Otros  (2021)]])</f>
        <v>7307617.3913043477</v>
      </c>
      <c r="AX211" s="17">
        <f t="shared" ref="AX211:AX233" si="111">15000000/23</f>
        <v>652173.91304347827</v>
      </c>
      <c r="AY211" s="17">
        <v>0</v>
      </c>
      <c r="AZ211" s="17">
        <v>0</v>
      </c>
      <c r="BA211" s="17">
        <v>0</v>
      </c>
      <c r="BB211" s="17">
        <v>0</v>
      </c>
      <c r="BC211" s="17">
        <f t="shared" ref="BC211:BC233" si="112">69037600/23</f>
        <v>3001634.7826086958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20">
        <f>SUM(PlanIndicativo[[#This Row],[Ingresos Corrientes de Libre Destinación - ICLD (2022)]:[Otros   (2022)]])</f>
        <v>3653808.6956521738</v>
      </c>
      <c r="BJ211" s="17">
        <f t="shared" ref="BJ211:BJ233" si="113">15000000/23</f>
        <v>652173.91304347827</v>
      </c>
      <c r="BK211" s="17">
        <v>0</v>
      </c>
      <c r="BL211" s="17">
        <v>0</v>
      </c>
      <c r="BM211" s="17">
        <v>0</v>
      </c>
      <c r="BN211" s="17">
        <v>0</v>
      </c>
      <c r="BO211" s="17">
        <f t="shared" ref="BO211:BO233" si="114">69037600/23</f>
        <v>3001634.7826086958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21">
        <f>SUM(PlanIndicativo[[#This Row],[Ingresos Corrientes de Libre Destinación - ICLD (2023)]:[Otros (2023)]])</f>
        <v>3653808.6956521738</v>
      </c>
      <c r="BV211" s="21">
        <f>+PlanIndicativo[[#This Row],[Total (2020)]]+PlanIndicativo[[#This Row],[Total  (2021)]]+PlanIndicativo[[#This Row],[Total  (2022)]]+PlanIndicativo[[#This Row],[Total (2023)]]</f>
        <v>14615234.782608695</v>
      </c>
      <c r="BW211" s="22" t="s">
        <v>442</v>
      </c>
    </row>
    <row r="212" spans="1:75" ht="21" customHeight="1" x14ac:dyDescent="0.25">
      <c r="A212" s="7">
        <v>3</v>
      </c>
      <c r="B212" s="8" t="s">
        <v>669</v>
      </c>
      <c r="C212" s="7" t="s">
        <v>670</v>
      </c>
      <c r="D212" s="7" t="s">
        <v>671</v>
      </c>
      <c r="E212" s="7" t="s">
        <v>672</v>
      </c>
      <c r="F212" s="8" t="s">
        <v>673</v>
      </c>
      <c r="G212" s="7" t="s">
        <v>674</v>
      </c>
      <c r="H212" s="8" t="s">
        <v>675</v>
      </c>
      <c r="I212" s="9">
        <v>3201009</v>
      </c>
      <c r="J212" s="25" t="s">
        <v>680</v>
      </c>
      <c r="K212" s="32" t="s">
        <v>677</v>
      </c>
      <c r="L212" s="25" t="s">
        <v>678</v>
      </c>
      <c r="M212" s="25" t="s">
        <v>243</v>
      </c>
      <c r="N212" s="25" t="s">
        <v>86</v>
      </c>
      <c r="O212" s="25"/>
      <c r="P212" s="9">
        <v>320100900</v>
      </c>
      <c r="Q212" s="25" t="s">
        <v>681</v>
      </c>
      <c r="R212" s="12" t="s">
        <v>88</v>
      </c>
      <c r="S212" s="13" t="s">
        <v>93</v>
      </c>
      <c r="T212" s="14">
        <v>0</v>
      </c>
      <c r="U212" s="15">
        <v>1</v>
      </c>
      <c r="V212" s="30">
        <v>1</v>
      </c>
      <c r="W212" s="30">
        <v>0</v>
      </c>
      <c r="X212" s="30">
        <v>0</v>
      </c>
      <c r="Y212" s="30">
        <v>0</v>
      </c>
      <c r="Z212" s="17">
        <f>15000000/23*2</f>
        <v>1304347.8260869565</v>
      </c>
      <c r="AA212" s="17">
        <v>0</v>
      </c>
      <c r="AB212" s="17">
        <v>0</v>
      </c>
      <c r="AC212" s="17">
        <v>0</v>
      </c>
      <c r="AD212" s="17">
        <v>0</v>
      </c>
      <c r="AE212" s="17">
        <f>69037600/23*2</f>
        <v>6003269.5652173916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8">
        <f>SUM(PlanIndicativo[[#This Row],[Ingresos Corrientes de Libre Destinación - ICLD (2020)]:[Otros (2020)]])</f>
        <v>7307617.3913043477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9">
        <f>SUM(PlanIndicativo[[#This Row],[Ingresos Corrientes de Libre Destinación - ICLD (2021)]:[Otros  (2021)]])</f>
        <v>0</v>
      </c>
      <c r="AX212" s="17">
        <f t="shared" si="111"/>
        <v>652173.91304347827</v>
      </c>
      <c r="AY212" s="17">
        <v>0</v>
      </c>
      <c r="AZ212" s="17">
        <v>0</v>
      </c>
      <c r="BA212" s="17">
        <v>0</v>
      </c>
      <c r="BB212" s="17">
        <v>0</v>
      </c>
      <c r="BC212" s="17">
        <f t="shared" si="112"/>
        <v>3001634.7826086958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20">
        <f>SUM(PlanIndicativo[[#This Row],[Ingresos Corrientes de Libre Destinación - ICLD (2022)]:[Otros   (2022)]])</f>
        <v>3653808.6956521738</v>
      </c>
      <c r="BJ212" s="17">
        <f t="shared" si="113"/>
        <v>652173.91304347827</v>
      </c>
      <c r="BK212" s="17">
        <v>0</v>
      </c>
      <c r="BL212" s="17">
        <v>0</v>
      </c>
      <c r="BM212" s="17">
        <v>0</v>
      </c>
      <c r="BN212" s="17">
        <v>0</v>
      </c>
      <c r="BO212" s="17">
        <f t="shared" si="114"/>
        <v>3001634.7826086958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21">
        <f>SUM(PlanIndicativo[[#This Row],[Ingresos Corrientes de Libre Destinación - ICLD (2023)]:[Otros (2023)]])</f>
        <v>3653808.6956521738</v>
      </c>
      <c r="BV212" s="21">
        <f>+PlanIndicativo[[#This Row],[Total (2020)]]+PlanIndicativo[[#This Row],[Total  (2021)]]+PlanIndicativo[[#This Row],[Total  (2022)]]+PlanIndicativo[[#This Row],[Total (2023)]]</f>
        <v>14615234.782608695</v>
      </c>
      <c r="BW212" s="22" t="s">
        <v>442</v>
      </c>
    </row>
    <row r="213" spans="1:75" ht="21" customHeight="1" x14ac:dyDescent="0.25">
      <c r="A213" s="7">
        <v>3</v>
      </c>
      <c r="B213" s="8" t="s">
        <v>669</v>
      </c>
      <c r="C213" s="7" t="s">
        <v>670</v>
      </c>
      <c r="D213" s="7" t="s">
        <v>671</v>
      </c>
      <c r="E213" s="7" t="s">
        <v>672</v>
      </c>
      <c r="F213" s="8" t="s">
        <v>673</v>
      </c>
      <c r="G213" s="7" t="s">
        <v>674</v>
      </c>
      <c r="H213" s="8" t="s">
        <v>675</v>
      </c>
      <c r="I213" s="9">
        <v>3201015</v>
      </c>
      <c r="J213" s="25" t="s">
        <v>682</v>
      </c>
      <c r="K213" s="25" t="s">
        <v>683</v>
      </c>
      <c r="L213" s="25" t="s">
        <v>678</v>
      </c>
      <c r="M213" s="25" t="s">
        <v>243</v>
      </c>
      <c r="N213" s="25" t="s">
        <v>86</v>
      </c>
      <c r="O213" s="25"/>
      <c r="P213" s="33">
        <v>320101500</v>
      </c>
      <c r="Q213" s="25" t="s">
        <v>684</v>
      </c>
      <c r="R213" s="31" t="s">
        <v>88</v>
      </c>
      <c r="S213" s="13" t="s">
        <v>93</v>
      </c>
      <c r="T213" s="36">
        <v>0</v>
      </c>
      <c r="U213" s="37">
        <v>1</v>
      </c>
      <c r="V213" s="38">
        <v>0</v>
      </c>
      <c r="W213" s="38">
        <v>1</v>
      </c>
      <c r="X213" s="38">
        <v>0</v>
      </c>
      <c r="Y213" s="38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8">
        <f>SUM(PlanIndicativo[[#This Row],[Ingresos Corrientes de Libre Destinación - ICLD (2020)]:[Otros (2020)]])</f>
        <v>0</v>
      </c>
      <c r="AL213" s="17">
        <f t="shared" ref="AL213:AL233" si="115">15000000/23</f>
        <v>652173.91304347827</v>
      </c>
      <c r="AM213" s="17">
        <v>0</v>
      </c>
      <c r="AN213" s="17">
        <v>0</v>
      </c>
      <c r="AO213" s="17">
        <v>0</v>
      </c>
      <c r="AP213" s="17">
        <v>0</v>
      </c>
      <c r="AQ213" s="17">
        <f t="shared" ref="AQ213:AQ233" si="116">69037600/23</f>
        <v>3001634.7826086958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9">
        <f>SUM(PlanIndicativo[[#This Row],[Ingresos Corrientes de Libre Destinación - ICLD (2021)]:[Otros  (2021)]])</f>
        <v>3653808.6956521738</v>
      </c>
      <c r="AX213" s="17">
        <f t="shared" si="111"/>
        <v>652173.91304347827</v>
      </c>
      <c r="AY213" s="17">
        <v>0</v>
      </c>
      <c r="AZ213" s="17">
        <v>0</v>
      </c>
      <c r="BA213" s="17">
        <v>0</v>
      </c>
      <c r="BB213" s="17">
        <v>0</v>
      </c>
      <c r="BC213" s="17">
        <f t="shared" si="112"/>
        <v>3001634.7826086958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20">
        <f>SUM(PlanIndicativo[[#This Row],[Ingresos Corrientes de Libre Destinación - ICLD (2022)]:[Otros   (2022)]])</f>
        <v>3653808.6956521738</v>
      </c>
      <c r="BJ213" s="17">
        <f t="shared" si="113"/>
        <v>652173.91304347827</v>
      </c>
      <c r="BK213" s="17">
        <v>0</v>
      </c>
      <c r="BL213" s="17">
        <v>0</v>
      </c>
      <c r="BM213" s="17">
        <v>0</v>
      </c>
      <c r="BN213" s="17">
        <v>0</v>
      </c>
      <c r="BO213" s="17">
        <f t="shared" si="114"/>
        <v>3001634.7826086958</v>
      </c>
      <c r="BP213" s="17">
        <v>0</v>
      </c>
      <c r="BQ213" s="17">
        <v>0</v>
      </c>
      <c r="BR213" s="17">
        <v>0</v>
      </c>
      <c r="BS213" s="17">
        <v>0</v>
      </c>
      <c r="BT213" s="17">
        <v>0</v>
      </c>
      <c r="BU213" s="17">
        <f>SUM(PlanIndicativo[[#This Row],[Ingresos Corrientes de Libre Destinación - ICLD (2023)]:[Otros (2023)]])</f>
        <v>3653808.6956521738</v>
      </c>
      <c r="BV213" s="21">
        <f>+PlanIndicativo[[#This Row],[Total (2020)]]+PlanIndicativo[[#This Row],[Total  (2021)]]+PlanIndicativo[[#This Row],[Total  (2022)]]+PlanIndicativo[[#This Row],[Total (2023)]]</f>
        <v>10961426.086956521</v>
      </c>
      <c r="BW213" s="22" t="s">
        <v>442</v>
      </c>
    </row>
    <row r="214" spans="1:75" ht="21" customHeight="1" x14ac:dyDescent="0.25">
      <c r="A214" s="7">
        <v>3</v>
      </c>
      <c r="B214" s="8" t="s">
        <v>669</v>
      </c>
      <c r="C214" s="7" t="s">
        <v>670</v>
      </c>
      <c r="D214" s="7" t="s">
        <v>671</v>
      </c>
      <c r="E214" s="7" t="s">
        <v>672</v>
      </c>
      <c r="F214" s="8" t="s">
        <v>673</v>
      </c>
      <c r="G214" s="7" t="s">
        <v>674</v>
      </c>
      <c r="H214" s="8" t="s">
        <v>675</v>
      </c>
      <c r="I214" s="9">
        <v>3202006</v>
      </c>
      <c r="J214" s="25" t="s">
        <v>685</v>
      </c>
      <c r="K214" s="25" t="s">
        <v>686</v>
      </c>
      <c r="L214" s="25" t="s">
        <v>678</v>
      </c>
      <c r="M214" s="25" t="s">
        <v>243</v>
      </c>
      <c r="N214" s="25" t="s">
        <v>86</v>
      </c>
      <c r="O214" s="25"/>
      <c r="P214" s="9">
        <v>320200600</v>
      </c>
      <c r="Q214" s="25" t="s">
        <v>687</v>
      </c>
      <c r="R214" s="12" t="s">
        <v>688</v>
      </c>
      <c r="S214" s="13" t="s">
        <v>93</v>
      </c>
      <c r="T214" s="14">
        <v>0</v>
      </c>
      <c r="U214" s="15">
        <v>8</v>
      </c>
      <c r="V214" s="30">
        <v>2</v>
      </c>
      <c r="W214" s="30">
        <v>2</v>
      </c>
      <c r="X214" s="30">
        <v>2</v>
      </c>
      <c r="Y214" s="30">
        <v>2</v>
      </c>
      <c r="Z214" s="17">
        <f>15000000/23*2</f>
        <v>1304347.8260869565</v>
      </c>
      <c r="AA214" s="17">
        <v>0</v>
      </c>
      <c r="AB214" s="17">
        <v>0</v>
      </c>
      <c r="AC214" s="17">
        <v>0</v>
      </c>
      <c r="AD214" s="17">
        <v>0</v>
      </c>
      <c r="AE214" s="17">
        <f>69037600/23*2</f>
        <v>6003269.5652173916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8">
        <f>SUM(PlanIndicativo[[#This Row],[Ingresos Corrientes de Libre Destinación - ICLD (2020)]:[Otros (2020)]])</f>
        <v>7307617.3913043477</v>
      </c>
      <c r="AL214" s="17">
        <f t="shared" si="115"/>
        <v>652173.91304347827</v>
      </c>
      <c r="AM214" s="17">
        <v>0</v>
      </c>
      <c r="AN214" s="17">
        <v>0</v>
      </c>
      <c r="AO214" s="17">
        <v>0</v>
      </c>
      <c r="AP214" s="17">
        <v>0</v>
      </c>
      <c r="AQ214" s="17">
        <f t="shared" si="116"/>
        <v>3001634.7826086958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  <c r="AW214" s="19">
        <f>SUM(PlanIndicativo[[#This Row],[Ingresos Corrientes de Libre Destinación - ICLD (2021)]:[Otros  (2021)]])</f>
        <v>3653808.6956521738</v>
      </c>
      <c r="AX214" s="17">
        <f t="shared" si="111"/>
        <v>652173.91304347827</v>
      </c>
      <c r="AY214" s="17">
        <v>0</v>
      </c>
      <c r="AZ214" s="17">
        <v>0</v>
      </c>
      <c r="BA214" s="17">
        <v>0</v>
      </c>
      <c r="BB214" s="17">
        <v>0</v>
      </c>
      <c r="BC214" s="17">
        <f t="shared" si="112"/>
        <v>3001634.7826086958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20">
        <f>SUM(PlanIndicativo[[#This Row],[Ingresos Corrientes de Libre Destinación - ICLD (2022)]:[Otros   (2022)]])</f>
        <v>3653808.6956521738</v>
      </c>
      <c r="BJ214" s="17">
        <f t="shared" si="113"/>
        <v>652173.91304347827</v>
      </c>
      <c r="BK214" s="17">
        <v>0</v>
      </c>
      <c r="BL214" s="17">
        <v>0</v>
      </c>
      <c r="BM214" s="17">
        <v>0</v>
      </c>
      <c r="BN214" s="17">
        <v>0</v>
      </c>
      <c r="BO214" s="17">
        <f t="shared" si="114"/>
        <v>3001634.7826086958</v>
      </c>
      <c r="BP214" s="17">
        <v>0</v>
      </c>
      <c r="BQ214" s="17">
        <v>0</v>
      </c>
      <c r="BR214" s="17">
        <v>0</v>
      </c>
      <c r="BS214" s="17">
        <v>0</v>
      </c>
      <c r="BT214" s="17">
        <v>0</v>
      </c>
      <c r="BU214" s="21">
        <f>SUM(PlanIndicativo[[#This Row],[Ingresos Corrientes de Libre Destinación - ICLD (2023)]:[Otros (2023)]])</f>
        <v>3653808.6956521738</v>
      </c>
      <c r="BV214" s="21">
        <f>+PlanIndicativo[[#This Row],[Total (2020)]]+PlanIndicativo[[#This Row],[Total  (2021)]]+PlanIndicativo[[#This Row],[Total  (2022)]]+PlanIndicativo[[#This Row],[Total (2023)]]</f>
        <v>18269043.478260867</v>
      </c>
      <c r="BW214" s="22" t="s">
        <v>442</v>
      </c>
    </row>
    <row r="215" spans="1:75" ht="21" customHeight="1" x14ac:dyDescent="0.25">
      <c r="A215" s="7">
        <v>3</v>
      </c>
      <c r="B215" s="8" t="s">
        <v>669</v>
      </c>
      <c r="C215" s="7" t="s">
        <v>670</v>
      </c>
      <c r="D215" s="7" t="s">
        <v>671</v>
      </c>
      <c r="E215" s="7" t="s">
        <v>672</v>
      </c>
      <c r="F215" s="8" t="s">
        <v>673</v>
      </c>
      <c r="G215" s="7" t="s">
        <v>674</v>
      </c>
      <c r="H215" s="8" t="s">
        <v>675</v>
      </c>
      <c r="I215" s="9">
        <v>3202014</v>
      </c>
      <c r="J215" s="25" t="s">
        <v>689</v>
      </c>
      <c r="K215" s="25" t="s">
        <v>690</v>
      </c>
      <c r="L215" s="25" t="s">
        <v>678</v>
      </c>
      <c r="M215" s="25" t="s">
        <v>243</v>
      </c>
      <c r="N215" s="25" t="s">
        <v>86</v>
      </c>
      <c r="O215" s="25"/>
      <c r="P215" s="9">
        <v>320201400</v>
      </c>
      <c r="Q215" s="25" t="s">
        <v>202</v>
      </c>
      <c r="R215" s="12" t="s">
        <v>88</v>
      </c>
      <c r="S215" s="13" t="s">
        <v>93</v>
      </c>
      <c r="T215" s="14">
        <v>0</v>
      </c>
      <c r="U215" s="15">
        <v>300</v>
      </c>
      <c r="V215" s="30">
        <v>75</v>
      </c>
      <c r="W215" s="30">
        <v>75</v>
      </c>
      <c r="X215" s="30">
        <v>75</v>
      </c>
      <c r="Y215" s="30">
        <v>75</v>
      </c>
      <c r="Z215" s="17">
        <f>15000000/23*2</f>
        <v>1304347.8260869565</v>
      </c>
      <c r="AA215" s="17">
        <v>0</v>
      </c>
      <c r="AB215" s="17">
        <v>0</v>
      </c>
      <c r="AC215" s="17">
        <v>0</v>
      </c>
      <c r="AD215" s="17">
        <v>0</v>
      </c>
      <c r="AE215" s="17">
        <f>69037600/23*2</f>
        <v>6003269.5652173916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8">
        <f>SUM(PlanIndicativo[[#This Row],[Ingresos Corrientes de Libre Destinación - ICLD (2020)]:[Otros (2020)]])</f>
        <v>7307617.3913043477</v>
      </c>
      <c r="AL215" s="17">
        <f>15000000/23*2</f>
        <v>1304347.8260869565</v>
      </c>
      <c r="AM215" s="17">
        <v>0</v>
      </c>
      <c r="AN215" s="17">
        <v>0</v>
      </c>
      <c r="AO215" s="17">
        <v>0</v>
      </c>
      <c r="AP215" s="17">
        <v>0</v>
      </c>
      <c r="AQ215" s="17">
        <f>69037600/23*2</f>
        <v>6003269.5652173916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9">
        <f>SUM(PlanIndicativo[[#This Row],[Ingresos Corrientes de Libre Destinación - ICLD (2021)]:[Otros  (2021)]])</f>
        <v>7307617.3913043477</v>
      </c>
      <c r="AX215" s="17">
        <f t="shared" si="111"/>
        <v>652173.91304347827</v>
      </c>
      <c r="AY215" s="17">
        <v>0</v>
      </c>
      <c r="AZ215" s="17">
        <v>0</v>
      </c>
      <c r="BA215" s="17">
        <v>0</v>
      </c>
      <c r="BB215" s="17">
        <v>0</v>
      </c>
      <c r="BC215" s="17">
        <f t="shared" si="112"/>
        <v>3001634.7826086958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20">
        <f>SUM(PlanIndicativo[[#This Row],[Ingresos Corrientes de Libre Destinación - ICLD (2022)]:[Otros   (2022)]])</f>
        <v>3653808.6956521738</v>
      </c>
      <c r="BJ215" s="17">
        <f t="shared" si="113"/>
        <v>652173.91304347827</v>
      </c>
      <c r="BK215" s="17">
        <v>0</v>
      </c>
      <c r="BL215" s="17">
        <v>0</v>
      </c>
      <c r="BM215" s="17">
        <v>0</v>
      </c>
      <c r="BN215" s="17">
        <v>0</v>
      </c>
      <c r="BO215" s="17">
        <f t="shared" si="114"/>
        <v>3001634.7826086958</v>
      </c>
      <c r="BP215" s="17">
        <v>0</v>
      </c>
      <c r="BQ215" s="17">
        <v>0</v>
      </c>
      <c r="BR215" s="17">
        <v>0</v>
      </c>
      <c r="BS215" s="17">
        <v>0</v>
      </c>
      <c r="BT215" s="17">
        <v>0</v>
      </c>
      <c r="BU215" s="21">
        <f>SUM(PlanIndicativo[[#This Row],[Ingresos Corrientes de Libre Destinación - ICLD (2023)]:[Otros (2023)]])</f>
        <v>3653808.6956521738</v>
      </c>
      <c r="BV215" s="21">
        <f>+PlanIndicativo[[#This Row],[Total (2020)]]+PlanIndicativo[[#This Row],[Total  (2021)]]+PlanIndicativo[[#This Row],[Total  (2022)]]+PlanIndicativo[[#This Row],[Total (2023)]]</f>
        <v>21922852.173913039</v>
      </c>
      <c r="BW215" s="22" t="s">
        <v>442</v>
      </c>
    </row>
    <row r="216" spans="1:75" ht="21" customHeight="1" x14ac:dyDescent="0.25">
      <c r="A216" s="7">
        <v>3</v>
      </c>
      <c r="B216" s="8" t="s">
        <v>669</v>
      </c>
      <c r="C216" s="7" t="s">
        <v>670</v>
      </c>
      <c r="D216" s="7" t="s">
        <v>671</v>
      </c>
      <c r="E216" s="7" t="s">
        <v>672</v>
      </c>
      <c r="F216" s="8" t="s">
        <v>673</v>
      </c>
      <c r="G216" s="7" t="s">
        <v>674</v>
      </c>
      <c r="H216" s="8" t="s">
        <v>675</v>
      </c>
      <c r="I216" s="9">
        <v>3202033</v>
      </c>
      <c r="J216" s="25" t="s">
        <v>691</v>
      </c>
      <c r="K216" s="25" t="s">
        <v>686</v>
      </c>
      <c r="L216" s="25" t="s">
        <v>678</v>
      </c>
      <c r="M216" s="25" t="s">
        <v>243</v>
      </c>
      <c r="N216" s="25" t="s">
        <v>86</v>
      </c>
      <c r="O216" s="25"/>
      <c r="P216" s="9">
        <v>320203300</v>
      </c>
      <c r="Q216" s="25" t="s">
        <v>692</v>
      </c>
      <c r="R216" s="12" t="s">
        <v>88</v>
      </c>
      <c r="S216" s="13" t="s">
        <v>93</v>
      </c>
      <c r="T216" s="14">
        <v>0</v>
      </c>
      <c r="U216" s="15">
        <v>1</v>
      </c>
      <c r="V216" s="30">
        <v>0</v>
      </c>
      <c r="W216" s="30">
        <v>0</v>
      </c>
      <c r="X216" s="30">
        <v>1</v>
      </c>
      <c r="Y216" s="30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8">
        <f>SUM(PlanIndicativo[[#This Row],[Ingresos Corrientes de Libre Destinación - ICLD (2020)]:[Otros (2020)]])</f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9">
        <f>SUM(PlanIndicativo[[#This Row],[Ingresos Corrientes de Libre Destinación - ICLD (2021)]:[Otros  (2021)]])</f>
        <v>0</v>
      </c>
      <c r="AX216" s="17">
        <f t="shared" si="111"/>
        <v>652173.91304347827</v>
      </c>
      <c r="AY216" s="17">
        <v>0</v>
      </c>
      <c r="AZ216" s="17">
        <v>0</v>
      </c>
      <c r="BA216" s="17">
        <v>0</v>
      </c>
      <c r="BB216" s="17">
        <v>0</v>
      </c>
      <c r="BC216" s="17">
        <f t="shared" si="112"/>
        <v>3001634.7826086958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20">
        <f>SUM(PlanIndicativo[[#This Row],[Ingresos Corrientes de Libre Destinación - ICLD (2022)]:[Otros   (2022)]])</f>
        <v>3653808.6956521738</v>
      </c>
      <c r="BJ216" s="17">
        <f t="shared" si="113"/>
        <v>652173.91304347827</v>
      </c>
      <c r="BK216" s="17">
        <v>0</v>
      </c>
      <c r="BL216" s="17">
        <v>0</v>
      </c>
      <c r="BM216" s="17">
        <v>0</v>
      </c>
      <c r="BN216" s="17">
        <v>0</v>
      </c>
      <c r="BO216" s="17">
        <f t="shared" si="114"/>
        <v>3001634.7826086958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21">
        <f>SUM(PlanIndicativo[[#This Row],[Ingresos Corrientes de Libre Destinación - ICLD (2023)]:[Otros (2023)]])</f>
        <v>3653808.6956521738</v>
      </c>
      <c r="BV216" s="21">
        <f>+PlanIndicativo[[#This Row],[Total (2020)]]+PlanIndicativo[[#This Row],[Total  (2021)]]+PlanIndicativo[[#This Row],[Total  (2022)]]+PlanIndicativo[[#This Row],[Total (2023)]]</f>
        <v>7307617.3913043477</v>
      </c>
      <c r="BW216" s="22" t="s">
        <v>442</v>
      </c>
    </row>
    <row r="217" spans="1:75" ht="21" customHeight="1" x14ac:dyDescent="0.25">
      <c r="A217" s="7">
        <v>3</v>
      </c>
      <c r="B217" s="8" t="s">
        <v>669</v>
      </c>
      <c r="C217" s="7" t="s">
        <v>670</v>
      </c>
      <c r="D217" s="7" t="s">
        <v>671</v>
      </c>
      <c r="E217" s="7" t="s">
        <v>672</v>
      </c>
      <c r="F217" s="8" t="s">
        <v>673</v>
      </c>
      <c r="G217" s="7" t="s">
        <v>674</v>
      </c>
      <c r="H217" s="8" t="s">
        <v>675</v>
      </c>
      <c r="I217" s="9">
        <v>3202040</v>
      </c>
      <c r="J217" s="25" t="s">
        <v>693</v>
      </c>
      <c r="K217" s="25" t="s">
        <v>690</v>
      </c>
      <c r="L217" s="25" t="s">
        <v>678</v>
      </c>
      <c r="M217" s="25" t="s">
        <v>243</v>
      </c>
      <c r="N217" s="25" t="s">
        <v>86</v>
      </c>
      <c r="O217" s="25"/>
      <c r="P217" s="33">
        <v>320204000</v>
      </c>
      <c r="Q217" s="25" t="s">
        <v>694</v>
      </c>
      <c r="R217" s="31" t="s">
        <v>88</v>
      </c>
      <c r="S217" s="13" t="s">
        <v>93</v>
      </c>
      <c r="T217" s="36">
        <v>0</v>
      </c>
      <c r="U217" s="37">
        <v>1</v>
      </c>
      <c r="V217" s="38">
        <v>1</v>
      </c>
      <c r="W217" s="38">
        <v>1</v>
      </c>
      <c r="X217" s="38">
        <v>1</v>
      </c>
      <c r="Y217" s="38">
        <v>1</v>
      </c>
      <c r="Z217" s="17">
        <f t="shared" ref="Z217:Z233" si="117">15000000/23</f>
        <v>652173.91304347827</v>
      </c>
      <c r="AA217" s="17">
        <v>0</v>
      </c>
      <c r="AB217" s="17">
        <v>0</v>
      </c>
      <c r="AC217" s="17">
        <v>0</v>
      </c>
      <c r="AD217" s="17">
        <v>0</v>
      </c>
      <c r="AE217" s="17">
        <f t="shared" ref="AE217:AE233" si="118">69037600/23</f>
        <v>3001634.7826086958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8">
        <f>SUM(PlanIndicativo[[#This Row],[Ingresos Corrientes de Libre Destinación - ICLD (2020)]:[Otros (2020)]])</f>
        <v>3653808.6956521738</v>
      </c>
      <c r="AL217" s="17">
        <f t="shared" si="115"/>
        <v>652173.91304347827</v>
      </c>
      <c r="AM217" s="17">
        <v>0</v>
      </c>
      <c r="AN217" s="17">
        <v>0</v>
      </c>
      <c r="AO217" s="17">
        <v>0</v>
      </c>
      <c r="AP217" s="17">
        <v>0</v>
      </c>
      <c r="AQ217" s="17">
        <f t="shared" si="116"/>
        <v>3001634.7826086958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9">
        <f>SUM(PlanIndicativo[[#This Row],[Ingresos Corrientes de Libre Destinación - ICLD (2021)]:[Otros  (2021)]])</f>
        <v>3653808.6956521738</v>
      </c>
      <c r="AX217" s="17">
        <f t="shared" si="111"/>
        <v>652173.91304347827</v>
      </c>
      <c r="AY217" s="17">
        <v>0</v>
      </c>
      <c r="AZ217" s="17">
        <v>0</v>
      </c>
      <c r="BA217" s="17">
        <v>0</v>
      </c>
      <c r="BB217" s="17">
        <v>0</v>
      </c>
      <c r="BC217" s="17">
        <f t="shared" si="112"/>
        <v>3001634.7826086958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20">
        <f>SUM(PlanIndicativo[[#This Row],[Ingresos Corrientes de Libre Destinación - ICLD (2022)]:[Otros   (2022)]])</f>
        <v>3653808.6956521738</v>
      </c>
      <c r="BJ217" s="17">
        <f t="shared" si="113"/>
        <v>652173.91304347827</v>
      </c>
      <c r="BK217" s="17">
        <v>0</v>
      </c>
      <c r="BL217" s="17">
        <v>0</v>
      </c>
      <c r="BM217" s="17">
        <v>0</v>
      </c>
      <c r="BN217" s="17">
        <v>0</v>
      </c>
      <c r="BO217" s="17">
        <f t="shared" si="114"/>
        <v>3001634.7826086958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f>SUM(PlanIndicativo[[#This Row],[Ingresos Corrientes de Libre Destinación - ICLD (2023)]:[Otros (2023)]])</f>
        <v>3653808.6956521738</v>
      </c>
      <c r="BV217" s="21">
        <f>+PlanIndicativo[[#This Row],[Total (2020)]]+PlanIndicativo[[#This Row],[Total  (2021)]]+PlanIndicativo[[#This Row],[Total  (2022)]]+PlanIndicativo[[#This Row],[Total (2023)]]</f>
        <v>14615234.782608695</v>
      </c>
      <c r="BW217" s="22" t="s">
        <v>442</v>
      </c>
    </row>
    <row r="218" spans="1:75" ht="21" customHeight="1" x14ac:dyDescent="0.25">
      <c r="A218" s="7">
        <v>3</v>
      </c>
      <c r="B218" s="8" t="s">
        <v>669</v>
      </c>
      <c r="C218" s="7" t="s">
        <v>670</v>
      </c>
      <c r="D218" s="7" t="s">
        <v>671</v>
      </c>
      <c r="E218" s="7" t="s">
        <v>672</v>
      </c>
      <c r="F218" s="8" t="s">
        <v>673</v>
      </c>
      <c r="G218" s="7" t="s">
        <v>674</v>
      </c>
      <c r="H218" s="8" t="s">
        <v>675</v>
      </c>
      <c r="I218" s="9">
        <v>3203006</v>
      </c>
      <c r="J218" s="25" t="s">
        <v>695</v>
      </c>
      <c r="K218" s="25" t="s">
        <v>686</v>
      </c>
      <c r="L218" s="25" t="s">
        <v>678</v>
      </c>
      <c r="M218" s="25" t="s">
        <v>243</v>
      </c>
      <c r="N218" s="25" t="s">
        <v>86</v>
      </c>
      <c r="O218" s="25"/>
      <c r="P218" s="33">
        <v>320300600</v>
      </c>
      <c r="Q218" s="25" t="s">
        <v>696</v>
      </c>
      <c r="R218" s="31" t="s">
        <v>88</v>
      </c>
      <c r="S218" s="13" t="s">
        <v>93</v>
      </c>
      <c r="T218" s="36">
        <v>0</v>
      </c>
      <c r="U218" s="37">
        <v>12</v>
      </c>
      <c r="V218" s="38">
        <v>3</v>
      </c>
      <c r="W218" s="38">
        <v>3</v>
      </c>
      <c r="X218" s="38">
        <v>3</v>
      </c>
      <c r="Y218" s="38">
        <v>3</v>
      </c>
      <c r="Z218" s="17">
        <f t="shared" si="117"/>
        <v>652173.91304347827</v>
      </c>
      <c r="AA218" s="17">
        <v>0</v>
      </c>
      <c r="AB218" s="17">
        <v>0</v>
      </c>
      <c r="AC218" s="17">
        <v>0</v>
      </c>
      <c r="AD218" s="17">
        <v>0</v>
      </c>
      <c r="AE218" s="17">
        <f t="shared" si="118"/>
        <v>3001634.7826086958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8">
        <f>SUM(PlanIndicativo[[#This Row],[Ingresos Corrientes de Libre Destinación - ICLD (2020)]:[Otros (2020)]])</f>
        <v>3653808.6956521738</v>
      </c>
      <c r="AL218" s="17">
        <f t="shared" si="115"/>
        <v>652173.91304347827</v>
      </c>
      <c r="AM218" s="17">
        <v>0</v>
      </c>
      <c r="AN218" s="17">
        <v>0</v>
      </c>
      <c r="AO218" s="17">
        <v>0</v>
      </c>
      <c r="AP218" s="17">
        <v>0</v>
      </c>
      <c r="AQ218" s="17">
        <f t="shared" si="116"/>
        <v>3001634.7826086958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9">
        <f>SUM(PlanIndicativo[[#This Row],[Ingresos Corrientes de Libre Destinación - ICLD (2021)]:[Otros  (2021)]])</f>
        <v>3653808.6956521738</v>
      </c>
      <c r="AX218" s="17">
        <f t="shared" si="111"/>
        <v>652173.91304347827</v>
      </c>
      <c r="AY218" s="17">
        <v>0</v>
      </c>
      <c r="AZ218" s="17">
        <v>0</v>
      </c>
      <c r="BA218" s="17">
        <v>0</v>
      </c>
      <c r="BB218" s="17">
        <v>0</v>
      </c>
      <c r="BC218" s="17">
        <f t="shared" si="112"/>
        <v>3001634.7826086958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20">
        <f>SUM(PlanIndicativo[[#This Row],[Ingresos Corrientes de Libre Destinación - ICLD (2022)]:[Otros   (2022)]])</f>
        <v>3653808.6956521738</v>
      </c>
      <c r="BJ218" s="17">
        <f t="shared" si="113"/>
        <v>652173.91304347827</v>
      </c>
      <c r="BK218" s="17">
        <v>0</v>
      </c>
      <c r="BL218" s="17">
        <v>0</v>
      </c>
      <c r="BM218" s="17">
        <v>0</v>
      </c>
      <c r="BN218" s="17">
        <v>0</v>
      </c>
      <c r="BO218" s="17">
        <f t="shared" si="114"/>
        <v>3001634.7826086958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f>SUM(PlanIndicativo[[#This Row],[Ingresos Corrientes de Libre Destinación - ICLD (2023)]:[Otros (2023)]])</f>
        <v>3653808.6956521738</v>
      </c>
      <c r="BV218" s="21">
        <f>+PlanIndicativo[[#This Row],[Total (2020)]]+PlanIndicativo[[#This Row],[Total  (2021)]]+PlanIndicativo[[#This Row],[Total  (2022)]]+PlanIndicativo[[#This Row],[Total (2023)]]</f>
        <v>14615234.782608695</v>
      </c>
      <c r="BW218" s="22" t="s">
        <v>442</v>
      </c>
    </row>
    <row r="219" spans="1:75" ht="21" customHeight="1" x14ac:dyDescent="0.25">
      <c r="A219" s="7">
        <v>3</v>
      </c>
      <c r="B219" s="8" t="s">
        <v>669</v>
      </c>
      <c r="C219" s="7" t="s">
        <v>670</v>
      </c>
      <c r="D219" s="7" t="s">
        <v>671</v>
      </c>
      <c r="E219" s="7" t="s">
        <v>672</v>
      </c>
      <c r="F219" s="8" t="s">
        <v>673</v>
      </c>
      <c r="G219" s="7" t="s">
        <v>674</v>
      </c>
      <c r="H219" s="8" t="s">
        <v>675</v>
      </c>
      <c r="I219" s="9">
        <v>3203009</v>
      </c>
      <c r="J219" s="25" t="s">
        <v>697</v>
      </c>
      <c r="K219" s="32" t="s">
        <v>698</v>
      </c>
      <c r="L219" s="25" t="s">
        <v>678</v>
      </c>
      <c r="M219" s="25" t="s">
        <v>243</v>
      </c>
      <c r="N219" s="25" t="s">
        <v>86</v>
      </c>
      <c r="O219" s="25"/>
      <c r="P219" s="33">
        <v>320300900</v>
      </c>
      <c r="Q219" s="25" t="s">
        <v>699</v>
      </c>
      <c r="R219" s="31" t="s">
        <v>88</v>
      </c>
      <c r="S219" s="13" t="s">
        <v>93</v>
      </c>
      <c r="T219" s="36">
        <v>0</v>
      </c>
      <c r="U219" s="37">
        <v>4</v>
      </c>
      <c r="V219" s="38">
        <v>1</v>
      </c>
      <c r="W219" s="38">
        <v>1</v>
      </c>
      <c r="X219" s="38">
        <v>1</v>
      </c>
      <c r="Y219" s="38">
        <v>1</v>
      </c>
      <c r="Z219" s="17">
        <f t="shared" si="117"/>
        <v>652173.91304347827</v>
      </c>
      <c r="AA219" s="17">
        <v>0</v>
      </c>
      <c r="AB219" s="17">
        <v>0</v>
      </c>
      <c r="AC219" s="17">
        <v>0</v>
      </c>
      <c r="AD219" s="17">
        <v>0</v>
      </c>
      <c r="AE219" s="17">
        <f t="shared" si="118"/>
        <v>3001634.7826086958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8">
        <f>SUM(PlanIndicativo[[#This Row],[Ingresos Corrientes de Libre Destinación - ICLD (2020)]:[Otros (2020)]])</f>
        <v>3653808.6956521738</v>
      </c>
      <c r="AL219" s="17">
        <f t="shared" si="115"/>
        <v>652173.91304347827</v>
      </c>
      <c r="AM219" s="17">
        <v>0</v>
      </c>
      <c r="AN219" s="17">
        <v>0</v>
      </c>
      <c r="AO219" s="17">
        <v>0</v>
      </c>
      <c r="AP219" s="17">
        <v>0</v>
      </c>
      <c r="AQ219" s="17">
        <f t="shared" si="116"/>
        <v>3001634.7826086958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9">
        <f>SUM(PlanIndicativo[[#This Row],[Ingresos Corrientes de Libre Destinación - ICLD (2021)]:[Otros  (2021)]])</f>
        <v>3653808.6956521738</v>
      </c>
      <c r="AX219" s="17">
        <f t="shared" si="111"/>
        <v>652173.91304347827</v>
      </c>
      <c r="AY219" s="17">
        <v>0</v>
      </c>
      <c r="AZ219" s="17">
        <v>0</v>
      </c>
      <c r="BA219" s="17">
        <v>0</v>
      </c>
      <c r="BB219" s="17">
        <v>0</v>
      </c>
      <c r="BC219" s="17">
        <f t="shared" si="112"/>
        <v>3001634.7826086958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20">
        <f>SUM(PlanIndicativo[[#This Row],[Ingresos Corrientes de Libre Destinación - ICLD (2022)]:[Otros   (2022)]])</f>
        <v>3653808.6956521738</v>
      </c>
      <c r="BJ219" s="17">
        <f t="shared" si="113"/>
        <v>652173.91304347827</v>
      </c>
      <c r="BK219" s="17">
        <v>0</v>
      </c>
      <c r="BL219" s="17">
        <v>0</v>
      </c>
      <c r="BM219" s="17">
        <v>0</v>
      </c>
      <c r="BN219" s="17">
        <v>0</v>
      </c>
      <c r="BO219" s="17">
        <f t="shared" si="114"/>
        <v>3001634.7826086958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f>SUM(PlanIndicativo[[#This Row],[Ingresos Corrientes de Libre Destinación - ICLD (2023)]:[Otros (2023)]])</f>
        <v>3653808.6956521738</v>
      </c>
      <c r="BV219" s="21">
        <f>+PlanIndicativo[[#This Row],[Total (2020)]]+PlanIndicativo[[#This Row],[Total  (2021)]]+PlanIndicativo[[#This Row],[Total  (2022)]]+PlanIndicativo[[#This Row],[Total (2023)]]</f>
        <v>14615234.782608695</v>
      </c>
      <c r="BW219" s="22" t="s">
        <v>442</v>
      </c>
    </row>
    <row r="220" spans="1:75" ht="21" customHeight="1" x14ac:dyDescent="0.25">
      <c r="A220" s="7">
        <v>3</v>
      </c>
      <c r="B220" s="8" t="s">
        <v>669</v>
      </c>
      <c r="C220" s="7" t="s">
        <v>670</v>
      </c>
      <c r="D220" s="7" t="s">
        <v>671</v>
      </c>
      <c r="E220" s="7" t="s">
        <v>672</v>
      </c>
      <c r="F220" s="8" t="s">
        <v>673</v>
      </c>
      <c r="G220" s="7" t="s">
        <v>674</v>
      </c>
      <c r="H220" s="8" t="s">
        <v>675</v>
      </c>
      <c r="I220" s="9">
        <v>3203030</v>
      </c>
      <c r="J220" s="25" t="s">
        <v>700</v>
      </c>
      <c r="K220" s="25" t="s">
        <v>686</v>
      </c>
      <c r="L220" s="25" t="s">
        <v>678</v>
      </c>
      <c r="M220" s="25" t="s">
        <v>243</v>
      </c>
      <c r="N220" s="25" t="s">
        <v>86</v>
      </c>
      <c r="O220" s="25"/>
      <c r="P220" s="9">
        <v>320303000</v>
      </c>
      <c r="Q220" s="25" t="s">
        <v>701</v>
      </c>
      <c r="R220" s="12" t="s">
        <v>88</v>
      </c>
      <c r="S220" s="13" t="s">
        <v>93</v>
      </c>
      <c r="T220" s="14">
        <v>0</v>
      </c>
      <c r="U220" s="15">
        <v>4</v>
      </c>
      <c r="V220" s="30">
        <v>1</v>
      </c>
      <c r="W220" s="30">
        <v>1</v>
      </c>
      <c r="X220" s="30">
        <v>1</v>
      </c>
      <c r="Y220" s="30">
        <v>1</v>
      </c>
      <c r="Z220" s="17">
        <f t="shared" si="117"/>
        <v>652173.91304347827</v>
      </c>
      <c r="AA220" s="17">
        <v>0</v>
      </c>
      <c r="AB220" s="17">
        <v>0</v>
      </c>
      <c r="AC220" s="17">
        <v>0</v>
      </c>
      <c r="AD220" s="17">
        <v>0</v>
      </c>
      <c r="AE220" s="17">
        <f t="shared" si="118"/>
        <v>3001634.7826086958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8">
        <f>SUM(PlanIndicativo[[#This Row],[Ingresos Corrientes de Libre Destinación - ICLD (2020)]:[Otros (2020)]])</f>
        <v>3653808.6956521738</v>
      </c>
      <c r="AL220" s="17">
        <f t="shared" si="115"/>
        <v>652173.91304347827</v>
      </c>
      <c r="AM220" s="17">
        <v>0</v>
      </c>
      <c r="AN220" s="17">
        <v>0</v>
      </c>
      <c r="AO220" s="17">
        <v>0</v>
      </c>
      <c r="AP220" s="17">
        <v>0</v>
      </c>
      <c r="AQ220" s="17">
        <f t="shared" si="116"/>
        <v>3001634.7826086958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9">
        <f>SUM(PlanIndicativo[[#This Row],[Ingresos Corrientes de Libre Destinación - ICLD (2021)]:[Otros  (2021)]])</f>
        <v>3653808.6956521738</v>
      </c>
      <c r="AX220" s="17">
        <f t="shared" si="111"/>
        <v>652173.91304347827</v>
      </c>
      <c r="AY220" s="17">
        <v>0</v>
      </c>
      <c r="AZ220" s="17">
        <v>0</v>
      </c>
      <c r="BA220" s="17">
        <v>0</v>
      </c>
      <c r="BB220" s="17">
        <v>0</v>
      </c>
      <c r="BC220" s="17">
        <f t="shared" si="112"/>
        <v>3001634.7826086958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20">
        <f>SUM(PlanIndicativo[[#This Row],[Ingresos Corrientes de Libre Destinación - ICLD (2022)]:[Otros   (2022)]])</f>
        <v>3653808.6956521738</v>
      </c>
      <c r="BJ220" s="17">
        <f t="shared" si="113"/>
        <v>652173.91304347827</v>
      </c>
      <c r="BK220" s="17">
        <v>0</v>
      </c>
      <c r="BL220" s="17">
        <v>0</v>
      </c>
      <c r="BM220" s="17">
        <v>0</v>
      </c>
      <c r="BN220" s="17">
        <v>0</v>
      </c>
      <c r="BO220" s="17">
        <f t="shared" si="114"/>
        <v>3001634.7826086958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21">
        <f>SUM(PlanIndicativo[[#This Row],[Ingresos Corrientes de Libre Destinación - ICLD (2023)]:[Otros (2023)]])</f>
        <v>3653808.6956521738</v>
      </c>
      <c r="BV220" s="21">
        <f>+PlanIndicativo[[#This Row],[Total (2020)]]+PlanIndicativo[[#This Row],[Total  (2021)]]+PlanIndicativo[[#This Row],[Total  (2022)]]+PlanIndicativo[[#This Row],[Total (2023)]]</f>
        <v>14615234.782608695</v>
      </c>
      <c r="BW220" s="22" t="s">
        <v>442</v>
      </c>
    </row>
    <row r="221" spans="1:75" ht="21" customHeight="1" x14ac:dyDescent="0.25">
      <c r="A221" s="7">
        <v>3</v>
      </c>
      <c r="B221" s="8" t="s">
        <v>669</v>
      </c>
      <c r="C221" s="7" t="s">
        <v>670</v>
      </c>
      <c r="D221" s="7" t="s">
        <v>671</v>
      </c>
      <c r="E221" s="7" t="s">
        <v>672</v>
      </c>
      <c r="F221" s="8" t="s">
        <v>673</v>
      </c>
      <c r="G221" s="7" t="s">
        <v>674</v>
      </c>
      <c r="H221" s="8" t="s">
        <v>675</v>
      </c>
      <c r="I221" s="9">
        <v>3204012</v>
      </c>
      <c r="J221" s="25" t="s">
        <v>702</v>
      </c>
      <c r="K221" s="25" t="s">
        <v>686</v>
      </c>
      <c r="L221" s="25" t="s">
        <v>678</v>
      </c>
      <c r="M221" s="25" t="s">
        <v>243</v>
      </c>
      <c r="N221" s="25" t="s">
        <v>86</v>
      </c>
      <c r="O221" s="25"/>
      <c r="P221" s="9">
        <v>320401200</v>
      </c>
      <c r="Q221" s="25" t="s">
        <v>703</v>
      </c>
      <c r="R221" s="12" t="s">
        <v>88</v>
      </c>
      <c r="S221" s="13" t="s">
        <v>93</v>
      </c>
      <c r="T221" s="14">
        <v>0</v>
      </c>
      <c r="U221" s="15">
        <v>4</v>
      </c>
      <c r="V221" s="30">
        <v>1</v>
      </c>
      <c r="W221" s="30">
        <v>1</v>
      </c>
      <c r="X221" s="30">
        <v>1</v>
      </c>
      <c r="Y221" s="30">
        <v>1</v>
      </c>
      <c r="Z221" s="17">
        <f>15000000/23*2</f>
        <v>1304347.8260869565</v>
      </c>
      <c r="AA221" s="17">
        <v>0</v>
      </c>
      <c r="AB221" s="17">
        <v>0</v>
      </c>
      <c r="AC221" s="17">
        <v>0</v>
      </c>
      <c r="AD221" s="17">
        <v>0</v>
      </c>
      <c r="AE221" s="17">
        <f>69037600/23*2</f>
        <v>6003269.5652173916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8">
        <f>SUM(PlanIndicativo[[#This Row],[Ingresos Corrientes de Libre Destinación - ICLD (2020)]:[Otros (2020)]])</f>
        <v>7307617.3913043477</v>
      </c>
      <c r="AL221" s="17">
        <f t="shared" si="115"/>
        <v>652173.91304347827</v>
      </c>
      <c r="AM221" s="17">
        <v>0</v>
      </c>
      <c r="AN221" s="17">
        <v>0</v>
      </c>
      <c r="AO221" s="17">
        <v>0</v>
      </c>
      <c r="AP221" s="17">
        <v>0</v>
      </c>
      <c r="AQ221" s="17">
        <f t="shared" si="116"/>
        <v>3001634.7826086958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9">
        <f>SUM(PlanIndicativo[[#This Row],[Ingresos Corrientes de Libre Destinación - ICLD (2021)]:[Otros  (2021)]])</f>
        <v>3653808.6956521738</v>
      </c>
      <c r="AX221" s="17">
        <f t="shared" si="111"/>
        <v>652173.91304347827</v>
      </c>
      <c r="AY221" s="17">
        <v>0</v>
      </c>
      <c r="AZ221" s="17">
        <v>0</v>
      </c>
      <c r="BA221" s="17">
        <v>0</v>
      </c>
      <c r="BB221" s="17">
        <v>0</v>
      </c>
      <c r="BC221" s="17">
        <f t="shared" si="112"/>
        <v>3001634.7826086958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20">
        <f>SUM(PlanIndicativo[[#This Row],[Ingresos Corrientes de Libre Destinación - ICLD (2022)]:[Otros   (2022)]])</f>
        <v>3653808.6956521738</v>
      </c>
      <c r="BJ221" s="17">
        <f t="shared" si="113"/>
        <v>652173.91304347827</v>
      </c>
      <c r="BK221" s="17">
        <v>0</v>
      </c>
      <c r="BL221" s="17">
        <v>0</v>
      </c>
      <c r="BM221" s="17">
        <v>0</v>
      </c>
      <c r="BN221" s="17">
        <v>0</v>
      </c>
      <c r="BO221" s="17">
        <f t="shared" si="114"/>
        <v>3001634.7826086958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21">
        <f>SUM(PlanIndicativo[[#This Row],[Ingresos Corrientes de Libre Destinación - ICLD (2023)]:[Otros (2023)]])</f>
        <v>3653808.6956521738</v>
      </c>
      <c r="BV221" s="21">
        <f>+PlanIndicativo[[#This Row],[Total (2020)]]+PlanIndicativo[[#This Row],[Total  (2021)]]+PlanIndicativo[[#This Row],[Total  (2022)]]+PlanIndicativo[[#This Row],[Total (2023)]]</f>
        <v>18269043.478260867</v>
      </c>
      <c r="BW221" s="22" t="s">
        <v>442</v>
      </c>
    </row>
    <row r="222" spans="1:75" ht="21" customHeight="1" x14ac:dyDescent="0.25">
      <c r="A222" s="7">
        <v>3</v>
      </c>
      <c r="B222" s="8" t="s">
        <v>669</v>
      </c>
      <c r="C222" s="7" t="s">
        <v>670</v>
      </c>
      <c r="D222" s="7" t="s">
        <v>671</v>
      </c>
      <c r="E222" s="7" t="s">
        <v>672</v>
      </c>
      <c r="F222" s="8" t="s">
        <v>673</v>
      </c>
      <c r="G222" s="7" t="s">
        <v>674</v>
      </c>
      <c r="H222" s="8" t="s">
        <v>675</v>
      </c>
      <c r="I222" s="9">
        <v>3204009</v>
      </c>
      <c r="J222" s="25" t="s">
        <v>704</v>
      </c>
      <c r="K222" s="25" t="s">
        <v>686</v>
      </c>
      <c r="L222" s="25" t="s">
        <v>678</v>
      </c>
      <c r="M222" s="25" t="s">
        <v>243</v>
      </c>
      <c r="N222" s="25" t="s">
        <v>86</v>
      </c>
      <c r="O222" s="25"/>
      <c r="P222" s="33">
        <v>320400900</v>
      </c>
      <c r="Q222" s="25" t="s">
        <v>705</v>
      </c>
      <c r="R222" s="12" t="s">
        <v>88</v>
      </c>
      <c r="S222" s="13" t="s">
        <v>93</v>
      </c>
      <c r="T222" s="36">
        <v>0</v>
      </c>
      <c r="U222" s="37">
        <v>1</v>
      </c>
      <c r="V222" s="38">
        <v>0</v>
      </c>
      <c r="W222" s="38">
        <v>1</v>
      </c>
      <c r="X222" s="38">
        <v>0</v>
      </c>
      <c r="Y222" s="38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8">
        <f>SUM(PlanIndicativo[[#This Row],[Ingresos Corrientes de Libre Destinación - ICLD (2020)]:[Otros (2020)]])</f>
        <v>0</v>
      </c>
      <c r="AL222" s="17">
        <f t="shared" si="115"/>
        <v>652173.91304347827</v>
      </c>
      <c r="AM222" s="17">
        <v>0</v>
      </c>
      <c r="AN222" s="17">
        <v>0</v>
      </c>
      <c r="AO222" s="17">
        <v>0</v>
      </c>
      <c r="AP222" s="17">
        <v>0</v>
      </c>
      <c r="AQ222" s="17">
        <f t="shared" si="116"/>
        <v>3001634.7826086958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9">
        <f>SUM(PlanIndicativo[[#This Row],[Ingresos Corrientes de Libre Destinación - ICLD (2021)]:[Otros  (2021)]])</f>
        <v>3653808.6956521738</v>
      </c>
      <c r="AX222" s="17">
        <f t="shared" si="111"/>
        <v>652173.91304347827</v>
      </c>
      <c r="AY222" s="17">
        <v>0</v>
      </c>
      <c r="AZ222" s="17">
        <v>0</v>
      </c>
      <c r="BA222" s="17">
        <v>0</v>
      </c>
      <c r="BB222" s="17">
        <v>0</v>
      </c>
      <c r="BC222" s="17">
        <f t="shared" si="112"/>
        <v>3001634.7826086958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20">
        <f>SUM(PlanIndicativo[[#This Row],[Ingresos Corrientes de Libre Destinación - ICLD (2022)]:[Otros   (2022)]])</f>
        <v>3653808.6956521738</v>
      </c>
      <c r="BJ222" s="17">
        <f t="shared" si="113"/>
        <v>652173.91304347827</v>
      </c>
      <c r="BK222" s="17">
        <v>0</v>
      </c>
      <c r="BL222" s="17">
        <v>0</v>
      </c>
      <c r="BM222" s="17">
        <v>0</v>
      </c>
      <c r="BN222" s="17">
        <v>0</v>
      </c>
      <c r="BO222" s="17">
        <f t="shared" si="114"/>
        <v>3001634.7826086958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f>SUM(PlanIndicativo[[#This Row],[Ingresos Corrientes de Libre Destinación - ICLD (2023)]:[Otros (2023)]])</f>
        <v>3653808.6956521738</v>
      </c>
      <c r="BV222" s="21">
        <f>+PlanIndicativo[[#This Row],[Total (2020)]]+PlanIndicativo[[#This Row],[Total  (2021)]]+PlanIndicativo[[#This Row],[Total  (2022)]]+PlanIndicativo[[#This Row],[Total (2023)]]</f>
        <v>10961426.086956521</v>
      </c>
      <c r="BW222" s="22" t="s">
        <v>442</v>
      </c>
    </row>
    <row r="223" spans="1:75" ht="21" customHeight="1" x14ac:dyDescent="0.25">
      <c r="A223" s="7">
        <v>3</v>
      </c>
      <c r="B223" s="8" t="s">
        <v>669</v>
      </c>
      <c r="C223" s="7" t="s">
        <v>670</v>
      </c>
      <c r="D223" s="7" t="s">
        <v>671</v>
      </c>
      <c r="E223" s="7" t="s">
        <v>672</v>
      </c>
      <c r="F223" s="8" t="s">
        <v>673</v>
      </c>
      <c r="G223" s="7" t="s">
        <v>674</v>
      </c>
      <c r="H223" s="8" t="s">
        <v>675</v>
      </c>
      <c r="I223" s="9">
        <v>3204025</v>
      </c>
      <c r="J223" s="25" t="s">
        <v>706</v>
      </c>
      <c r="K223" s="25" t="s">
        <v>686</v>
      </c>
      <c r="L223" s="25" t="s">
        <v>678</v>
      </c>
      <c r="M223" s="25" t="s">
        <v>243</v>
      </c>
      <c r="N223" s="25" t="s">
        <v>86</v>
      </c>
      <c r="O223" s="25"/>
      <c r="P223" s="33">
        <v>320402500</v>
      </c>
      <c r="Q223" s="25" t="s">
        <v>707</v>
      </c>
      <c r="R223" s="31" t="s">
        <v>88</v>
      </c>
      <c r="S223" s="13" t="s">
        <v>93</v>
      </c>
      <c r="T223" s="36">
        <v>0</v>
      </c>
      <c r="U223" s="37">
        <v>40</v>
      </c>
      <c r="V223" s="38">
        <v>10</v>
      </c>
      <c r="W223" s="38">
        <v>10</v>
      </c>
      <c r="X223" s="38">
        <v>10</v>
      </c>
      <c r="Y223" s="38">
        <v>10</v>
      </c>
      <c r="Z223" s="17">
        <f t="shared" si="117"/>
        <v>652173.91304347827</v>
      </c>
      <c r="AA223" s="17">
        <v>0</v>
      </c>
      <c r="AB223" s="17">
        <v>0</v>
      </c>
      <c r="AC223" s="17">
        <v>0</v>
      </c>
      <c r="AD223" s="17">
        <v>0</v>
      </c>
      <c r="AE223" s="17">
        <f t="shared" si="118"/>
        <v>3001634.7826086958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8">
        <f>SUM(PlanIndicativo[[#This Row],[Ingresos Corrientes de Libre Destinación - ICLD (2020)]:[Otros (2020)]])</f>
        <v>3653808.6956521738</v>
      </c>
      <c r="AL223" s="17">
        <f t="shared" si="115"/>
        <v>652173.91304347827</v>
      </c>
      <c r="AM223" s="17">
        <v>0</v>
      </c>
      <c r="AN223" s="17">
        <v>0</v>
      </c>
      <c r="AO223" s="17">
        <v>0</v>
      </c>
      <c r="AP223" s="17">
        <v>0</v>
      </c>
      <c r="AQ223" s="17">
        <f t="shared" si="116"/>
        <v>3001634.7826086958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9">
        <f>SUM(PlanIndicativo[[#This Row],[Ingresos Corrientes de Libre Destinación - ICLD (2021)]:[Otros  (2021)]])</f>
        <v>3653808.6956521738</v>
      </c>
      <c r="AX223" s="17">
        <f t="shared" si="111"/>
        <v>652173.91304347827</v>
      </c>
      <c r="AY223" s="17">
        <v>0</v>
      </c>
      <c r="AZ223" s="17">
        <v>0</v>
      </c>
      <c r="BA223" s="17">
        <v>0</v>
      </c>
      <c r="BB223" s="17">
        <v>0</v>
      </c>
      <c r="BC223" s="17">
        <f t="shared" si="112"/>
        <v>3001634.7826086958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20">
        <f>SUM(PlanIndicativo[[#This Row],[Ingresos Corrientes de Libre Destinación - ICLD (2022)]:[Otros   (2022)]])</f>
        <v>3653808.6956521738</v>
      </c>
      <c r="BJ223" s="17">
        <f t="shared" si="113"/>
        <v>652173.91304347827</v>
      </c>
      <c r="BK223" s="17">
        <v>0</v>
      </c>
      <c r="BL223" s="17">
        <v>0</v>
      </c>
      <c r="BM223" s="17">
        <v>0</v>
      </c>
      <c r="BN223" s="17">
        <v>0</v>
      </c>
      <c r="BO223" s="17">
        <f t="shared" si="114"/>
        <v>3001634.7826086958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f>SUM(PlanIndicativo[[#This Row],[Ingresos Corrientes de Libre Destinación - ICLD (2023)]:[Otros (2023)]])</f>
        <v>3653808.6956521738</v>
      </c>
      <c r="BV223" s="21">
        <f>+PlanIndicativo[[#This Row],[Total (2020)]]+PlanIndicativo[[#This Row],[Total  (2021)]]+PlanIndicativo[[#This Row],[Total  (2022)]]+PlanIndicativo[[#This Row],[Total (2023)]]</f>
        <v>14615234.782608695</v>
      </c>
      <c r="BW223" s="22" t="s">
        <v>442</v>
      </c>
    </row>
    <row r="224" spans="1:75" ht="21" customHeight="1" x14ac:dyDescent="0.25">
      <c r="A224" s="7">
        <v>3</v>
      </c>
      <c r="B224" s="8" t="s">
        <v>669</v>
      </c>
      <c r="C224" s="7" t="s">
        <v>670</v>
      </c>
      <c r="D224" s="7" t="s">
        <v>671</v>
      </c>
      <c r="E224" s="7" t="s">
        <v>672</v>
      </c>
      <c r="F224" s="8" t="s">
        <v>673</v>
      </c>
      <c r="G224" s="7" t="s">
        <v>674</v>
      </c>
      <c r="H224" s="8" t="s">
        <v>675</v>
      </c>
      <c r="I224" s="9">
        <v>3205006</v>
      </c>
      <c r="J224" s="25" t="s">
        <v>708</v>
      </c>
      <c r="K224" s="25" t="s">
        <v>686</v>
      </c>
      <c r="L224" s="25" t="s">
        <v>678</v>
      </c>
      <c r="M224" s="25" t="s">
        <v>243</v>
      </c>
      <c r="N224" s="25" t="s">
        <v>86</v>
      </c>
      <c r="O224" s="25"/>
      <c r="P224" s="9">
        <v>320500600</v>
      </c>
      <c r="Q224" s="25" t="s">
        <v>623</v>
      </c>
      <c r="R224" s="12" t="s">
        <v>88</v>
      </c>
      <c r="S224" s="13" t="s">
        <v>93</v>
      </c>
      <c r="T224" s="14">
        <v>0</v>
      </c>
      <c r="U224" s="15">
        <v>4</v>
      </c>
      <c r="V224" s="30">
        <v>1</v>
      </c>
      <c r="W224" s="30">
        <v>1</v>
      </c>
      <c r="X224" s="30">
        <v>1</v>
      </c>
      <c r="Y224" s="30">
        <v>1</v>
      </c>
      <c r="Z224" s="17">
        <f>15000000/23*2</f>
        <v>1304347.8260869565</v>
      </c>
      <c r="AA224" s="17">
        <v>0</v>
      </c>
      <c r="AB224" s="17">
        <v>0</v>
      </c>
      <c r="AC224" s="17">
        <v>0</v>
      </c>
      <c r="AD224" s="17">
        <v>0</v>
      </c>
      <c r="AE224" s="17">
        <f>69037600/23*2</f>
        <v>6003269.5652173916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8">
        <f>SUM(PlanIndicativo[[#This Row],[Ingresos Corrientes de Libre Destinación - ICLD (2020)]:[Otros (2020)]])</f>
        <v>7307617.3913043477</v>
      </c>
      <c r="AL224" s="17">
        <f>15000000/23*2</f>
        <v>1304347.8260869565</v>
      </c>
      <c r="AM224" s="17">
        <v>0</v>
      </c>
      <c r="AN224" s="17">
        <v>0</v>
      </c>
      <c r="AO224" s="17">
        <v>0</v>
      </c>
      <c r="AP224" s="17">
        <v>0</v>
      </c>
      <c r="AQ224" s="17">
        <f>69037600/23*2</f>
        <v>6003269.5652173916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9">
        <f>SUM(PlanIndicativo[[#This Row],[Ingresos Corrientes de Libre Destinación - ICLD (2021)]:[Otros  (2021)]])</f>
        <v>7307617.3913043477</v>
      </c>
      <c r="AX224" s="17">
        <f t="shared" si="111"/>
        <v>652173.91304347827</v>
      </c>
      <c r="AY224" s="17">
        <v>0</v>
      </c>
      <c r="AZ224" s="17">
        <v>0</v>
      </c>
      <c r="BA224" s="17">
        <v>0</v>
      </c>
      <c r="BB224" s="17">
        <v>0</v>
      </c>
      <c r="BC224" s="17">
        <f t="shared" si="112"/>
        <v>3001634.7826086958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20">
        <f>SUM(PlanIndicativo[[#This Row],[Ingresos Corrientes de Libre Destinación - ICLD (2022)]:[Otros   (2022)]])</f>
        <v>3653808.6956521738</v>
      </c>
      <c r="BJ224" s="17">
        <f t="shared" si="113"/>
        <v>652173.91304347827</v>
      </c>
      <c r="BK224" s="17">
        <v>0</v>
      </c>
      <c r="BL224" s="17">
        <v>0</v>
      </c>
      <c r="BM224" s="17">
        <v>0</v>
      </c>
      <c r="BN224" s="17">
        <v>0</v>
      </c>
      <c r="BO224" s="17">
        <f t="shared" si="114"/>
        <v>3001634.7826086958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21">
        <f>SUM(PlanIndicativo[[#This Row],[Ingresos Corrientes de Libre Destinación - ICLD (2023)]:[Otros (2023)]])</f>
        <v>3653808.6956521738</v>
      </c>
      <c r="BV224" s="21">
        <f>+PlanIndicativo[[#This Row],[Total (2020)]]+PlanIndicativo[[#This Row],[Total  (2021)]]+PlanIndicativo[[#This Row],[Total  (2022)]]+PlanIndicativo[[#This Row],[Total (2023)]]</f>
        <v>21922852.173913039</v>
      </c>
      <c r="BW224" s="22" t="s">
        <v>442</v>
      </c>
    </row>
    <row r="225" spans="1:75" ht="21" customHeight="1" x14ac:dyDescent="0.25">
      <c r="A225" s="7">
        <v>3</v>
      </c>
      <c r="B225" s="8" t="s">
        <v>669</v>
      </c>
      <c r="C225" s="7" t="s">
        <v>670</v>
      </c>
      <c r="D225" s="7" t="s">
        <v>671</v>
      </c>
      <c r="E225" s="7" t="s">
        <v>672</v>
      </c>
      <c r="F225" s="8" t="s">
        <v>673</v>
      </c>
      <c r="G225" s="7" t="s">
        <v>674</v>
      </c>
      <c r="H225" s="8" t="s">
        <v>675</v>
      </c>
      <c r="I225" s="9">
        <v>3205021</v>
      </c>
      <c r="J225" s="25" t="s">
        <v>709</v>
      </c>
      <c r="K225" s="25" t="s">
        <v>690</v>
      </c>
      <c r="L225" s="25" t="s">
        <v>678</v>
      </c>
      <c r="M225" s="25" t="s">
        <v>243</v>
      </c>
      <c r="N225" s="25" t="s">
        <v>86</v>
      </c>
      <c r="O225" s="25"/>
      <c r="P225" s="9">
        <v>320502100</v>
      </c>
      <c r="Q225" s="25" t="s">
        <v>710</v>
      </c>
      <c r="R225" s="12" t="s">
        <v>88</v>
      </c>
      <c r="S225" s="13" t="s">
        <v>93</v>
      </c>
      <c r="T225" s="14">
        <v>0</v>
      </c>
      <c r="U225" s="15">
        <v>1</v>
      </c>
      <c r="V225" s="30">
        <v>0</v>
      </c>
      <c r="W225" s="30">
        <v>0</v>
      </c>
      <c r="X225" s="30">
        <v>1</v>
      </c>
      <c r="Y225" s="30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8">
        <f>SUM(PlanIndicativo[[#This Row],[Ingresos Corrientes de Libre Destinación - ICLD (2020)]:[Otros (2020)]])</f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9">
        <f>SUM(PlanIndicativo[[#This Row],[Ingresos Corrientes de Libre Destinación - ICLD (2021)]:[Otros  (2021)]])</f>
        <v>0</v>
      </c>
      <c r="AX225" s="17">
        <f t="shared" si="111"/>
        <v>652173.91304347827</v>
      </c>
      <c r="AY225" s="17">
        <v>0</v>
      </c>
      <c r="AZ225" s="17">
        <v>0</v>
      </c>
      <c r="BA225" s="17">
        <v>0</v>
      </c>
      <c r="BB225" s="17">
        <v>0</v>
      </c>
      <c r="BC225" s="17">
        <f t="shared" si="112"/>
        <v>3001634.7826086958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20">
        <f>SUM(PlanIndicativo[[#This Row],[Ingresos Corrientes de Libre Destinación - ICLD (2022)]:[Otros   (2022)]])</f>
        <v>3653808.6956521738</v>
      </c>
      <c r="BJ225" s="17">
        <f t="shared" si="113"/>
        <v>652173.91304347827</v>
      </c>
      <c r="BK225" s="17">
        <v>0</v>
      </c>
      <c r="BL225" s="17">
        <v>0</v>
      </c>
      <c r="BM225" s="17">
        <v>0</v>
      </c>
      <c r="BN225" s="17">
        <v>0</v>
      </c>
      <c r="BO225" s="17">
        <f t="shared" si="114"/>
        <v>3001634.7826086958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21">
        <f>SUM(PlanIndicativo[[#This Row],[Ingresos Corrientes de Libre Destinación - ICLD (2023)]:[Otros (2023)]])</f>
        <v>3653808.6956521738</v>
      </c>
      <c r="BV225" s="21">
        <f>+PlanIndicativo[[#This Row],[Total (2020)]]+PlanIndicativo[[#This Row],[Total  (2021)]]+PlanIndicativo[[#This Row],[Total  (2022)]]+PlanIndicativo[[#This Row],[Total (2023)]]</f>
        <v>7307617.3913043477</v>
      </c>
      <c r="BW225" s="22" t="s">
        <v>442</v>
      </c>
    </row>
    <row r="226" spans="1:75" ht="21" customHeight="1" x14ac:dyDescent="0.25">
      <c r="A226" s="7">
        <v>3</v>
      </c>
      <c r="B226" s="8" t="s">
        <v>669</v>
      </c>
      <c r="C226" s="7" t="s">
        <v>670</v>
      </c>
      <c r="D226" s="7" t="s">
        <v>671</v>
      </c>
      <c r="E226" s="7" t="s">
        <v>672</v>
      </c>
      <c r="F226" s="8" t="s">
        <v>673</v>
      </c>
      <c r="G226" s="7" t="s">
        <v>711</v>
      </c>
      <c r="H226" s="8" t="s">
        <v>712</v>
      </c>
      <c r="I226" s="9">
        <v>3206013</v>
      </c>
      <c r="J226" s="25" t="s">
        <v>713</v>
      </c>
      <c r="K226" s="32" t="s">
        <v>714</v>
      </c>
      <c r="L226" s="25" t="s">
        <v>678</v>
      </c>
      <c r="M226" s="25" t="s">
        <v>243</v>
      </c>
      <c r="N226" s="25" t="s">
        <v>86</v>
      </c>
      <c r="O226" s="25"/>
      <c r="P226" s="9">
        <v>320601300</v>
      </c>
      <c r="Q226" s="25" t="s">
        <v>715</v>
      </c>
      <c r="R226" s="12" t="s">
        <v>688</v>
      </c>
      <c r="S226" s="13" t="s">
        <v>93</v>
      </c>
      <c r="T226" s="14">
        <v>0</v>
      </c>
      <c r="U226" s="15">
        <v>2</v>
      </c>
      <c r="V226" s="30">
        <v>0</v>
      </c>
      <c r="W226" s="30">
        <v>0.6</v>
      </c>
      <c r="X226" s="30">
        <v>0.7</v>
      </c>
      <c r="Y226" s="30">
        <v>0.7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8">
        <f>SUM(PlanIndicativo[[#This Row],[Ingresos Corrientes de Libre Destinación - ICLD (2020)]:[Otros (2020)]])</f>
        <v>0</v>
      </c>
      <c r="AL226" s="17">
        <f t="shared" si="115"/>
        <v>652173.91304347827</v>
      </c>
      <c r="AM226" s="17">
        <v>0</v>
      </c>
      <c r="AN226" s="17">
        <v>0</v>
      </c>
      <c r="AO226" s="17">
        <v>0</v>
      </c>
      <c r="AP226" s="17">
        <v>0</v>
      </c>
      <c r="AQ226" s="17">
        <f t="shared" si="116"/>
        <v>3001634.7826086958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9">
        <f>SUM(PlanIndicativo[[#This Row],[Ingresos Corrientes de Libre Destinación - ICLD (2021)]:[Otros  (2021)]])</f>
        <v>3653808.6956521738</v>
      </c>
      <c r="AX226" s="17">
        <f t="shared" si="111"/>
        <v>652173.91304347827</v>
      </c>
      <c r="AY226" s="17">
        <v>0</v>
      </c>
      <c r="AZ226" s="17">
        <v>0</v>
      </c>
      <c r="BA226" s="17">
        <v>0</v>
      </c>
      <c r="BB226" s="17">
        <v>0</v>
      </c>
      <c r="BC226" s="17">
        <f t="shared" si="112"/>
        <v>3001634.7826086958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20">
        <f>SUM(PlanIndicativo[[#This Row],[Ingresos Corrientes de Libre Destinación - ICLD (2022)]:[Otros   (2022)]])</f>
        <v>3653808.6956521738</v>
      </c>
      <c r="BJ226" s="17">
        <f t="shared" si="113"/>
        <v>652173.91304347827</v>
      </c>
      <c r="BK226" s="17">
        <v>0</v>
      </c>
      <c r="BL226" s="17">
        <v>0</v>
      </c>
      <c r="BM226" s="17">
        <v>0</v>
      </c>
      <c r="BN226" s="17">
        <v>0</v>
      </c>
      <c r="BO226" s="17">
        <f t="shared" si="114"/>
        <v>3001634.7826086958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21">
        <f>SUM(PlanIndicativo[[#This Row],[Ingresos Corrientes de Libre Destinación - ICLD (2023)]:[Otros (2023)]])</f>
        <v>3653808.6956521738</v>
      </c>
      <c r="BV226" s="21">
        <f>+PlanIndicativo[[#This Row],[Total (2020)]]+PlanIndicativo[[#This Row],[Total  (2021)]]+PlanIndicativo[[#This Row],[Total  (2022)]]+PlanIndicativo[[#This Row],[Total (2023)]]</f>
        <v>10961426.086956521</v>
      </c>
      <c r="BW226" s="22" t="s">
        <v>442</v>
      </c>
    </row>
    <row r="227" spans="1:75" ht="21" customHeight="1" x14ac:dyDescent="0.25">
      <c r="A227" s="7">
        <v>3</v>
      </c>
      <c r="B227" s="8" t="s">
        <v>669</v>
      </c>
      <c r="C227" s="7" t="s">
        <v>670</v>
      </c>
      <c r="D227" s="7" t="s">
        <v>671</v>
      </c>
      <c r="E227" s="7" t="s">
        <v>672</v>
      </c>
      <c r="F227" s="8" t="s">
        <v>673</v>
      </c>
      <c r="G227" s="7" t="s">
        <v>711</v>
      </c>
      <c r="H227" s="8" t="s">
        <v>712</v>
      </c>
      <c r="I227" s="9">
        <v>3206004</v>
      </c>
      <c r="J227" s="25" t="s">
        <v>716</v>
      </c>
      <c r="K227" s="32" t="s">
        <v>714</v>
      </c>
      <c r="L227" s="25" t="s">
        <v>678</v>
      </c>
      <c r="M227" s="25" t="s">
        <v>243</v>
      </c>
      <c r="N227" s="25" t="s">
        <v>86</v>
      </c>
      <c r="O227" s="25"/>
      <c r="P227" s="9">
        <v>320600400</v>
      </c>
      <c r="Q227" s="25" t="s">
        <v>717</v>
      </c>
      <c r="R227" s="12" t="s">
        <v>88</v>
      </c>
      <c r="S227" s="13" t="s">
        <v>93</v>
      </c>
      <c r="T227" s="14">
        <v>0</v>
      </c>
      <c r="U227" s="15">
        <v>1000</v>
      </c>
      <c r="V227" s="30">
        <v>250</v>
      </c>
      <c r="W227" s="30">
        <v>250</v>
      </c>
      <c r="X227" s="30">
        <v>250</v>
      </c>
      <c r="Y227" s="30">
        <v>250</v>
      </c>
      <c r="Z227" s="17">
        <f>15000000/23*2</f>
        <v>1304347.8260869565</v>
      </c>
      <c r="AA227" s="17">
        <v>0</v>
      </c>
      <c r="AB227" s="17">
        <v>0</v>
      </c>
      <c r="AC227" s="17">
        <v>0</v>
      </c>
      <c r="AD227" s="17">
        <v>0</v>
      </c>
      <c r="AE227" s="17">
        <f>69037600/23*2</f>
        <v>6003269.5652173916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8">
        <f>SUM(PlanIndicativo[[#This Row],[Ingresos Corrientes de Libre Destinación - ICLD (2020)]:[Otros (2020)]])</f>
        <v>7307617.3913043477</v>
      </c>
      <c r="AL227" s="17">
        <f t="shared" si="115"/>
        <v>652173.91304347827</v>
      </c>
      <c r="AM227" s="17">
        <v>0</v>
      </c>
      <c r="AN227" s="17">
        <v>0</v>
      </c>
      <c r="AO227" s="17">
        <v>0</v>
      </c>
      <c r="AP227" s="17">
        <v>0</v>
      </c>
      <c r="AQ227" s="17">
        <f t="shared" si="116"/>
        <v>3001634.7826086958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9">
        <f>SUM(PlanIndicativo[[#This Row],[Ingresos Corrientes de Libre Destinación - ICLD (2021)]:[Otros  (2021)]])</f>
        <v>3653808.6956521738</v>
      </c>
      <c r="AX227" s="17">
        <f t="shared" si="111"/>
        <v>652173.91304347827</v>
      </c>
      <c r="AY227" s="17">
        <v>0</v>
      </c>
      <c r="AZ227" s="17">
        <v>0</v>
      </c>
      <c r="BA227" s="17">
        <v>0</v>
      </c>
      <c r="BB227" s="17">
        <v>0</v>
      </c>
      <c r="BC227" s="17">
        <f t="shared" si="112"/>
        <v>3001634.7826086958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20">
        <f>SUM(PlanIndicativo[[#This Row],[Ingresos Corrientes de Libre Destinación - ICLD (2022)]:[Otros   (2022)]])</f>
        <v>3653808.6956521738</v>
      </c>
      <c r="BJ227" s="17">
        <f t="shared" si="113"/>
        <v>652173.91304347827</v>
      </c>
      <c r="BK227" s="17">
        <v>0</v>
      </c>
      <c r="BL227" s="17">
        <v>0</v>
      </c>
      <c r="BM227" s="17">
        <v>0</v>
      </c>
      <c r="BN227" s="17">
        <v>0</v>
      </c>
      <c r="BO227" s="17">
        <f t="shared" si="114"/>
        <v>3001634.7826086958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21">
        <f>SUM(PlanIndicativo[[#This Row],[Ingresos Corrientes de Libre Destinación - ICLD (2023)]:[Otros (2023)]])</f>
        <v>3653808.6956521738</v>
      </c>
      <c r="BV227" s="21">
        <f>+PlanIndicativo[[#This Row],[Total (2020)]]+PlanIndicativo[[#This Row],[Total  (2021)]]+PlanIndicativo[[#This Row],[Total  (2022)]]+PlanIndicativo[[#This Row],[Total (2023)]]</f>
        <v>18269043.478260867</v>
      </c>
      <c r="BW227" s="22" t="s">
        <v>442</v>
      </c>
    </row>
    <row r="228" spans="1:75" ht="21" customHeight="1" x14ac:dyDescent="0.25">
      <c r="A228" s="7">
        <v>3</v>
      </c>
      <c r="B228" s="8" t="s">
        <v>669</v>
      </c>
      <c r="C228" s="7" t="s">
        <v>670</v>
      </c>
      <c r="D228" s="7" t="s">
        <v>671</v>
      </c>
      <c r="E228" s="7" t="s">
        <v>672</v>
      </c>
      <c r="F228" s="8" t="s">
        <v>673</v>
      </c>
      <c r="G228" s="7" t="s">
        <v>711</v>
      </c>
      <c r="H228" s="8" t="s">
        <v>712</v>
      </c>
      <c r="I228" s="9">
        <v>3206005</v>
      </c>
      <c r="J228" s="25" t="s">
        <v>718</v>
      </c>
      <c r="K228" s="32" t="s">
        <v>714</v>
      </c>
      <c r="L228" s="25" t="s">
        <v>678</v>
      </c>
      <c r="M228" s="25" t="s">
        <v>243</v>
      </c>
      <c r="N228" s="25" t="s">
        <v>86</v>
      </c>
      <c r="O228" s="25"/>
      <c r="P228" s="9">
        <v>320600500</v>
      </c>
      <c r="Q228" s="25" t="s">
        <v>719</v>
      </c>
      <c r="R228" s="12" t="s">
        <v>88</v>
      </c>
      <c r="S228" s="13" t="s">
        <v>93</v>
      </c>
      <c r="T228" s="14">
        <v>0</v>
      </c>
      <c r="U228" s="15">
        <v>12</v>
      </c>
      <c r="V228" s="30">
        <v>3</v>
      </c>
      <c r="W228" s="30">
        <v>3</v>
      </c>
      <c r="X228" s="30">
        <v>3</v>
      </c>
      <c r="Y228" s="30">
        <v>3</v>
      </c>
      <c r="Z228" s="17">
        <f t="shared" si="117"/>
        <v>652173.91304347827</v>
      </c>
      <c r="AA228" s="17">
        <v>0</v>
      </c>
      <c r="AB228" s="17">
        <v>0</v>
      </c>
      <c r="AC228" s="17">
        <v>0</v>
      </c>
      <c r="AD228" s="17">
        <v>0</v>
      </c>
      <c r="AE228" s="17">
        <f t="shared" si="118"/>
        <v>3001634.7826086958</v>
      </c>
      <c r="AF228" s="17">
        <v>0</v>
      </c>
      <c r="AG228" s="17">
        <v>0</v>
      </c>
      <c r="AH228" s="17">
        <v>0</v>
      </c>
      <c r="AI228" s="17">
        <v>0</v>
      </c>
      <c r="AJ228" s="17">
        <v>0</v>
      </c>
      <c r="AK228" s="18">
        <f>SUM(PlanIndicativo[[#This Row],[Ingresos Corrientes de Libre Destinación - ICLD (2020)]:[Otros (2020)]])</f>
        <v>3653808.6956521738</v>
      </c>
      <c r="AL228" s="17">
        <f>15000000/23*2</f>
        <v>1304347.8260869565</v>
      </c>
      <c r="AM228" s="17">
        <v>0</v>
      </c>
      <c r="AN228" s="17">
        <v>0</v>
      </c>
      <c r="AO228" s="17">
        <v>0</v>
      </c>
      <c r="AP228" s="17">
        <v>0</v>
      </c>
      <c r="AQ228" s="17">
        <f>69037600/23*2</f>
        <v>6003269.5652173916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9">
        <f>SUM(PlanIndicativo[[#This Row],[Ingresos Corrientes de Libre Destinación - ICLD (2021)]:[Otros  (2021)]])</f>
        <v>7307617.3913043477</v>
      </c>
      <c r="AX228" s="17">
        <f t="shared" si="111"/>
        <v>652173.91304347827</v>
      </c>
      <c r="AY228" s="17">
        <v>0</v>
      </c>
      <c r="AZ228" s="17">
        <v>0</v>
      </c>
      <c r="BA228" s="17">
        <v>0</v>
      </c>
      <c r="BB228" s="17">
        <v>0</v>
      </c>
      <c r="BC228" s="17">
        <f t="shared" si="112"/>
        <v>3001634.7826086958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20">
        <f>SUM(PlanIndicativo[[#This Row],[Ingresos Corrientes de Libre Destinación - ICLD (2022)]:[Otros   (2022)]])</f>
        <v>3653808.6956521738</v>
      </c>
      <c r="BJ228" s="17">
        <f t="shared" si="113"/>
        <v>652173.91304347827</v>
      </c>
      <c r="BK228" s="17">
        <v>0</v>
      </c>
      <c r="BL228" s="17">
        <v>0</v>
      </c>
      <c r="BM228" s="17">
        <v>0</v>
      </c>
      <c r="BN228" s="17">
        <v>0</v>
      </c>
      <c r="BO228" s="17">
        <f t="shared" si="114"/>
        <v>3001634.7826086958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21">
        <f>SUM(PlanIndicativo[[#This Row],[Ingresos Corrientes de Libre Destinación - ICLD (2023)]:[Otros (2023)]])</f>
        <v>3653808.6956521738</v>
      </c>
      <c r="BV228" s="21">
        <f>+PlanIndicativo[[#This Row],[Total (2020)]]+PlanIndicativo[[#This Row],[Total  (2021)]]+PlanIndicativo[[#This Row],[Total  (2022)]]+PlanIndicativo[[#This Row],[Total (2023)]]</f>
        <v>18269043.478260867</v>
      </c>
      <c r="BW228" s="22" t="s">
        <v>442</v>
      </c>
    </row>
    <row r="229" spans="1:75" ht="21" customHeight="1" x14ac:dyDescent="0.25">
      <c r="A229" s="7">
        <v>3</v>
      </c>
      <c r="B229" s="8" t="s">
        <v>669</v>
      </c>
      <c r="C229" s="7" t="s">
        <v>670</v>
      </c>
      <c r="D229" s="7" t="s">
        <v>671</v>
      </c>
      <c r="E229" s="7" t="s">
        <v>672</v>
      </c>
      <c r="F229" s="8" t="s">
        <v>673</v>
      </c>
      <c r="G229" s="7" t="s">
        <v>711</v>
      </c>
      <c r="H229" s="8" t="s">
        <v>712</v>
      </c>
      <c r="I229" s="9">
        <v>3206001</v>
      </c>
      <c r="J229" s="25" t="s">
        <v>720</v>
      </c>
      <c r="K229" s="32" t="s">
        <v>714</v>
      </c>
      <c r="L229" s="25" t="s">
        <v>678</v>
      </c>
      <c r="M229" s="25" t="s">
        <v>243</v>
      </c>
      <c r="N229" s="25" t="s">
        <v>86</v>
      </c>
      <c r="O229" s="25"/>
      <c r="P229" s="9">
        <v>320600100</v>
      </c>
      <c r="Q229" s="25" t="s">
        <v>721</v>
      </c>
      <c r="R229" s="12" t="s">
        <v>88</v>
      </c>
      <c r="S229" s="13" t="s">
        <v>93</v>
      </c>
      <c r="T229" s="14">
        <v>0</v>
      </c>
      <c r="U229" s="15">
        <v>1</v>
      </c>
      <c r="V229" s="30">
        <v>1</v>
      </c>
      <c r="W229" s="30">
        <v>0</v>
      </c>
      <c r="X229" s="30">
        <v>0</v>
      </c>
      <c r="Y229" s="30">
        <v>0</v>
      </c>
      <c r="Z229" s="17">
        <f>15000000/23*2</f>
        <v>1304347.8260869565</v>
      </c>
      <c r="AA229" s="17">
        <v>0</v>
      </c>
      <c r="AB229" s="17">
        <v>0</v>
      </c>
      <c r="AC229" s="17">
        <v>0</v>
      </c>
      <c r="AD229" s="17">
        <v>0</v>
      </c>
      <c r="AE229" s="17">
        <f>69037600/23*2</f>
        <v>6003269.5652173916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8">
        <f>SUM(PlanIndicativo[[#This Row],[Ingresos Corrientes de Libre Destinación - ICLD (2020)]:[Otros (2020)]])</f>
        <v>7307617.3913043477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9">
        <f>SUM(PlanIndicativo[[#This Row],[Ingresos Corrientes de Libre Destinación - ICLD (2021)]:[Otros  (2021)]])</f>
        <v>0</v>
      </c>
      <c r="AX229" s="17">
        <f t="shared" si="111"/>
        <v>652173.91304347827</v>
      </c>
      <c r="AY229" s="17">
        <v>0</v>
      </c>
      <c r="AZ229" s="17">
        <v>0</v>
      </c>
      <c r="BA229" s="17">
        <v>0</v>
      </c>
      <c r="BB229" s="17">
        <v>0</v>
      </c>
      <c r="BC229" s="17">
        <f t="shared" si="112"/>
        <v>3001634.7826086958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20">
        <f>SUM(PlanIndicativo[[#This Row],[Ingresos Corrientes de Libre Destinación - ICLD (2022)]:[Otros   (2022)]])</f>
        <v>3653808.6956521738</v>
      </c>
      <c r="BJ229" s="17">
        <f t="shared" si="113"/>
        <v>652173.91304347827</v>
      </c>
      <c r="BK229" s="17">
        <v>0</v>
      </c>
      <c r="BL229" s="17">
        <v>0</v>
      </c>
      <c r="BM229" s="17">
        <v>0</v>
      </c>
      <c r="BN229" s="17">
        <v>0</v>
      </c>
      <c r="BO229" s="17">
        <f t="shared" si="114"/>
        <v>3001634.7826086958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21">
        <f>SUM(PlanIndicativo[[#This Row],[Ingresos Corrientes de Libre Destinación - ICLD (2023)]:[Otros (2023)]])</f>
        <v>3653808.6956521738</v>
      </c>
      <c r="BV229" s="21">
        <f>+PlanIndicativo[[#This Row],[Total (2020)]]+PlanIndicativo[[#This Row],[Total  (2021)]]+PlanIndicativo[[#This Row],[Total  (2022)]]+PlanIndicativo[[#This Row],[Total (2023)]]</f>
        <v>14615234.782608695</v>
      </c>
      <c r="BW229" s="22" t="s">
        <v>442</v>
      </c>
    </row>
    <row r="230" spans="1:75" ht="21" customHeight="1" x14ac:dyDescent="0.25">
      <c r="A230" s="7">
        <v>3</v>
      </c>
      <c r="B230" s="8" t="s">
        <v>669</v>
      </c>
      <c r="C230" s="7" t="s">
        <v>670</v>
      </c>
      <c r="D230" s="7" t="s">
        <v>671</v>
      </c>
      <c r="E230" s="7" t="s">
        <v>672</v>
      </c>
      <c r="F230" s="8" t="s">
        <v>673</v>
      </c>
      <c r="G230" s="7" t="s">
        <v>711</v>
      </c>
      <c r="H230" s="8" t="s">
        <v>712</v>
      </c>
      <c r="I230" s="9">
        <v>3206015</v>
      </c>
      <c r="J230" s="25" t="s">
        <v>722</v>
      </c>
      <c r="K230" s="32" t="s">
        <v>714</v>
      </c>
      <c r="L230" s="25" t="s">
        <v>678</v>
      </c>
      <c r="M230" s="25" t="s">
        <v>243</v>
      </c>
      <c r="N230" s="25" t="s">
        <v>86</v>
      </c>
      <c r="O230" s="25"/>
      <c r="P230" s="9">
        <v>320601500</v>
      </c>
      <c r="Q230" s="25" t="s">
        <v>723</v>
      </c>
      <c r="R230" s="12" t="s">
        <v>88</v>
      </c>
      <c r="S230" s="13" t="s">
        <v>93</v>
      </c>
      <c r="T230" s="14">
        <v>0</v>
      </c>
      <c r="U230" s="15">
        <v>50</v>
      </c>
      <c r="V230" s="30">
        <v>0</v>
      </c>
      <c r="W230" s="30">
        <v>10</v>
      </c>
      <c r="X230" s="30">
        <v>20</v>
      </c>
      <c r="Y230" s="30">
        <v>20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8">
        <f>SUM(PlanIndicativo[[#This Row],[Ingresos Corrientes de Libre Destinación - ICLD (2020)]:[Otros (2020)]])</f>
        <v>0</v>
      </c>
      <c r="AL230" s="17">
        <f t="shared" si="115"/>
        <v>652173.91304347827</v>
      </c>
      <c r="AM230" s="17">
        <v>0</v>
      </c>
      <c r="AN230" s="17">
        <v>0</v>
      </c>
      <c r="AO230" s="17">
        <v>0</v>
      </c>
      <c r="AP230" s="17">
        <v>0</v>
      </c>
      <c r="AQ230" s="17">
        <f t="shared" si="116"/>
        <v>3001634.7826086958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9">
        <f>SUM(PlanIndicativo[[#This Row],[Ingresos Corrientes de Libre Destinación - ICLD (2021)]:[Otros  (2021)]])</f>
        <v>3653808.6956521738</v>
      </c>
      <c r="AX230" s="17">
        <f t="shared" si="111"/>
        <v>652173.91304347827</v>
      </c>
      <c r="AY230" s="17">
        <v>0</v>
      </c>
      <c r="AZ230" s="17">
        <v>0</v>
      </c>
      <c r="BA230" s="17">
        <v>0</v>
      </c>
      <c r="BB230" s="17">
        <v>0</v>
      </c>
      <c r="BC230" s="17">
        <f t="shared" si="112"/>
        <v>3001634.7826086958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20">
        <f>SUM(PlanIndicativo[[#This Row],[Ingresos Corrientes de Libre Destinación - ICLD (2022)]:[Otros   (2022)]])</f>
        <v>3653808.6956521738</v>
      </c>
      <c r="BJ230" s="17">
        <f t="shared" si="113"/>
        <v>652173.91304347827</v>
      </c>
      <c r="BK230" s="17">
        <v>0</v>
      </c>
      <c r="BL230" s="17">
        <v>0</v>
      </c>
      <c r="BM230" s="17">
        <v>0</v>
      </c>
      <c r="BN230" s="17">
        <v>0</v>
      </c>
      <c r="BO230" s="17">
        <f t="shared" si="114"/>
        <v>3001634.7826086958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21">
        <f>SUM(PlanIndicativo[[#This Row],[Ingresos Corrientes de Libre Destinación - ICLD (2023)]:[Otros (2023)]])</f>
        <v>3653808.6956521738</v>
      </c>
      <c r="BV230" s="21">
        <f>+PlanIndicativo[[#This Row],[Total (2020)]]+PlanIndicativo[[#This Row],[Total  (2021)]]+PlanIndicativo[[#This Row],[Total  (2022)]]+PlanIndicativo[[#This Row],[Total (2023)]]</f>
        <v>10961426.086956521</v>
      </c>
      <c r="BW230" s="22" t="s">
        <v>442</v>
      </c>
    </row>
    <row r="231" spans="1:75" ht="21" customHeight="1" x14ac:dyDescent="0.25">
      <c r="A231" s="7">
        <v>3</v>
      </c>
      <c r="B231" s="8" t="s">
        <v>669</v>
      </c>
      <c r="C231" s="7" t="s">
        <v>670</v>
      </c>
      <c r="D231" s="7" t="s">
        <v>671</v>
      </c>
      <c r="E231" s="7" t="s">
        <v>672</v>
      </c>
      <c r="F231" s="8" t="s">
        <v>673</v>
      </c>
      <c r="G231" s="7" t="s">
        <v>711</v>
      </c>
      <c r="H231" s="8" t="s">
        <v>712</v>
      </c>
      <c r="I231" s="9">
        <v>3206014</v>
      </c>
      <c r="J231" s="25" t="s">
        <v>724</v>
      </c>
      <c r="K231" s="32" t="s">
        <v>714</v>
      </c>
      <c r="L231" s="25" t="s">
        <v>678</v>
      </c>
      <c r="M231" s="25" t="s">
        <v>243</v>
      </c>
      <c r="N231" s="25" t="s">
        <v>86</v>
      </c>
      <c r="O231" s="25"/>
      <c r="P231" s="9">
        <v>320601400</v>
      </c>
      <c r="Q231" s="25" t="s">
        <v>725</v>
      </c>
      <c r="R231" s="12" t="s">
        <v>88</v>
      </c>
      <c r="S231" s="13" t="s">
        <v>93</v>
      </c>
      <c r="T231" s="14">
        <v>0</v>
      </c>
      <c r="U231" s="15">
        <v>3000</v>
      </c>
      <c r="V231" s="30">
        <v>0</v>
      </c>
      <c r="W231" s="30">
        <v>1000</v>
      </c>
      <c r="X231" s="30">
        <v>1000</v>
      </c>
      <c r="Y231" s="30">
        <v>1000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  <c r="AE231" s="17">
        <v>0</v>
      </c>
      <c r="AF231" s="17">
        <v>0</v>
      </c>
      <c r="AG231" s="17">
        <v>0</v>
      </c>
      <c r="AH231" s="17">
        <v>0</v>
      </c>
      <c r="AI231" s="17">
        <v>0</v>
      </c>
      <c r="AJ231" s="17">
        <v>0</v>
      </c>
      <c r="AK231" s="18">
        <f>SUM(PlanIndicativo[[#This Row],[Ingresos Corrientes de Libre Destinación - ICLD (2020)]:[Otros (2020)]])</f>
        <v>0</v>
      </c>
      <c r="AL231" s="17">
        <f t="shared" si="115"/>
        <v>652173.91304347827</v>
      </c>
      <c r="AM231" s="17">
        <v>0</v>
      </c>
      <c r="AN231" s="17">
        <v>0</v>
      </c>
      <c r="AO231" s="17">
        <v>0</v>
      </c>
      <c r="AP231" s="17">
        <v>0</v>
      </c>
      <c r="AQ231" s="17">
        <f t="shared" si="116"/>
        <v>3001634.7826086958</v>
      </c>
      <c r="AR231" s="17">
        <v>0</v>
      </c>
      <c r="AS231" s="17">
        <v>0</v>
      </c>
      <c r="AT231" s="17">
        <v>0</v>
      </c>
      <c r="AU231" s="17">
        <v>0</v>
      </c>
      <c r="AV231" s="17">
        <v>0</v>
      </c>
      <c r="AW231" s="19">
        <f>SUM(PlanIndicativo[[#This Row],[Ingresos Corrientes de Libre Destinación - ICLD (2021)]:[Otros  (2021)]])</f>
        <v>3653808.6956521738</v>
      </c>
      <c r="AX231" s="17">
        <f t="shared" si="111"/>
        <v>652173.91304347827</v>
      </c>
      <c r="AY231" s="17">
        <v>0</v>
      </c>
      <c r="AZ231" s="17">
        <v>0</v>
      </c>
      <c r="BA231" s="17">
        <v>0</v>
      </c>
      <c r="BB231" s="17">
        <v>0</v>
      </c>
      <c r="BC231" s="17">
        <f t="shared" si="112"/>
        <v>3001634.7826086958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20">
        <f>SUM(PlanIndicativo[[#This Row],[Ingresos Corrientes de Libre Destinación - ICLD (2022)]:[Otros   (2022)]])</f>
        <v>3653808.6956521738</v>
      </c>
      <c r="BJ231" s="17">
        <f t="shared" si="113"/>
        <v>652173.91304347827</v>
      </c>
      <c r="BK231" s="17">
        <v>0</v>
      </c>
      <c r="BL231" s="17">
        <v>0</v>
      </c>
      <c r="BM231" s="17">
        <v>0</v>
      </c>
      <c r="BN231" s="17">
        <v>0</v>
      </c>
      <c r="BO231" s="17">
        <f t="shared" si="114"/>
        <v>3001634.7826086958</v>
      </c>
      <c r="BP231" s="17">
        <v>0</v>
      </c>
      <c r="BQ231" s="17">
        <v>0</v>
      </c>
      <c r="BR231" s="17">
        <v>0</v>
      </c>
      <c r="BS231" s="17">
        <v>0</v>
      </c>
      <c r="BT231" s="17">
        <v>0</v>
      </c>
      <c r="BU231" s="21">
        <f>SUM(PlanIndicativo[[#This Row],[Ingresos Corrientes de Libre Destinación - ICLD (2023)]:[Otros (2023)]])</f>
        <v>3653808.6956521738</v>
      </c>
      <c r="BV231" s="21">
        <f>+PlanIndicativo[[#This Row],[Total (2020)]]+PlanIndicativo[[#This Row],[Total  (2021)]]+PlanIndicativo[[#This Row],[Total  (2022)]]+PlanIndicativo[[#This Row],[Total (2023)]]</f>
        <v>10961426.086956521</v>
      </c>
      <c r="BW231" s="22" t="s">
        <v>442</v>
      </c>
    </row>
    <row r="232" spans="1:75" ht="21" customHeight="1" x14ac:dyDescent="0.25">
      <c r="A232" s="7">
        <v>3</v>
      </c>
      <c r="B232" s="8" t="s">
        <v>669</v>
      </c>
      <c r="C232" s="7" t="s">
        <v>670</v>
      </c>
      <c r="D232" s="7" t="s">
        <v>671</v>
      </c>
      <c r="E232" s="7" t="s">
        <v>672</v>
      </c>
      <c r="F232" s="8" t="s">
        <v>673</v>
      </c>
      <c r="G232" s="7" t="s">
        <v>711</v>
      </c>
      <c r="H232" s="8" t="s">
        <v>712</v>
      </c>
      <c r="I232" s="9">
        <v>3208006</v>
      </c>
      <c r="J232" s="25" t="s">
        <v>726</v>
      </c>
      <c r="K232" s="32" t="s">
        <v>714</v>
      </c>
      <c r="L232" s="25" t="s">
        <v>678</v>
      </c>
      <c r="M232" s="25" t="s">
        <v>243</v>
      </c>
      <c r="N232" s="25" t="s">
        <v>86</v>
      </c>
      <c r="O232" s="25"/>
      <c r="P232" s="9">
        <v>320800600</v>
      </c>
      <c r="Q232" s="25" t="s">
        <v>727</v>
      </c>
      <c r="R232" s="12" t="s">
        <v>88</v>
      </c>
      <c r="S232" s="13" t="s">
        <v>93</v>
      </c>
      <c r="T232" s="14">
        <v>0</v>
      </c>
      <c r="U232" s="15">
        <v>4</v>
      </c>
      <c r="V232" s="30">
        <v>1</v>
      </c>
      <c r="W232" s="30">
        <v>1</v>
      </c>
      <c r="X232" s="30">
        <v>1</v>
      </c>
      <c r="Y232" s="30">
        <v>1</v>
      </c>
      <c r="Z232" s="17">
        <f>15000000/23*2</f>
        <v>1304347.8260869565</v>
      </c>
      <c r="AA232" s="17">
        <v>0</v>
      </c>
      <c r="AB232" s="17">
        <v>0</v>
      </c>
      <c r="AC232" s="17">
        <v>0</v>
      </c>
      <c r="AD232" s="17">
        <v>0</v>
      </c>
      <c r="AE232" s="17">
        <f>69037600/23*2</f>
        <v>6003269.5652173916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8">
        <f>SUM(PlanIndicativo[[#This Row],[Ingresos Corrientes de Libre Destinación - ICLD (2020)]:[Otros (2020)]])</f>
        <v>7307617.3913043477</v>
      </c>
      <c r="AL232" s="17">
        <f t="shared" si="115"/>
        <v>652173.91304347827</v>
      </c>
      <c r="AM232" s="17">
        <v>0</v>
      </c>
      <c r="AN232" s="17">
        <v>0</v>
      </c>
      <c r="AO232" s="17">
        <v>0</v>
      </c>
      <c r="AP232" s="17">
        <v>0</v>
      </c>
      <c r="AQ232" s="17">
        <f t="shared" si="116"/>
        <v>3001634.7826086958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9">
        <f>SUM(PlanIndicativo[[#This Row],[Ingresos Corrientes de Libre Destinación - ICLD (2021)]:[Otros  (2021)]])</f>
        <v>3653808.6956521738</v>
      </c>
      <c r="AX232" s="17">
        <f t="shared" si="111"/>
        <v>652173.91304347827</v>
      </c>
      <c r="AY232" s="17">
        <v>0</v>
      </c>
      <c r="AZ232" s="17">
        <v>0</v>
      </c>
      <c r="BA232" s="17">
        <v>0</v>
      </c>
      <c r="BB232" s="17">
        <v>0</v>
      </c>
      <c r="BC232" s="17">
        <f t="shared" si="112"/>
        <v>3001634.7826086958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20">
        <f>SUM(PlanIndicativo[[#This Row],[Ingresos Corrientes de Libre Destinación - ICLD (2022)]:[Otros   (2022)]])</f>
        <v>3653808.6956521738</v>
      </c>
      <c r="BJ232" s="17">
        <f t="shared" si="113"/>
        <v>652173.91304347827</v>
      </c>
      <c r="BK232" s="17">
        <v>0</v>
      </c>
      <c r="BL232" s="17">
        <v>0</v>
      </c>
      <c r="BM232" s="17">
        <v>0</v>
      </c>
      <c r="BN232" s="17">
        <v>0</v>
      </c>
      <c r="BO232" s="17">
        <f t="shared" si="114"/>
        <v>3001634.7826086958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21">
        <f>SUM(PlanIndicativo[[#This Row],[Ingresos Corrientes de Libre Destinación - ICLD (2023)]:[Otros (2023)]])</f>
        <v>3653808.6956521738</v>
      </c>
      <c r="BV232" s="21">
        <f>+PlanIndicativo[[#This Row],[Total (2020)]]+PlanIndicativo[[#This Row],[Total  (2021)]]+PlanIndicativo[[#This Row],[Total  (2022)]]+PlanIndicativo[[#This Row],[Total (2023)]]</f>
        <v>18269043.478260867</v>
      </c>
      <c r="BW232" s="22" t="s">
        <v>442</v>
      </c>
    </row>
    <row r="233" spans="1:75" ht="21" customHeight="1" x14ac:dyDescent="0.25">
      <c r="A233" s="7">
        <v>3</v>
      </c>
      <c r="B233" s="8" t="s">
        <v>669</v>
      </c>
      <c r="C233" s="7" t="s">
        <v>670</v>
      </c>
      <c r="D233" s="7" t="s">
        <v>671</v>
      </c>
      <c r="E233" s="7" t="s">
        <v>672</v>
      </c>
      <c r="F233" s="8" t="s">
        <v>673</v>
      </c>
      <c r="G233" s="7" t="s">
        <v>711</v>
      </c>
      <c r="H233" s="8" t="s">
        <v>712</v>
      </c>
      <c r="I233" s="9">
        <v>3208008</v>
      </c>
      <c r="J233" s="25" t="s">
        <v>728</v>
      </c>
      <c r="K233" s="32" t="s">
        <v>714</v>
      </c>
      <c r="L233" s="25" t="s">
        <v>678</v>
      </c>
      <c r="M233" s="25" t="s">
        <v>243</v>
      </c>
      <c r="N233" s="25" t="s">
        <v>86</v>
      </c>
      <c r="O233" s="25"/>
      <c r="P233" s="9">
        <v>320800800</v>
      </c>
      <c r="Q233" s="25" t="s">
        <v>729</v>
      </c>
      <c r="R233" s="12" t="s">
        <v>88</v>
      </c>
      <c r="S233" s="13" t="s">
        <v>93</v>
      </c>
      <c r="T233" s="14">
        <v>0</v>
      </c>
      <c r="U233" s="15">
        <v>16</v>
      </c>
      <c r="V233" s="30">
        <v>4</v>
      </c>
      <c r="W233" s="30">
        <v>4</v>
      </c>
      <c r="X233" s="30">
        <v>4</v>
      </c>
      <c r="Y233" s="30">
        <v>4</v>
      </c>
      <c r="Z233" s="17">
        <f t="shared" si="117"/>
        <v>652173.91304347827</v>
      </c>
      <c r="AA233" s="17">
        <v>0</v>
      </c>
      <c r="AB233" s="17">
        <v>0</v>
      </c>
      <c r="AC233" s="17">
        <v>0</v>
      </c>
      <c r="AD233" s="17">
        <v>0</v>
      </c>
      <c r="AE233" s="17">
        <f t="shared" si="118"/>
        <v>3001634.7826086958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8">
        <f>SUM(PlanIndicativo[[#This Row],[Ingresos Corrientes de Libre Destinación - ICLD (2020)]:[Otros (2020)]])</f>
        <v>3653808.6956521738</v>
      </c>
      <c r="AL233" s="17">
        <f t="shared" si="115"/>
        <v>652173.91304347827</v>
      </c>
      <c r="AM233" s="17">
        <v>0</v>
      </c>
      <c r="AN233" s="17">
        <v>0</v>
      </c>
      <c r="AO233" s="17">
        <v>0</v>
      </c>
      <c r="AP233" s="17">
        <v>0</v>
      </c>
      <c r="AQ233" s="17">
        <f t="shared" si="116"/>
        <v>3001634.7826086958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9">
        <f>SUM(PlanIndicativo[[#This Row],[Ingresos Corrientes de Libre Destinación - ICLD (2021)]:[Otros  (2021)]])</f>
        <v>3653808.6956521738</v>
      </c>
      <c r="AX233" s="17">
        <f t="shared" si="111"/>
        <v>652173.91304347827</v>
      </c>
      <c r="AY233" s="17">
        <v>0</v>
      </c>
      <c r="AZ233" s="17">
        <v>0</v>
      </c>
      <c r="BA233" s="17">
        <v>0</v>
      </c>
      <c r="BB233" s="17">
        <v>0</v>
      </c>
      <c r="BC233" s="17">
        <f t="shared" si="112"/>
        <v>3001634.7826086958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20">
        <f>SUM(PlanIndicativo[[#This Row],[Ingresos Corrientes de Libre Destinación - ICLD (2022)]:[Otros   (2022)]])</f>
        <v>3653808.6956521738</v>
      </c>
      <c r="BJ233" s="17">
        <f t="shared" si="113"/>
        <v>652173.91304347827</v>
      </c>
      <c r="BK233" s="17">
        <v>0</v>
      </c>
      <c r="BL233" s="17">
        <v>0</v>
      </c>
      <c r="BM233" s="17">
        <v>0</v>
      </c>
      <c r="BN233" s="17">
        <v>0</v>
      </c>
      <c r="BO233" s="17">
        <f t="shared" si="114"/>
        <v>3001634.7826086958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21">
        <f>SUM(PlanIndicativo[[#This Row],[Ingresos Corrientes de Libre Destinación - ICLD (2023)]:[Otros (2023)]])</f>
        <v>3653808.6956521738</v>
      </c>
      <c r="BV233" s="21">
        <f>+PlanIndicativo[[#This Row],[Total (2020)]]+PlanIndicativo[[#This Row],[Total  (2021)]]+PlanIndicativo[[#This Row],[Total  (2022)]]+PlanIndicativo[[#This Row],[Total (2023)]]</f>
        <v>14615234.782608695</v>
      </c>
      <c r="BW233" s="22" t="s">
        <v>442</v>
      </c>
    </row>
    <row r="234" spans="1:75" ht="21" customHeight="1" x14ac:dyDescent="0.25">
      <c r="A234" s="7">
        <v>3</v>
      </c>
      <c r="B234" s="8" t="s">
        <v>669</v>
      </c>
      <c r="C234" s="7" t="s">
        <v>730</v>
      </c>
      <c r="D234" s="7" t="s">
        <v>731</v>
      </c>
      <c r="E234" s="7" t="s">
        <v>732</v>
      </c>
      <c r="F234" s="8" t="s">
        <v>733</v>
      </c>
      <c r="G234" s="7" t="s">
        <v>734</v>
      </c>
      <c r="H234" s="8" t="s">
        <v>735</v>
      </c>
      <c r="I234" s="9">
        <v>4503001</v>
      </c>
      <c r="J234" s="25" t="s">
        <v>736</v>
      </c>
      <c r="K234" s="25" t="s">
        <v>737</v>
      </c>
      <c r="L234" s="25" t="s">
        <v>262</v>
      </c>
      <c r="M234" s="25" t="s">
        <v>243</v>
      </c>
      <c r="N234" s="25" t="s">
        <v>86</v>
      </c>
      <c r="O234" s="25"/>
      <c r="P234" s="9">
        <v>450300100</v>
      </c>
      <c r="Q234" s="25" t="s">
        <v>738</v>
      </c>
      <c r="R234" s="12" t="s">
        <v>88</v>
      </c>
      <c r="S234" s="13" t="s">
        <v>93</v>
      </c>
      <c r="T234" s="14">
        <v>0</v>
      </c>
      <c r="U234" s="15">
        <v>1</v>
      </c>
      <c r="V234" s="30">
        <v>1</v>
      </c>
      <c r="W234" s="30">
        <v>1</v>
      </c>
      <c r="X234" s="30">
        <v>1</v>
      </c>
      <c r="Y234" s="30">
        <v>1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f t="shared" ref="AE234:AE237" si="119">42000000/4</f>
        <v>10500000</v>
      </c>
      <c r="AF234" s="17">
        <v>0</v>
      </c>
      <c r="AG234" s="17">
        <v>0</v>
      </c>
      <c r="AH234" s="17">
        <v>0</v>
      </c>
      <c r="AI234" s="17">
        <v>0</v>
      </c>
      <c r="AJ234" s="17">
        <v>0</v>
      </c>
      <c r="AK234" s="18">
        <f>SUM(PlanIndicativo[[#This Row],[Ingresos Corrientes de Libre Destinación - ICLD (2020)]:[Otros (2020)]])</f>
        <v>10500000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f t="shared" ref="AQ234:AQ237" si="120">42000000/4</f>
        <v>10500000</v>
      </c>
      <c r="AR234" s="17">
        <v>0</v>
      </c>
      <c r="AS234" s="17">
        <v>0</v>
      </c>
      <c r="AT234" s="17">
        <v>0</v>
      </c>
      <c r="AU234" s="17">
        <v>0</v>
      </c>
      <c r="AV234" s="17">
        <v>0</v>
      </c>
      <c r="AW234" s="19">
        <f>SUM(PlanIndicativo[[#This Row],[Ingresos Corrientes de Libre Destinación - ICLD (2021)]:[Otros  (2021)]])</f>
        <v>10500000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f t="shared" ref="BC234:BC237" si="121">42000000/4</f>
        <v>10500000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20">
        <f>SUM(PlanIndicativo[[#This Row],[Ingresos Corrientes de Libre Destinación - ICLD (2022)]:[Otros   (2022)]])</f>
        <v>10500000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f t="shared" ref="BO234:BO237" si="122">42000000/4</f>
        <v>10500000</v>
      </c>
      <c r="BP234" s="17">
        <v>0</v>
      </c>
      <c r="BQ234" s="17">
        <v>0</v>
      </c>
      <c r="BR234" s="17">
        <v>0</v>
      </c>
      <c r="BS234" s="17">
        <v>0</v>
      </c>
      <c r="BT234" s="17">
        <v>0</v>
      </c>
      <c r="BU234" s="21">
        <f>SUM(PlanIndicativo[[#This Row],[Ingresos Corrientes de Libre Destinación - ICLD (2023)]:[Otros (2023)]])</f>
        <v>10500000</v>
      </c>
      <c r="BV234" s="21">
        <f>+PlanIndicativo[[#This Row],[Total (2020)]]+PlanIndicativo[[#This Row],[Total  (2021)]]+PlanIndicativo[[#This Row],[Total  (2022)]]+PlanIndicativo[[#This Row],[Total (2023)]]</f>
        <v>42000000</v>
      </c>
      <c r="BW234" s="22" t="s">
        <v>442</v>
      </c>
    </row>
    <row r="235" spans="1:75" ht="21" customHeight="1" x14ac:dyDescent="0.25">
      <c r="A235" s="7">
        <v>3</v>
      </c>
      <c r="B235" s="8" t="s">
        <v>669</v>
      </c>
      <c r="C235" s="7" t="s">
        <v>730</v>
      </c>
      <c r="D235" s="7" t="s">
        <v>731</v>
      </c>
      <c r="E235" s="7" t="s">
        <v>732</v>
      </c>
      <c r="F235" s="8" t="s">
        <v>733</v>
      </c>
      <c r="G235" s="7" t="s">
        <v>734</v>
      </c>
      <c r="H235" s="8" t="s">
        <v>735</v>
      </c>
      <c r="I235" s="7">
        <v>4503002</v>
      </c>
      <c r="J235" s="25" t="s">
        <v>152</v>
      </c>
      <c r="K235" s="25" t="s">
        <v>737</v>
      </c>
      <c r="L235" s="25" t="s">
        <v>262</v>
      </c>
      <c r="M235" s="25" t="s">
        <v>243</v>
      </c>
      <c r="N235" s="25" t="s">
        <v>86</v>
      </c>
      <c r="O235" s="25"/>
      <c r="P235" s="9">
        <v>450300200</v>
      </c>
      <c r="Q235" s="25" t="s">
        <v>202</v>
      </c>
      <c r="R235" s="12" t="s">
        <v>88</v>
      </c>
      <c r="S235" s="13" t="s">
        <v>93</v>
      </c>
      <c r="T235" s="14">
        <v>0</v>
      </c>
      <c r="U235" s="15">
        <v>300</v>
      </c>
      <c r="V235" s="30">
        <v>75</v>
      </c>
      <c r="W235" s="30">
        <v>75</v>
      </c>
      <c r="X235" s="30">
        <v>75</v>
      </c>
      <c r="Y235" s="30">
        <v>75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f t="shared" si="119"/>
        <v>10500000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8">
        <f>SUM(PlanIndicativo[[#This Row],[Ingresos Corrientes de Libre Destinación - ICLD (2020)]:[Otros (2020)]])</f>
        <v>10500000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f t="shared" si="120"/>
        <v>10500000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9">
        <f>SUM(PlanIndicativo[[#This Row],[Ingresos Corrientes de Libre Destinación - ICLD (2021)]:[Otros  (2021)]])</f>
        <v>10500000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f t="shared" si="121"/>
        <v>10500000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20">
        <f>SUM(PlanIndicativo[[#This Row],[Ingresos Corrientes de Libre Destinación - ICLD (2022)]:[Otros   (2022)]])</f>
        <v>10500000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f t="shared" si="122"/>
        <v>10500000</v>
      </c>
      <c r="BP235" s="17">
        <v>0</v>
      </c>
      <c r="BQ235" s="17">
        <v>0</v>
      </c>
      <c r="BR235" s="17">
        <v>0</v>
      </c>
      <c r="BS235" s="17">
        <v>0</v>
      </c>
      <c r="BT235" s="17">
        <v>0</v>
      </c>
      <c r="BU235" s="21">
        <f>SUM(PlanIndicativo[[#This Row],[Ingresos Corrientes de Libre Destinación - ICLD (2023)]:[Otros (2023)]])</f>
        <v>10500000</v>
      </c>
      <c r="BV235" s="21">
        <f>+PlanIndicativo[[#This Row],[Total (2020)]]+PlanIndicativo[[#This Row],[Total  (2021)]]+PlanIndicativo[[#This Row],[Total  (2022)]]+PlanIndicativo[[#This Row],[Total (2023)]]</f>
        <v>42000000</v>
      </c>
      <c r="BW235" s="22" t="s">
        <v>442</v>
      </c>
    </row>
    <row r="236" spans="1:75" ht="21" customHeight="1" x14ac:dyDescent="0.25">
      <c r="A236" s="7">
        <v>3</v>
      </c>
      <c r="B236" s="8" t="s">
        <v>669</v>
      </c>
      <c r="C236" s="7" t="s">
        <v>730</v>
      </c>
      <c r="D236" s="7" t="s">
        <v>731</v>
      </c>
      <c r="E236" s="7" t="s">
        <v>732</v>
      </c>
      <c r="F236" s="8" t="s">
        <v>733</v>
      </c>
      <c r="G236" s="7" t="s">
        <v>734</v>
      </c>
      <c r="H236" s="8" t="s">
        <v>735</v>
      </c>
      <c r="I236" s="7">
        <v>4503004</v>
      </c>
      <c r="J236" s="25" t="s">
        <v>739</v>
      </c>
      <c r="K236" s="25" t="s">
        <v>740</v>
      </c>
      <c r="L236" s="25" t="s">
        <v>262</v>
      </c>
      <c r="M236" s="25" t="s">
        <v>243</v>
      </c>
      <c r="N236" s="25" t="s">
        <v>86</v>
      </c>
      <c r="O236" s="25"/>
      <c r="P236" s="9">
        <v>450300400</v>
      </c>
      <c r="Q236" s="25" t="s">
        <v>741</v>
      </c>
      <c r="R236" s="12" t="s">
        <v>88</v>
      </c>
      <c r="S236" s="13" t="s">
        <v>93</v>
      </c>
      <c r="T236" s="14">
        <v>0</v>
      </c>
      <c r="U236" s="15">
        <v>4</v>
      </c>
      <c r="V236" s="30">
        <v>4</v>
      </c>
      <c r="W236" s="30">
        <v>4</v>
      </c>
      <c r="X236" s="30">
        <v>4</v>
      </c>
      <c r="Y236" s="30">
        <v>4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f t="shared" si="119"/>
        <v>10500000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8">
        <f>SUM(PlanIndicativo[[#This Row],[Ingresos Corrientes de Libre Destinación - ICLD (2020)]:[Otros (2020)]])</f>
        <v>10500000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f t="shared" si="120"/>
        <v>10500000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9">
        <f>SUM(PlanIndicativo[[#This Row],[Ingresos Corrientes de Libre Destinación - ICLD (2021)]:[Otros  (2021)]])</f>
        <v>10500000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f t="shared" si="121"/>
        <v>10500000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20">
        <f>SUM(PlanIndicativo[[#This Row],[Ingresos Corrientes de Libre Destinación - ICLD (2022)]:[Otros   (2022)]])</f>
        <v>10500000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f t="shared" si="122"/>
        <v>10500000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21">
        <f>SUM(PlanIndicativo[[#This Row],[Ingresos Corrientes de Libre Destinación - ICLD (2023)]:[Otros (2023)]])</f>
        <v>10500000</v>
      </c>
      <c r="BV236" s="21">
        <f>+PlanIndicativo[[#This Row],[Total (2020)]]+PlanIndicativo[[#This Row],[Total  (2021)]]+PlanIndicativo[[#This Row],[Total  (2022)]]+PlanIndicativo[[#This Row],[Total (2023)]]</f>
        <v>42000000</v>
      </c>
      <c r="BW236" s="22" t="s">
        <v>442</v>
      </c>
    </row>
    <row r="237" spans="1:75" ht="21" customHeight="1" x14ac:dyDescent="0.25">
      <c r="A237" s="7">
        <v>3</v>
      </c>
      <c r="B237" s="8" t="s">
        <v>669</v>
      </c>
      <c r="C237" s="7" t="s">
        <v>730</v>
      </c>
      <c r="D237" s="7" t="s">
        <v>731</v>
      </c>
      <c r="E237" s="7" t="s">
        <v>732</v>
      </c>
      <c r="F237" s="8" t="s">
        <v>733</v>
      </c>
      <c r="G237" s="7" t="s">
        <v>734</v>
      </c>
      <c r="H237" s="8" t="s">
        <v>735</v>
      </c>
      <c r="I237" s="9">
        <v>4503012</v>
      </c>
      <c r="J237" s="25" t="s">
        <v>352</v>
      </c>
      <c r="K237" s="25" t="s">
        <v>742</v>
      </c>
      <c r="L237" s="25" t="s">
        <v>262</v>
      </c>
      <c r="M237" s="25" t="s">
        <v>243</v>
      </c>
      <c r="N237" s="25" t="s">
        <v>86</v>
      </c>
      <c r="O237" s="25"/>
      <c r="P237" s="9">
        <v>450301200</v>
      </c>
      <c r="Q237" s="25" t="s">
        <v>355</v>
      </c>
      <c r="R237" s="12" t="s">
        <v>88</v>
      </c>
      <c r="S237" s="13" t="s">
        <v>93</v>
      </c>
      <c r="T237" s="14">
        <v>0</v>
      </c>
      <c r="U237" s="15">
        <v>50</v>
      </c>
      <c r="V237" s="30">
        <v>13</v>
      </c>
      <c r="W237" s="30">
        <v>12</v>
      </c>
      <c r="X237" s="30">
        <v>12</v>
      </c>
      <c r="Y237" s="30">
        <v>13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f t="shared" si="119"/>
        <v>10500000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8">
        <f>SUM(PlanIndicativo[[#This Row],[Ingresos Corrientes de Libre Destinación - ICLD (2020)]:[Otros (2020)]])</f>
        <v>10500000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f t="shared" si="120"/>
        <v>10500000</v>
      </c>
      <c r="AR237" s="17">
        <v>0</v>
      </c>
      <c r="AS237" s="17">
        <v>0</v>
      </c>
      <c r="AT237" s="17">
        <v>0</v>
      </c>
      <c r="AU237" s="17">
        <v>0</v>
      </c>
      <c r="AV237" s="17">
        <v>0</v>
      </c>
      <c r="AW237" s="19">
        <f>SUM(PlanIndicativo[[#This Row],[Ingresos Corrientes de Libre Destinación - ICLD (2021)]:[Otros  (2021)]])</f>
        <v>10500000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f t="shared" si="121"/>
        <v>10500000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20">
        <f>SUM(PlanIndicativo[[#This Row],[Ingresos Corrientes de Libre Destinación - ICLD (2022)]:[Otros   (2022)]])</f>
        <v>10500000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f t="shared" si="122"/>
        <v>10500000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21">
        <f>SUM(PlanIndicativo[[#This Row],[Ingresos Corrientes de Libre Destinación - ICLD (2023)]:[Otros (2023)]])</f>
        <v>10500000</v>
      </c>
      <c r="BV237" s="21">
        <f>+PlanIndicativo[[#This Row],[Total (2020)]]+PlanIndicativo[[#This Row],[Total  (2021)]]+PlanIndicativo[[#This Row],[Total  (2022)]]+PlanIndicativo[[#This Row],[Total (2023)]]</f>
        <v>42000000</v>
      </c>
      <c r="BW237" s="22" t="s">
        <v>442</v>
      </c>
    </row>
    <row r="238" spans="1:75" ht="21" customHeight="1" x14ac:dyDescent="0.25">
      <c r="A238" s="7">
        <v>4</v>
      </c>
      <c r="B238" s="8" t="s">
        <v>743</v>
      </c>
      <c r="C238" s="7" t="s">
        <v>744</v>
      </c>
      <c r="D238" s="7" t="s">
        <v>745</v>
      </c>
      <c r="E238" s="7" t="s">
        <v>746</v>
      </c>
      <c r="F238" s="8" t="s">
        <v>747</v>
      </c>
      <c r="G238" s="7" t="s">
        <v>748</v>
      </c>
      <c r="H238" s="8" t="s">
        <v>749</v>
      </c>
      <c r="I238" s="40" t="s">
        <v>750</v>
      </c>
      <c r="J238" s="25" t="s">
        <v>113</v>
      </c>
      <c r="K238" s="25" t="s">
        <v>751</v>
      </c>
      <c r="L238" s="25" t="s">
        <v>581</v>
      </c>
      <c r="M238" s="25" t="s">
        <v>752</v>
      </c>
      <c r="N238" s="25" t="s">
        <v>86</v>
      </c>
      <c r="O238" s="25"/>
      <c r="P238" s="40" t="s">
        <v>753</v>
      </c>
      <c r="Q238" s="25" t="s">
        <v>754</v>
      </c>
      <c r="R238" s="12" t="s">
        <v>88</v>
      </c>
      <c r="S238" s="13" t="s">
        <v>93</v>
      </c>
      <c r="T238" s="14">
        <v>0</v>
      </c>
      <c r="U238" s="15">
        <v>1</v>
      </c>
      <c r="V238" s="30">
        <v>1</v>
      </c>
      <c r="W238" s="30">
        <v>0</v>
      </c>
      <c r="X238" s="30">
        <v>0</v>
      </c>
      <c r="Y238" s="30">
        <v>0</v>
      </c>
      <c r="Z238" s="17">
        <f t="shared" ref="Z238:Z251" si="123">53790000/16</f>
        <v>3361875</v>
      </c>
      <c r="AA238" s="17">
        <v>0</v>
      </c>
      <c r="AB238" s="17">
        <v>0</v>
      </c>
      <c r="AC238" s="17">
        <v>0</v>
      </c>
      <c r="AD238" s="17">
        <v>0</v>
      </c>
      <c r="AE238" s="17">
        <f t="shared" ref="AE238:AE251" si="124">3000000/16</f>
        <v>187500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8">
        <f>SUM(PlanIndicativo[[#This Row],[Ingresos Corrientes de Libre Destinación - ICLD (2020)]:[Otros (2020)]])</f>
        <v>3549375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9">
        <f>SUM(PlanIndicativo[[#This Row],[Ingresos Corrientes de Libre Destinación - ICLD (2021)]:[Otros  (2021)]])</f>
        <v>0</v>
      </c>
      <c r="AX238" s="17">
        <f t="shared" ref="AX238:AX253" si="125">53790000/16</f>
        <v>3361875</v>
      </c>
      <c r="AY238" s="17">
        <v>0</v>
      </c>
      <c r="AZ238" s="17">
        <v>0</v>
      </c>
      <c r="BA238" s="17">
        <v>0</v>
      </c>
      <c r="BB238" s="17">
        <v>0</v>
      </c>
      <c r="BC238" s="17">
        <f t="shared" ref="BC238:BC253" si="126">3000000/16</f>
        <v>187500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20">
        <f>SUM(PlanIndicativo[[#This Row],[Ingresos Corrientes de Libre Destinación - ICLD (2022)]:[Otros   (2022)]])</f>
        <v>3549375</v>
      </c>
      <c r="BJ238" s="17">
        <f t="shared" ref="BJ238:BJ253" si="127">53790000/16</f>
        <v>3361875</v>
      </c>
      <c r="BK238" s="17">
        <v>0</v>
      </c>
      <c r="BL238" s="17">
        <v>0</v>
      </c>
      <c r="BM238" s="17">
        <v>0</v>
      </c>
      <c r="BN238" s="17">
        <v>0</v>
      </c>
      <c r="BO238" s="17">
        <f t="shared" ref="BO238:BO253" si="128">3000000/16</f>
        <v>187500</v>
      </c>
      <c r="BP238" s="17">
        <v>0</v>
      </c>
      <c r="BQ238" s="17">
        <v>0</v>
      </c>
      <c r="BR238" s="17">
        <v>0</v>
      </c>
      <c r="BS238" s="17">
        <v>0</v>
      </c>
      <c r="BT238" s="17">
        <v>0</v>
      </c>
      <c r="BU238" s="21">
        <f>SUM(PlanIndicativo[[#This Row],[Ingresos Corrientes de Libre Destinación - ICLD (2023)]:[Otros (2023)]])</f>
        <v>3549375</v>
      </c>
      <c r="BV238" s="21">
        <f>+PlanIndicativo[[#This Row],[Total (2020)]]+PlanIndicativo[[#This Row],[Total  (2021)]]+PlanIndicativo[[#This Row],[Total  (2022)]]+PlanIndicativo[[#This Row],[Total (2023)]]</f>
        <v>10648125</v>
      </c>
      <c r="BW238" s="22" t="s">
        <v>584</v>
      </c>
    </row>
    <row r="239" spans="1:75" ht="21" customHeight="1" x14ac:dyDescent="0.25">
      <c r="A239" s="7">
        <v>4</v>
      </c>
      <c r="B239" s="8" t="s">
        <v>743</v>
      </c>
      <c r="C239" s="7" t="s">
        <v>744</v>
      </c>
      <c r="D239" s="7" t="s">
        <v>745</v>
      </c>
      <c r="E239" s="7" t="s">
        <v>746</v>
      </c>
      <c r="F239" s="8" t="s">
        <v>747</v>
      </c>
      <c r="G239" s="7" t="s">
        <v>748</v>
      </c>
      <c r="H239" s="8" t="s">
        <v>749</v>
      </c>
      <c r="I239" s="40" t="s">
        <v>755</v>
      </c>
      <c r="J239" s="25" t="s">
        <v>756</v>
      </c>
      <c r="K239" s="25" t="s">
        <v>751</v>
      </c>
      <c r="L239" s="25" t="s">
        <v>581</v>
      </c>
      <c r="M239" s="25" t="s">
        <v>586</v>
      </c>
      <c r="N239" s="25" t="s">
        <v>86</v>
      </c>
      <c r="O239" s="25"/>
      <c r="P239" s="40" t="s">
        <v>757</v>
      </c>
      <c r="Q239" s="25" t="s">
        <v>758</v>
      </c>
      <c r="R239" s="12" t="s">
        <v>88</v>
      </c>
      <c r="S239" s="13" t="s">
        <v>93</v>
      </c>
      <c r="T239" s="14">
        <v>0</v>
      </c>
      <c r="U239" s="15">
        <v>1</v>
      </c>
      <c r="V239" s="30">
        <v>1</v>
      </c>
      <c r="W239" s="30">
        <v>1</v>
      </c>
      <c r="X239" s="30">
        <v>1</v>
      </c>
      <c r="Y239" s="30">
        <v>1</v>
      </c>
      <c r="Z239" s="17">
        <f t="shared" si="123"/>
        <v>3361875</v>
      </c>
      <c r="AA239" s="17">
        <v>0</v>
      </c>
      <c r="AB239" s="17">
        <v>0</v>
      </c>
      <c r="AC239" s="17">
        <v>0</v>
      </c>
      <c r="AD239" s="17">
        <v>0</v>
      </c>
      <c r="AE239" s="17">
        <f t="shared" si="124"/>
        <v>187500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8">
        <f>SUM(PlanIndicativo[[#This Row],[Ingresos Corrientes de Libre Destinación - ICLD (2020)]:[Otros (2020)]])</f>
        <v>3549375</v>
      </c>
      <c r="AL239" s="17">
        <f>53790000/16*2</f>
        <v>6723750</v>
      </c>
      <c r="AM239" s="17">
        <v>0</v>
      </c>
      <c r="AN239" s="17">
        <v>0</v>
      </c>
      <c r="AO239" s="17">
        <v>0</v>
      </c>
      <c r="AP239" s="17">
        <v>0</v>
      </c>
      <c r="AQ239" s="17">
        <f>3000000/16*2</f>
        <v>375000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9">
        <f>SUM(PlanIndicativo[[#This Row],[Ingresos Corrientes de Libre Destinación - ICLD (2021)]:[Otros  (2021)]])</f>
        <v>7098750</v>
      </c>
      <c r="AX239" s="17">
        <f t="shared" si="125"/>
        <v>3361875</v>
      </c>
      <c r="AY239" s="17">
        <v>0</v>
      </c>
      <c r="AZ239" s="17">
        <v>0</v>
      </c>
      <c r="BA239" s="17">
        <v>0</v>
      </c>
      <c r="BB239" s="17">
        <v>0</v>
      </c>
      <c r="BC239" s="17">
        <f t="shared" si="126"/>
        <v>187500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20">
        <f>SUM(PlanIndicativo[[#This Row],[Ingresos Corrientes de Libre Destinación - ICLD (2022)]:[Otros   (2022)]])</f>
        <v>3549375</v>
      </c>
      <c r="BJ239" s="17">
        <f t="shared" si="127"/>
        <v>3361875</v>
      </c>
      <c r="BK239" s="17">
        <v>0</v>
      </c>
      <c r="BL239" s="17">
        <v>0</v>
      </c>
      <c r="BM239" s="17">
        <v>0</v>
      </c>
      <c r="BN239" s="17">
        <v>0</v>
      </c>
      <c r="BO239" s="17">
        <f t="shared" si="128"/>
        <v>187500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21">
        <f>SUM(PlanIndicativo[[#This Row],[Ingresos Corrientes de Libre Destinación - ICLD (2023)]:[Otros (2023)]])</f>
        <v>3549375</v>
      </c>
      <c r="BV239" s="21">
        <f>+PlanIndicativo[[#This Row],[Total (2020)]]+PlanIndicativo[[#This Row],[Total  (2021)]]+PlanIndicativo[[#This Row],[Total  (2022)]]+PlanIndicativo[[#This Row],[Total (2023)]]</f>
        <v>17746875</v>
      </c>
      <c r="BW239" s="22" t="s">
        <v>584</v>
      </c>
    </row>
    <row r="240" spans="1:75" ht="21" customHeight="1" x14ac:dyDescent="0.25">
      <c r="A240" s="7">
        <v>4</v>
      </c>
      <c r="B240" s="8" t="s">
        <v>743</v>
      </c>
      <c r="C240" s="7" t="s">
        <v>744</v>
      </c>
      <c r="D240" s="7" t="s">
        <v>745</v>
      </c>
      <c r="E240" s="7" t="s">
        <v>746</v>
      </c>
      <c r="F240" s="8" t="s">
        <v>747</v>
      </c>
      <c r="G240" s="7" t="s">
        <v>748</v>
      </c>
      <c r="H240" s="8" t="s">
        <v>749</v>
      </c>
      <c r="I240" s="40" t="s">
        <v>759</v>
      </c>
      <c r="J240" s="25" t="s">
        <v>760</v>
      </c>
      <c r="K240" s="25" t="s">
        <v>751</v>
      </c>
      <c r="L240" s="25" t="s">
        <v>581</v>
      </c>
      <c r="M240" s="25" t="s">
        <v>586</v>
      </c>
      <c r="N240" s="25" t="s">
        <v>86</v>
      </c>
      <c r="O240" s="25"/>
      <c r="P240" s="40" t="s">
        <v>761</v>
      </c>
      <c r="Q240" s="25" t="s">
        <v>762</v>
      </c>
      <c r="R240" s="12" t="s">
        <v>88</v>
      </c>
      <c r="S240" s="13" t="s">
        <v>93</v>
      </c>
      <c r="T240" s="14">
        <v>0</v>
      </c>
      <c r="U240" s="15">
        <v>4</v>
      </c>
      <c r="V240" s="30">
        <v>1</v>
      </c>
      <c r="W240" s="30">
        <v>1</v>
      </c>
      <c r="X240" s="30">
        <v>1</v>
      </c>
      <c r="Y240" s="30">
        <v>1</v>
      </c>
      <c r="Z240" s="17">
        <f t="shared" si="123"/>
        <v>3361875</v>
      </c>
      <c r="AA240" s="17">
        <v>0</v>
      </c>
      <c r="AB240" s="17">
        <v>0</v>
      </c>
      <c r="AC240" s="17">
        <v>0</v>
      </c>
      <c r="AD240" s="17">
        <v>0</v>
      </c>
      <c r="AE240" s="17">
        <f t="shared" si="124"/>
        <v>187500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8">
        <f>SUM(PlanIndicativo[[#This Row],[Ingresos Corrientes de Libre Destinación - ICLD (2020)]:[Otros (2020)]])</f>
        <v>3549375</v>
      </c>
      <c r="AL240" s="17">
        <f t="shared" ref="AL240:AL251" si="129">53790000/16</f>
        <v>3361875</v>
      </c>
      <c r="AM240" s="17">
        <v>0</v>
      </c>
      <c r="AN240" s="17">
        <v>0</v>
      </c>
      <c r="AO240" s="17">
        <v>0</v>
      </c>
      <c r="AP240" s="17">
        <v>0</v>
      </c>
      <c r="AQ240" s="17">
        <f t="shared" ref="AQ240:AQ251" si="130">3000000/16</f>
        <v>187500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9">
        <f>SUM(PlanIndicativo[[#This Row],[Ingresos Corrientes de Libre Destinación - ICLD (2021)]:[Otros  (2021)]])</f>
        <v>3549375</v>
      </c>
      <c r="AX240" s="17">
        <f t="shared" si="125"/>
        <v>3361875</v>
      </c>
      <c r="AY240" s="17">
        <v>0</v>
      </c>
      <c r="AZ240" s="17">
        <v>0</v>
      </c>
      <c r="BA240" s="17">
        <v>0</v>
      </c>
      <c r="BB240" s="17">
        <v>0</v>
      </c>
      <c r="BC240" s="17">
        <f t="shared" si="126"/>
        <v>187500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20">
        <f>SUM(PlanIndicativo[[#This Row],[Ingresos Corrientes de Libre Destinación - ICLD (2022)]:[Otros   (2022)]])</f>
        <v>3549375</v>
      </c>
      <c r="BJ240" s="17">
        <f t="shared" si="127"/>
        <v>3361875</v>
      </c>
      <c r="BK240" s="17">
        <v>0</v>
      </c>
      <c r="BL240" s="17">
        <v>0</v>
      </c>
      <c r="BM240" s="17">
        <v>0</v>
      </c>
      <c r="BN240" s="17">
        <v>0</v>
      </c>
      <c r="BO240" s="17">
        <f t="shared" si="128"/>
        <v>187500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21">
        <f>SUM(PlanIndicativo[[#This Row],[Ingresos Corrientes de Libre Destinación - ICLD (2023)]:[Otros (2023)]])</f>
        <v>3549375</v>
      </c>
      <c r="BV240" s="21">
        <f>+PlanIndicativo[[#This Row],[Total (2020)]]+PlanIndicativo[[#This Row],[Total  (2021)]]+PlanIndicativo[[#This Row],[Total  (2022)]]+PlanIndicativo[[#This Row],[Total (2023)]]</f>
        <v>14197500</v>
      </c>
      <c r="BW240" s="22" t="s">
        <v>584</v>
      </c>
    </row>
    <row r="241" spans="1:75" ht="21" customHeight="1" x14ac:dyDescent="0.25">
      <c r="A241" s="7">
        <v>4</v>
      </c>
      <c r="B241" s="8" t="s">
        <v>743</v>
      </c>
      <c r="C241" s="7" t="s">
        <v>744</v>
      </c>
      <c r="D241" s="7" t="s">
        <v>745</v>
      </c>
      <c r="E241" s="7" t="s">
        <v>746</v>
      </c>
      <c r="F241" s="8" t="s">
        <v>747</v>
      </c>
      <c r="G241" s="7" t="s">
        <v>748</v>
      </c>
      <c r="H241" s="8" t="s">
        <v>749</v>
      </c>
      <c r="I241" s="40" t="s">
        <v>763</v>
      </c>
      <c r="J241" s="25" t="s">
        <v>764</v>
      </c>
      <c r="K241" s="25" t="s">
        <v>751</v>
      </c>
      <c r="L241" s="25" t="s">
        <v>581</v>
      </c>
      <c r="M241" s="25" t="s">
        <v>586</v>
      </c>
      <c r="N241" s="25" t="s">
        <v>86</v>
      </c>
      <c r="O241" s="25"/>
      <c r="P241" s="40" t="s">
        <v>765</v>
      </c>
      <c r="Q241" s="25" t="s">
        <v>766</v>
      </c>
      <c r="R241" s="12" t="s">
        <v>88</v>
      </c>
      <c r="S241" s="13" t="s">
        <v>93</v>
      </c>
      <c r="T241" s="14">
        <v>0</v>
      </c>
      <c r="U241" s="15">
        <v>1</v>
      </c>
      <c r="V241" s="30">
        <v>1</v>
      </c>
      <c r="W241" s="30">
        <v>1</v>
      </c>
      <c r="X241" s="30">
        <v>1</v>
      </c>
      <c r="Y241" s="30">
        <v>1</v>
      </c>
      <c r="Z241" s="17">
        <f t="shared" si="123"/>
        <v>3361875</v>
      </c>
      <c r="AA241" s="17">
        <v>0</v>
      </c>
      <c r="AB241" s="17">
        <v>0</v>
      </c>
      <c r="AC241" s="17">
        <v>0</v>
      </c>
      <c r="AD241" s="17">
        <v>0</v>
      </c>
      <c r="AE241" s="17">
        <f t="shared" si="124"/>
        <v>187500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8">
        <f>SUM(PlanIndicativo[[#This Row],[Ingresos Corrientes de Libre Destinación - ICLD (2020)]:[Otros (2020)]])</f>
        <v>3549375</v>
      </c>
      <c r="AL241" s="17">
        <f t="shared" si="129"/>
        <v>3361875</v>
      </c>
      <c r="AM241" s="17">
        <v>0</v>
      </c>
      <c r="AN241" s="17">
        <v>0</v>
      </c>
      <c r="AO241" s="17">
        <v>0</v>
      </c>
      <c r="AP241" s="17">
        <v>0</v>
      </c>
      <c r="AQ241" s="17">
        <f t="shared" si="130"/>
        <v>187500</v>
      </c>
      <c r="AR241" s="17">
        <v>0</v>
      </c>
      <c r="AS241" s="17">
        <v>0</v>
      </c>
      <c r="AT241" s="17">
        <v>0</v>
      </c>
      <c r="AU241" s="17">
        <v>0</v>
      </c>
      <c r="AV241" s="17">
        <v>0</v>
      </c>
      <c r="AW241" s="19">
        <f>SUM(PlanIndicativo[[#This Row],[Ingresos Corrientes de Libre Destinación - ICLD (2021)]:[Otros  (2021)]])</f>
        <v>3549375</v>
      </c>
      <c r="AX241" s="17">
        <f t="shared" si="125"/>
        <v>3361875</v>
      </c>
      <c r="AY241" s="17">
        <v>0</v>
      </c>
      <c r="AZ241" s="17">
        <v>0</v>
      </c>
      <c r="BA241" s="17">
        <v>0</v>
      </c>
      <c r="BB241" s="17">
        <v>0</v>
      </c>
      <c r="BC241" s="17">
        <f t="shared" si="126"/>
        <v>187500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20">
        <f>SUM(PlanIndicativo[[#This Row],[Ingresos Corrientes de Libre Destinación - ICLD (2022)]:[Otros   (2022)]])</f>
        <v>3549375</v>
      </c>
      <c r="BJ241" s="17">
        <f t="shared" si="127"/>
        <v>3361875</v>
      </c>
      <c r="BK241" s="17">
        <v>0</v>
      </c>
      <c r="BL241" s="17">
        <v>0</v>
      </c>
      <c r="BM241" s="17">
        <v>0</v>
      </c>
      <c r="BN241" s="17">
        <v>0</v>
      </c>
      <c r="BO241" s="17">
        <f t="shared" si="128"/>
        <v>187500</v>
      </c>
      <c r="BP241" s="17">
        <v>0</v>
      </c>
      <c r="BQ241" s="17">
        <v>0</v>
      </c>
      <c r="BR241" s="17">
        <v>0</v>
      </c>
      <c r="BS241" s="17">
        <v>0</v>
      </c>
      <c r="BT241" s="17">
        <v>0</v>
      </c>
      <c r="BU241" s="21">
        <f>SUM(PlanIndicativo[[#This Row],[Ingresos Corrientes de Libre Destinación - ICLD (2023)]:[Otros (2023)]])</f>
        <v>3549375</v>
      </c>
      <c r="BV241" s="21">
        <f>+PlanIndicativo[[#This Row],[Total (2020)]]+PlanIndicativo[[#This Row],[Total  (2021)]]+PlanIndicativo[[#This Row],[Total  (2022)]]+PlanIndicativo[[#This Row],[Total (2023)]]</f>
        <v>14197500</v>
      </c>
      <c r="BW241" s="22" t="s">
        <v>584</v>
      </c>
    </row>
    <row r="242" spans="1:75" ht="21" customHeight="1" x14ac:dyDescent="0.25">
      <c r="A242" s="7">
        <v>4</v>
      </c>
      <c r="B242" s="8" t="s">
        <v>743</v>
      </c>
      <c r="C242" s="7" t="s">
        <v>744</v>
      </c>
      <c r="D242" s="7" t="s">
        <v>745</v>
      </c>
      <c r="E242" s="7" t="s">
        <v>746</v>
      </c>
      <c r="F242" s="8" t="s">
        <v>747</v>
      </c>
      <c r="G242" s="7" t="s">
        <v>748</v>
      </c>
      <c r="H242" s="8" t="s">
        <v>749</v>
      </c>
      <c r="I242" s="40" t="s">
        <v>767</v>
      </c>
      <c r="J242" s="25" t="s">
        <v>516</v>
      </c>
      <c r="K242" s="25" t="s">
        <v>751</v>
      </c>
      <c r="L242" s="25" t="s">
        <v>581</v>
      </c>
      <c r="M242" s="25" t="s">
        <v>586</v>
      </c>
      <c r="N242" s="25" t="s">
        <v>86</v>
      </c>
      <c r="O242" s="25"/>
      <c r="P242" s="33">
        <v>30400200</v>
      </c>
      <c r="Q242" s="25" t="s">
        <v>768</v>
      </c>
      <c r="R242" s="31" t="s">
        <v>88</v>
      </c>
      <c r="S242" s="13" t="s">
        <v>93</v>
      </c>
      <c r="T242" s="36">
        <v>0</v>
      </c>
      <c r="U242" s="37">
        <v>1</v>
      </c>
      <c r="V242" s="38">
        <v>0</v>
      </c>
      <c r="W242" s="38">
        <v>1</v>
      </c>
      <c r="X242" s="38">
        <v>0</v>
      </c>
      <c r="Y242" s="38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8">
        <f>SUM(PlanIndicativo[[#This Row],[Ingresos Corrientes de Libre Destinación - ICLD (2020)]:[Otros (2020)]])</f>
        <v>0</v>
      </c>
      <c r="AL242" s="17">
        <f t="shared" si="129"/>
        <v>3361875</v>
      </c>
      <c r="AM242" s="17">
        <v>0</v>
      </c>
      <c r="AN242" s="17">
        <v>0</v>
      </c>
      <c r="AO242" s="17">
        <v>0</v>
      </c>
      <c r="AP242" s="17">
        <v>0</v>
      </c>
      <c r="AQ242" s="17">
        <f t="shared" si="130"/>
        <v>187500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9">
        <f>SUM(PlanIndicativo[[#This Row],[Ingresos Corrientes de Libre Destinación - ICLD (2021)]:[Otros  (2021)]])</f>
        <v>3549375</v>
      </c>
      <c r="AX242" s="17">
        <f t="shared" si="125"/>
        <v>3361875</v>
      </c>
      <c r="AY242" s="17">
        <v>0</v>
      </c>
      <c r="AZ242" s="17">
        <v>0</v>
      </c>
      <c r="BA242" s="17">
        <v>0</v>
      </c>
      <c r="BB242" s="17">
        <v>0</v>
      </c>
      <c r="BC242" s="17">
        <f t="shared" si="126"/>
        <v>187500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20">
        <f>SUM(PlanIndicativo[[#This Row],[Ingresos Corrientes de Libre Destinación - ICLD (2022)]:[Otros   (2022)]])</f>
        <v>3549375</v>
      </c>
      <c r="BJ242" s="17">
        <f t="shared" si="127"/>
        <v>3361875</v>
      </c>
      <c r="BK242" s="17">
        <v>0</v>
      </c>
      <c r="BL242" s="17">
        <v>0</v>
      </c>
      <c r="BM242" s="17">
        <v>0</v>
      </c>
      <c r="BN242" s="17">
        <v>0</v>
      </c>
      <c r="BO242" s="17">
        <f t="shared" si="128"/>
        <v>187500</v>
      </c>
      <c r="BP242" s="17">
        <v>0</v>
      </c>
      <c r="BQ242" s="17">
        <v>0</v>
      </c>
      <c r="BR242" s="17">
        <v>0</v>
      </c>
      <c r="BS242" s="17">
        <v>0</v>
      </c>
      <c r="BT242" s="17">
        <v>0</v>
      </c>
      <c r="BU242" s="17">
        <f>SUM(PlanIndicativo[[#This Row],[Ingresos Corrientes de Libre Destinación - ICLD (2023)]:[Otros (2023)]])</f>
        <v>3549375</v>
      </c>
      <c r="BV242" s="21">
        <f>+PlanIndicativo[[#This Row],[Total (2020)]]+PlanIndicativo[[#This Row],[Total  (2021)]]+PlanIndicativo[[#This Row],[Total  (2022)]]+PlanIndicativo[[#This Row],[Total (2023)]]</f>
        <v>10648125</v>
      </c>
      <c r="BW242" s="22" t="s">
        <v>584</v>
      </c>
    </row>
    <row r="243" spans="1:75" ht="21" customHeight="1" x14ac:dyDescent="0.25">
      <c r="A243" s="7">
        <v>4</v>
      </c>
      <c r="B243" s="8" t="s">
        <v>743</v>
      </c>
      <c r="C243" s="7" t="s">
        <v>744</v>
      </c>
      <c r="D243" s="7" t="s">
        <v>745</v>
      </c>
      <c r="E243" s="7" t="s">
        <v>746</v>
      </c>
      <c r="F243" s="8" t="s">
        <v>747</v>
      </c>
      <c r="G243" s="7" t="s">
        <v>748</v>
      </c>
      <c r="H243" s="8" t="s">
        <v>749</v>
      </c>
      <c r="I243" s="40" t="s">
        <v>769</v>
      </c>
      <c r="J243" s="25" t="s">
        <v>770</v>
      </c>
      <c r="K243" s="25" t="s">
        <v>751</v>
      </c>
      <c r="L243" s="25" t="s">
        <v>581</v>
      </c>
      <c r="M243" s="25" t="s">
        <v>586</v>
      </c>
      <c r="N243" s="25" t="s">
        <v>86</v>
      </c>
      <c r="O243" s="25"/>
      <c r="P243" s="33">
        <v>30400900</v>
      </c>
      <c r="Q243" s="25" t="s">
        <v>771</v>
      </c>
      <c r="R243" s="31" t="s">
        <v>772</v>
      </c>
      <c r="S243" s="13" t="s">
        <v>93</v>
      </c>
      <c r="T243" s="36">
        <v>0</v>
      </c>
      <c r="U243" s="37">
        <v>100</v>
      </c>
      <c r="V243" s="38">
        <v>25</v>
      </c>
      <c r="W243" s="38">
        <v>25</v>
      </c>
      <c r="X243" s="38">
        <v>25</v>
      </c>
      <c r="Y243" s="38">
        <v>25</v>
      </c>
      <c r="Z243" s="17">
        <f>53790000/16*2</f>
        <v>6723750</v>
      </c>
      <c r="AA243" s="17">
        <v>0</v>
      </c>
      <c r="AB243" s="17">
        <v>0</v>
      </c>
      <c r="AC243" s="17">
        <v>0</v>
      </c>
      <c r="AD243" s="17">
        <v>0</v>
      </c>
      <c r="AE243" s="17">
        <f>3000000/16*2</f>
        <v>375000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8">
        <f>SUM(PlanIndicativo[[#This Row],[Ingresos Corrientes de Libre Destinación - ICLD (2020)]:[Otros (2020)]])</f>
        <v>7098750</v>
      </c>
      <c r="AL243" s="17">
        <f t="shared" si="129"/>
        <v>3361875</v>
      </c>
      <c r="AM243" s="17">
        <v>0</v>
      </c>
      <c r="AN243" s="17">
        <v>0</v>
      </c>
      <c r="AO243" s="17">
        <v>0</v>
      </c>
      <c r="AP243" s="17">
        <v>0</v>
      </c>
      <c r="AQ243" s="17">
        <f t="shared" si="130"/>
        <v>187500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9">
        <f>SUM(PlanIndicativo[[#This Row],[Ingresos Corrientes de Libre Destinación - ICLD (2021)]:[Otros  (2021)]])</f>
        <v>3549375</v>
      </c>
      <c r="AX243" s="17">
        <f t="shared" si="125"/>
        <v>3361875</v>
      </c>
      <c r="AY243" s="17">
        <v>0</v>
      </c>
      <c r="AZ243" s="17">
        <v>0</v>
      </c>
      <c r="BA243" s="17">
        <v>0</v>
      </c>
      <c r="BB243" s="17">
        <v>0</v>
      </c>
      <c r="BC243" s="17">
        <f t="shared" si="126"/>
        <v>187500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20">
        <f>SUM(PlanIndicativo[[#This Row],[Ingresos Corrientes de Libre Destinación - ICLD (2022)]:[Otros   (2022)]])</f>
        <v>3549375</v>
      </c>
      <c r="BJ243" s="17">
        <f t="shared" si="127"/>
        <v>3361875</v>
      </c>
      <c r="BK243" s="17">
        <v>0</v>
      </c>
      <c r="BL243" s="17">
        <v>0</v>
      </c>
      <c r="BM243" s="17">
        <v>0</v>
      </c>
      <c r="BN243" s="17">
        <v>0</v>
      </c>
      <c r="BO243" s="17">
        <f t="shared" si="128"/>
        <v>187500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f>SUM(PlanIndicativo[[#This Row],[Ingresos Corrientes de Libre Destinación - ICLD (2023)]:[Otros (2023)]])</f>
        <v>3549375</v>
      </c>
      <c r="BV243" s="21">
        <f>+PlanIndicativo[[#This Row],[Total (2020)]]+PlanIndicativo[[#This Row],[Total  (2021)]]+PlanIndicativo[[#This Row],[Total  (2022)]]+PlanIndicativo[[#This Row],[Total (2023)]]</f>
        <v>17746875</v>
      </c>
      <c r="BW243" s="22" t="s">
        <v>584</v>
      </c>
    </row>
    <row r="244" spans="1:75" ht="21" customHeight="1" x14ac:dyDescent="0.25">
      <c r="A244" s="7">
        <v>4</v>
      </c>
      <c r="B244" s="8" t="s">
        <v>743</v>
      </c>
      <c r="C244" s="7" t="s">
        <v>744</v>
      </c>
      <c r="D244" s="7" t="s">
        <v>745</v>
      </c>
      <c r="E244" s="7" t="s">
        <v>746</v>
      </c>
      <c r="F244" s="8" t="s">
        <v>747</v>
      </c>
      <c r="G244" s="7" t="s">
        <v>748</v>
      </c>
      <c r="H244" s="8" t="s">
        <v>749</v>
      </c>
      <c r="I244" s="40" t="s">
        <v>773</v>
      </c>
      <c r="J244" s="11" t="s">
        <v>774</v>
      </c>
      <c r="K244" s="25" t="s">
        <v>751</v>
      </c>
      <c r="L244" s="25" t="s">
        <v>581</v>
      </c>
      <c r="M244" s="11" t="s">
        <v>775</v>
      </c>
      <c r="N244" s="25" t="s">
        <v>86</v>
      </c>
      <c r="O244" s="11"/>
      <c r="P244" s="33" t="s">
        <v>776</v>
      </c>
      <c r="Q244" s="11" t="s">
        <v>777</v>
      </c>
      <c r="R244" s="12" t="s">
        <v>88</v>
      </c>
      <c r="S244" s="13" t="s">
        <v>93</v>
      </c>
      <c r="T244" s="36">
        <v>0</v>
      </c>
      <c r="U244" s="37">
        <v>200</v>
      </c>
      <c r="V244" s="38">
        <v>50</v>
      </c>
      <c r="W244" s="38">
        <v>50</v>
      </c>
      <c r="X244" s="38">
        <v>50</v>
      </c>
      <c r="Y244" s="38">
        <v>50</v>
      </c>
      <c r="Z244" s="17">
        <f t="shared" si="123"/>
        <v>3361875</v>
      </c>
      <c r="AA244" s="17">
        <v>0</v>
      </c>
      <c r="AB244" s="17">
        <v>0</v>
      </c>
      <c r="AC244" s="17">
        <v>0</v>
      </c>
      <c r="AD244" s="17">
        <v>0</v>
      </c>
      <c r="AE244" s="17">
        <f t="shared" si="124"/>
        <v>187500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8">
        <f>SUM(PlanIndicativo[[#This Row],[Ingresos Corrientes de Libre Destinación - ICLD (2020)]:[Otros (2020)]])</f>
        <v>3549375</v>
      </c>
      <c r="AL244" s="17">
        <f t="shared" si="129"/>
        <v>3361875</v>
      </c>
      <c r="AM244" s="17">
        <v>0</v>
      </c>
      <c r="AN244" s="17">
        <v>0</v>
      </c>
      <c r="AO244" s="17">
        <v>0</v>
      </c>
      <c r="AP244" s="17">
        <v>0</v>
      </c>
      <c r="AQ244" s="17">
        <f t="shared" si="130"/>
        <v>187500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9">
        <f>SUM(PlanIndicativo[[#This Row],[Ingresos Corrientes de Libre Destinación - ICLD (2021)]:[Otros  (2021)]])</f>
        <v>3549375</v>
      </c>
      <c r="AX244" s="17">
        <f t="shared" si="125"/>
        <v>3361875</v>
      </c>
      <c r="AY244" s="17">
        <v>0</v>
      </c>
      <c r="AZ244" s="17">
        <v>0</v>
      </c>
      <c r="BA244" s="17">
        <v>0</v>
      </c>
      <c r="BB244" s="17">
        <v>0</v>
      </c>
      <c r="BC244" s="17">
        <f t="shared" si="126"/>
        <v>187500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20">
        <f>SUM(PlanIndicativo[[#This Row],[Ingresos Corrientes de Libre Destinación - ICLD (2022)]:[Otros   (2022)]])</f>
        <v>3549375</v>
      </c>
      <c r="BJ244" s="17">
        <f t="shared" si="127"/>
        <v>3361875</v>
      </c>
      <c r="BK244" s="17">
        <v>0</v>
      </c>
      <c r="BL244" s="17">
        <v>0</v>
      </c>
      <c r="BM244" s="17">
        <v>0</v>
      </c>
      <c r="BN244" s="17">
        <v>0</v>
      </c>
      <c r="BO244" s="17">
        <f t="shared" si="128"/>
        <v>187500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21">
        <f>SUM(PlanIndicativo[[#This Row],[Ingresos Corrientes de Libre Destinación - ICLD (2023)]:[Otros (2023)]])</f>
        <v>3549375</v>
      </c>
      <c r="BV244" s="21">
        <f>+PlanIndicativo[[#This Row],[Total (2020)]]+PlanIndicativo[[#This Row],[Total  (2021)]]+PlanIndicativo[[#This Row],[Total  (2022)]]+PlanIndicativo[[#This Row],[Total (2023)]]</f>
        <v>14197500</v>
      </c>
      <c r="BW244" s="22" t="s">
        <v>584</v>
      </c>
    </row>
    <row r="245" spans="1:75" ht="21" customHeight="1" x14ac:dyDescent="0.25">
      <c r="A245" s="7">
        <v>4</v>
      </c>
      <c r="B245" s="8" t="s">
        <v>743</v>
      </c>
      <c r="C245" s="7" t="s">
        <v>744</v>
      </c>
      <c r="D245" s="7" t="s">
        <v>745</v>
      </c>
      <c r="E245" s="7" t="s">
        <v>746</v>
      </c>
      <c r="F245" s="8" t="s">
        <v>747</v>
      </c>
      <c r="G245" s="7" t="s">
        <v>748</v>
      </c>
      <c r="H245" s="8" t="s">
        <v>749</v>
      </c>
      <c r="I245" s="40" t="s">
        <v>778</v>
      </c>
      <c r="J245" s="11" t="s">
        <v>779</v>
      </c>
      <c r="K245" s="25" t="s">
        <v>751</v>
      </c>
      <c r="L245" s="25" t="s">
        <v>581</v>
      </c>
      <c r="M245" s="11" t="s">
        <v>775</v>
      </c>
      <c r="N245" s="25" t="s">
        <v>86</v>
      </c>
      <c r="O245" s="11"/>
      <c r="P245" s="33" t="s">
        <v>780</v>
      </c>
      <c r="Q245" s="11" t="s">
        <v>781</v>
      </c>
      <c r="R245" s="12" t="s">
        <v>88</v>
      </c>
      <c r="S245" s="13" t="s">
        <v>93</v>
      </c>
      <c r="T245" s="36">
        <v>0</v>
      </c>
      <c r="U245" s="37">
        <v>50</v>
      </c>
      <c r="V245" s="38">
        <v>10</v>
      </c>
      <c r="W245" s="38">
        <v>10</v>
      </c>
      <c r="X245" s="38">
        <v>15</v>
      </c>
      <c r="Y245" s="38">
        <v>15</v>
      </c>
      <c r="Z245" s="17">
        <f t="shared" si="123"/>
        <v>3361875</v>
      </c>
      <c r="AA245" s="17">
        <v>0</v>
      </c>
      <c r="AB245" s="17">
        <v>0</v>
      </c>
      <c r="AC245" s="17">
        <v>0</v>
      </c>
      <c r="AD245" s="17">
        <v>0</v>
      </c>
      <c r="AE245" s="17">
        <f t="shared" si="124"/>
        <v>187500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8">
        <f>SUM(PlanIndicativo[[#This Row],[Ingresos Corrientes de Libre Destinación - ICLD (2020)]:[Otros (2020)]])</f>
        <v>3549375</v>
      </c>
      <c r="AL245" s="17">
        <f t="shared" si="129"/>
        <v>3361875</v>
      </c>
      <c r="AM245" s="17">
        <v>0</v>
      </c>
      <c r="AN245" s="17">
        <v>0</v>
      </c>
      <c r="AO245" s="17">
        <v>0</v>
      </c>
      <c r="AP245" s="17">
        <v>0</v>
      </c>
      <c r="AQ245" s="17">
        <f t="shared" si="130"/>
        <v>187500</v>
      </c>
      <c r="AR245" s="17">
        <v>0</v>
      </c>
      <c r="AS245" s="17">
        <v>0</v>
      </c>
      <c r="AT245" s="17">
        <v>0</v>
      </c>
      <c r="AU245" s="17">
        <v>0</v>
      </c>
      <c r="AV245" s="17">
        <v>0</v>
      </c>
      <c r="AW245" s="19">
        <f>SUM(PlanIndicativo[[#This Row],[Ingresos Corrientes de Libre Destinación - ICLD (2021)]:[Otros  (2021)]])</f>
        <v>3549375</v>
      </c>
      <c r="AX245" s="17">
        <f t="shared" si="125"/>
        <v>3361875</v>
      </c>
      <c r="AY245" s="17">
        <v>0</v>
      </c>
      <c r="AZ245" s="17">
        <v>0</v>
      </c>
      <c r="BA245" s="17">
        <v>0</v>
      </c>
      <c r="BB245" s="17">
        <v>0</v>
      </c>
      <c r="BC245" s="17">
        <f t="shared" si="126"/>
        <v>187500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20">
        <f>SUM(PlanIndicativo[[#This Row],[Ingresos Corrientes de Libre Destinación - ICLD (2022)]:[Otros   (2022)]])</f>
        <v>3549375</v>
      </c>
      <c r="BJ245" s="17">
        <f t="shared" si="127"/>
        <v>3361875</v>
      </c>
      <c r="BK245" s="17">
        <v>0</v>
      </c>
      <c r="BL245" s="17">
        <v>0</v>
      </c>
      <c r="BM245" s="17">
        <v>0</v>
      </c>
      <c r="BN245" s="17">
        <v>0</v>
      </c>
      <c r="BO245" s="17">
        <f t="shared" si="128"/>
        <v>187500</v>
      </c>
      <c r="BP245" s="17">
        <v>0</v>
      </c>
      <c r="BQ245" s="17">
        <v>0</v>
      </c>
      <c r="BR245" s="17">
        <v>0</v>
      </c>
      <c r="BS245" s="17">
        <v>0</v>
      </c>
      <c r="BT245" s="17">
        <v>0</v>
      </c>
      <c r="BU245" s="21">
        <f>SUM(PlanIndicativo[[#This Row],[Ingresos Corrientes de Libre Destinación - ICLD (2023)]:[Otros (2023)]])</f>
        <v>3549375</v>
      </c>
      <c r="BV245" s="21">
        <f>+PlanIndicativo[[#This Row],[Total (2020)]]+PlanIndicativo[[#This Row],[Total  (2021)]]+PlanIndicativo[[#This Row],[Total  (2022)]]+PlanIndicativo[[#This Row],[Total (2023)]]</f>
        <v>14197500</v>
      </c>
      <c r="BW245" s="22" t="s">
        <v>584</v>
      </c>
    </row>
    <row r="246" spans="1:75" ht="21" customHeight="1" x14ac:dyDescent="0.25">
      <c r="A246" s="7">
        <v>4</v>
      </c>
      <c r="B246" s="8" t="s">
        <v>743</v>
      </c>
      <c r="C246" s="7" t="s">
        <v>744</v>
      </c>
      <c r="D246" s="7" t="s">
        <v>745</v>
      </c>
      <c r="E246" s="7" t="s">
        <v>746</v>
      </c>
      <c r="F246" s="8" t="s">
        <v>747</v>
      </c>
      <c r="G246" s="7" t="s">
        <v>748</v>
      </c>
      <c r="H246" s="8" t="s">
        <v>749</v>
      </c>
      <c r="I246" s="40" t="s">
        <v>782</v>
      </c>
      <c r="J246" s="11" t="s">
        <v>783</v>
      </c>
      <c r="K246" s="25" t="s">
        <v>751</v>
      </c>
      <c r="L246" s="25" t="s">
        <v>581</v>
      </c>
      <c r="M246" s="11" t="s">
        <v>775</v>
      </c>
      <c r="N246" s="25" t="s">
        <v>86</v>
      </c>
      <c r="O246" s="11"/>
      <c r="P246" s="33" t="s">
        <v>784</v>
      </c>
      <c r="Q246" s="11" t="s">
        <v>785</v>
      </c>
      <c r="R246" s="12" t="s">
        <v>88</v>
      </c>
      <c r="S246" s="13" t="s">
        <v>93</v>
      </c>
      <c r="T246" s="36">
        <v>0</v>
      </c>
      <c r="U246" s="37">
        <v>400</v>
      </c>
      <c r="V246" s="38">
        <v>100</v>
      </c>
      <c r="W246" s="38">
        <v>100</v>
      </c>
      <c r="X246" s="38">
        <v>100</v>
      </c>
      <c r="Y246" s="38">
        <v>100</v>
      </c>
      <c r="Z246" s="17">
        <f t="shared" si="123"/>
        <v>3361875</v>
      </c>
      <c r="AA246" s="17">
        <v>0</v>
      </c>
      <c r="AB246" s="17">
        <v>0</v>
      </c>
      <c r="AC246" s="17">
        <v>0</v>
      </c>
      <c r="AD246" s="17">
        <v>0</v>
      </c>
      <c r="AE246" s="17">
        <f t="shared" si="124"/>
        <v>187500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8">
        <f>SUM(PlanIndicativo[[#This Row],[Ingresos Corrientes de Libre Destinación - ICLD (2020)]:[Otros (2020)]])</f>
        <v>3549375</v>
      </c>
      <c r="AL246" s="17">
        <f t="shared" si="129"/>
        <v>3361875</v>
      </c>
      <c r="AM246" s="17">
        <v>0</v>
      </c>
      <c r="AN246" s="17">
        <v>0</v>
      </c>
      <c r="AO246" s="17">
        <v>0</v>
      </c>
      <c r="AP246" s="17">
        <v>0</v>
      </c>
      <c r="AQ246" s="17">
        <f t="shared" si="130"/>
        <v>187500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9">
        <f>SUM(PlanIndicativo[[#This Row],[Ingresos Corrientes de Libre Destinación - ICLD (2021)]:[Otros  (2021)]])</f>
        <v>3549375</v>
      </c>
      <c r="AX246" s="17">
        <f t="shared" si="125"/>
        <v>3361875</v>
      </c>
      <c r="AY246" s="17">
        <v>0</v>
      </c>
      <c r="AZ246" s="17">
        <v>0</v>
      </c>
      <c r="BA246" s="17">
        <v>0</v>
      </c>
      <c r="BB246" s="17">
        <v>0</v>
      </c>
      <c r="BC246" s="17">
        <f t="shared" si="126"/>
        <v>187500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20">
        <f>SUM(PlanIndicativo[[#This Row],[Ingresos Corrientes de Libre Destinación - ICLD (2022)]:[Otros   (2022)]])</f>
        <v>3549375</v>
      </c>
      <c r="BJ246" s="17">
        <f t="shared" si="127"/>
        <v>3361875</v>
      </c>
      <c r="BK246" s="17">
        <v>0</v>
      </c>
      <c r="BL246" s="17">
        <v>0</v>
      </c>
      <c r="BM246" s="17">
        <v>0</v>
      </c>
      <c r="BN246" s="17">
        <v>0</v>
      </c>
      <c r="BO246" s="17">
        <f t="shared" si="128"/>
        <v>187500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21">
        <f>SUM(PlanIndicativo[[#This Row],[Ingresos Corrientes de Libre Destinación - ICLD (2023)]:[Otros (2023)]])</f>
        <v>3549375</v>
      </c>
      <c r="BV246" s="21">
        <f>+PlanIndicativo[[#This Row],[Total (2020)]]+PlanIndicativo[[#This Row],[Total  (2021)]]+PlanIndicativo[[#This Row],[Total  (2022)]]+PlanIndicativo[[#This Row],[Total (2023)]]</f>
        <v>14197500</v>
      </c>
      <c r="BW246" s="22" t="s">
        <v>584</v>
      </c>
    </row>
    <row r="247" spans="1:75" ht="21" customHeight="1" x14ac:dyDescent="0.25">
      <c r="A247" s="7">
        <v>4</v>
      </c>
      <c r="B247" s="8" t="s">
        <v>743</v>
      </c>
      <c r="C247" s="7" t="s">
        <v>744</v>
      </c>
      <c r="D247" s="7" t="s">
        <v>745</v>
      </c>
      <c r="E247" s="7" t="s">
        <v>746</v>
      </c>
      <c r="F247" s="8" t="s">
        <v>747</v>
      </c>
      <c r="G247" s="7" t="s">
        <v>748</v>
      </c>
      <c r="H247" s="8" t="s">
        <v>749</v>
      </c>
      <c r="I247" s="40" t="s">
        <v>786</v>
      </c>
      <c r="J247" s="11" t="s">
        <v>787</v>
      </c>
      <c r="K247" s="25" t="s">
        <v>751</v>
      </c>
      <c r="L247" s="25" t="s">
        <v>581</v>
      </c>
      <c r="M247" s="11" t="s">
        <v>788</v>
      </c>
      <c r="N247" s="25" t="s">
        <v>86</v>
      </c>
      <c r="O247" s="11"/>
      <c r="P247" s="33" t="s">
        <v>789</v>
      </c>
      <c r="Q247" s="11" t="s">
        <v>790</v>
      </c>
      <c r="R247" s="12" t="s">
        <v>88</v>
      </c>
      <c r="S247" s="13" t="s">
        <v>93</v>
      </c>
      <c r="T247" s="36">
        <v>0</v>
      </c>
      <c r="U247" s="37">
        <v>2</v>
      </c>
      <c r="V247" s="38">
        <v>0</v>
      </c>
      <c r="W247" s="38">
        <v>1</v>
      </c>
      <c r="X247" s="38">
        <v>1</v>
      </c>
      <c r="Y247" s="38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8">
        <f>SUM(PlanIndicativo[[#This Row],[Ingresos Corrientes de Libre Destinación - ICLD (2020)]:[Otros (2020)]])</f>
        <v>0</v>
      </c>
      <c r="AL247" s="17">
        <f t="shared" si="129"/>
        <v>3361875</v>
      </c>
      <c r="AM247" s="17">
        <v>0</v>
      </c>
      <c r="AN247" s="17">
        <v>0</v>
      </c>
      <c r="AO247" s="17">
        <v>0</v>
      </c>
      <c r="AP247" s="17">
        <v>0</v>
      </c>
      <c r="AQ247" s="17">
        <f t="shared" si="130"/>
        <v>187500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9">
        <f>SUM(PlanIndicativo[[#This Row],[Ingresos Corrientes de Libre Destinación - ICLD (2021)]:[Otros  (2021)]])</f>
        <v>3549375</v>
      </c>
      <c r="AX247" s="17">
        <f t="shared" si="125"/>
        <v>3361875</v>
      </c>
      <c r="AY247" s="17">
        <v>0</v>
      </c>
      <c r="AZ247" s="17">
        <v>0</v>
      </c>
      <c r="BA247" s="17">
        <v>0</v>
      </c>
      <c r="BB247" s="17">
        <v>0</v>
      </c>
      <c r="BC247" s="17">
        <f t="shared" si="126"/>
        <v>187500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20">
        <f>SUM(PlanIndicativo[[#This Row],[Ingresos Corrientes de Libre Destinación - ICLD (2022)]:[Otros   (2022)]])</f>
        <v>3549375</v>
      </c>
      <c r="BJ247" s="17">
        <f t="shared" si="127"/>
        <v>3361875</v>
      </c>
      <c r="BK247" s="17">
        <v>0</v>
      </c>
      <c r="BL247" s="17">
        <v>0</v>
      </c>
      <c r="BM247" s="17">
        <v>0</v>
      </c>
      <c r="BN247" s="17">
        <v>0</v>
      </c>
      <c r="BO247" s="17">
        <f t="shared" si="128"/>
        <v>187500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21">
        <f>SUM(PlanIndicativo[[#This Row],[Ingresos Corrientes de Libre Destinación - ICLD (2023)]:[Otros (2023)]])</f>
        <v>3549375</v>
      </c>
      <c r="BV247" s="21">
        <f>+PlanIndicativo[[#This Row],[Total (2020)]]+PlanIndicativo[[#This Row],[Total  (2021)]]+PlanIndicativo[[#This Row],[Total  (2022)]]+PlanIndicativo[[#This Row],[Total (2023)]]</f>
        <v>10648125</v>
      </c>
      <c r="BW247" s="22" t="s">
        <v>584</v>
      </c>
    </row>
    <row r="248" spans="1:75" ht="21" customHeight="1" x14ac:dyDescent="0.25">
      <c r="A248" s="7">
        <v>4</v>
      </c>
      <c r="B248" s="8" t="s">
        <v>743</v>
      </c>
      <c r="C248" s="7" t="s">
        <v>744</v>
      </c>
      <c r="D248" s="7" t="s">
        <v>745</v>
      </c>
      <c r="E248" s="7" t="s">
        <v>746</v>
      </c>
      <c r="F248" s="8" t="s">
        <v>747</v>
      </c>
      <c r="G248" s="7" t="s">
        <v>748</v>
      </c>
      <c r="H248" s="8" t="s">
        <v>749</v>
      </c>
      <c r="I248" s="40" t="s">
        <v>791</v>
      </c>
      <c r="J248" s="11" t="s">
        <v>792</v>
      </c>
      <c r="K248" s="25" t="s">
        <v>751</v>
      </c>
      <c r="L248" s="25" t="s">
        <v>581</v>
      </c>
      <c r="M248" s="11" t="s">
        <v>788</v>
      </c>
      <c r="N248" s="25" t="s">
        <v>86</v>
      </c>
      <c r="O248" s="11"/>
      <c r="P248" s="40" t="s">
        <v>793</v>
      </c>
      <c r="Q248" s="11" t="s">
        <v>794</v>
      </c>
      <c r="R248" s="12" t="s">
        <v>88</v>
      </c>
      <c r="S248" s="13" t="s">
        <v>93</v>
      </c>
      <c r="T248" s="36">
        <v>4</v>
      </c>
      <c r="U248" s="37">
        <v>4</v>
      </c>
      <c r="V248" s="38">
        <v>1</v>
      </c>
      <c r="W248" s="38">
        <v>1</v>
      </c>
      <c r="X248" s="38">
        <v>1</v>
      </c>
      <c r="Y248" s="38">
        <v>1</v>
      </c>
      <c r="Z248" s="17">
        <f>53790000/16*2</f>
        <v>6723750</v>
      </c>
      <c r="AA248" s="17">
        <v>0</v>
      </c>
      <c r="AB248" s="17">
        <v>0</v>
      </c>
      <c r="AC248" s="17">
        <v>0</v>
      </c>
      <c r="AD248" s="17">
        <v>0</v>
      </c>
      <c r="AE248" s="17">
        <f>3000000/16*2</f>
        <v>375000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8">
        <f>SUM(PlanIndicativo[[#This Row],[Ingresos Corrientes de Libre Destinación - ICLD (2020)]:[Otros (2020)]])</f>
        <v>7098750</v>
      </c>
      <c r="AL248" s="17">
        <f t="shared" si="129"/>
        <v>3361875</v>
      </c>
      <c r="AM248" s="17">
        <v>0</v>
      </c>
      <c r="AN248" s="17">
        <v>0</v>
      </c>
      <c r="AO248" s="17">
        <v>0</v>
      </c>
      <c r="AP248" s="17">
        <v>0</v>
      </c>
      <c r="AQ248" s="17">
        <f t="shared" si="130"/>
        <v>187500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9">
        <f>SUM(PlanIndicativo[[#This Row],[Ingresos Corrientes de Libre Destinación - ICLD (2021)]:[Otros  (2021)]])</f>
        <v>3549375</v>
      </c>
      <c r="AX248" s="17">
        <f t="shared" si="125"/>
        <v>3361875</v>
      </c>
      <c r="AY248" s="17">
        <v>0</v>
      </c>
      <c r="AZ248" s="17">
        <v>0</v>
      </c>
      <c r="BA248" s="17">
        <v>0</v>
      </c>
      <c r="BB248" s="17">
        <v>0</v>
      </c>
      <c r="BC248" s="17">
        <f t="shared" si="126"/>
        <v>187500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20">
        <f>SUM(PlanIndicativo[[#This Row],[Ingresos Corrientes de Libre Destinación - ICLD (2022)]:[Otros   (2022)]])</f>
        <v>3549375</v>
      </c>
      <c r="BJ248" s="17">
        <f t="shared" si="127"/>
        <v>3361875</v>
      </c>
      <c r="BK248" s="17">
        <v>0</v>
      </c>
      <c r="BL248" s="17">
        <v>0</v>
      </c>
      <c r="BM248" s="17">
        <v>0</v>
      </c>
      <c r="BN248" s="17">
        <v>0</v>
      </c>
      <c r="BO248" s="17">
        <f t="shared" si="128"/>
        <v>187500</v>
      </c>
      <c r="BP248" s="17">
        <v>0</v>
      </c>
      <c r="BQ248" s="17">
        <v>0</v>
      </c>
      <c r="BR248" s="17">
        <v>0</v>
      </c>
      <c r="BS248" s="17">
        <v>0</v>
      </c>
      <c r="BT248" s="17">
        <v>0</v>
      </c>
      <c r="BU248" s="21">
        <f>SUM(PlanIndicativo[[#This Row],[Ingresos Corrientes de Libre Destinación - ICLD (2023)]:[Otros (2023)]])</f>
        <v>3549375</v>
      </c>
      <c r="BV248" s="21">
        <f>+PlanIndicativo[[#This Row],[Total (2020)]]+PlanIndicativo[[#This Row],[Total  (2021)]]+PlanIndicativo[[#This Row],[Total  (2022)]]+PlanIndicativo[[#This Row],[Total (2023)]]</f>
        <v>17746875</v>
      </c>
      <c r="BW248" s="22" t="s">
        <v>584</v>
      </c>
    </row>
    <row r="249" spans="1:75" ht="21" customHeight="1" x14ac:dyDescent="0.25">
      <c r="A249" s="7">
        <v>4</v>
      </c>
      <c r="B249" s="8" t="s">
        <v>743</v>
      </c>
      <c r="C249" s="7" t="s">
        <v>744</v>
      </c>
      <c r="D249" s="7" t="s">
        <v>745</v>
      </c>
      <c r="E249" s="7" t="s">
        <v>746</v>
      </c>
      <c r="F249" s="8" t="s">
        <v>747</v>
      </c>
      <c r="G249" s="7" t="s">
        <v>748</v>
      </c>
      <c r="H249" s="8" t="s">
        <v>749</v>
      </c>
      <c r="I249" s="40" t="s">
        <v>795</v>
      </c>
      <c r="J249" s="11" t="s">
        <v>796</v>
      </c>
      <c r="K249" s="25" t="s">
        <v>751</v>
      </c>
      <c r="L249" s="25" t="s">
        <v>581</v>
      </c>
      <c r="M249" s="11" t="s">
        <v>788</v>
      </c>
      <c r="N249" s="25" t="s">
        <v>86</v>
      </c>
      <c r="O249" s="11"/>
      <c r="P249" s="40" t="s">
        <v>797</v>
      </c>
      <c r="Q249" s="11" t="s">
        <v>798</v>
      </c>
      <c r="R249" s="12" t="s">
        <v>88</v>
      </c>
      <c r="S249" s="13" t="s">
        <v>93</v>
      </c>
      <c r="T249" s="36">
        <v>1</v>
      </c>
      <c r="U249" s="37">
        <v>1</v>
      </c>
      <c r="V249" s="38">
        <v>1</v>
      </c>
      <c r="W249" s="38">
        <v>1</v>
      </c>
      <c r="X249" s="38">
        <v>1</v>
      </c>
      <c r="Y249" s="38">
        <v>1</v>
      </c>
      <c r="Z249" s="17">
        <f t="shared" si="123"/>
        <v>3361875</v>
      </c>
      <c r="AA249" s="17">
        <v>0</v>
      </c>
      <c r="AB249" s="17">
        <v>0</v>
      </c>
      <c r="AC249" s="17">
        <v>0</v>
      </c>
      <c r="AD249" s="17">
        <v>0</v>
      </c>
      <c r="AE249" s="17">
        <f t="shared" si="124"/>
        <v>187500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8">
        <f>SUM(PlanIndicativo[[#This Row],[Ingresos Corrientes de Libre Destinación - ICLD (2020)]:[Otros (2020)]])</f>
        <v>3549375</v>
      </c>
      <c r="AL249" s="17">
        <f t="shared" si="129"/>
        <v>3361875</v>
      </c>
      <c r="AM249" s="17">
        <v>0</v>
      </c>
      <c r="AN249" s="17">
        <v>0</v>
      </c>
      <c r="AO249" s="17">
        <v>0</v>
      </c>
      <c r="AP249" s="17">
        <v>0</v>
      </c>
      <c r="AQ249" s="17">
        <f t="shared" si="130"/>
        <v>187500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9">
        <f>SUM(PlanIndicativo[[#This Row],[Ingresos Corrientes de Libre Destinación - ICLD (2021)]:[Otros  (2021)]])</f>
        <v>3549375</v>
      </c>
      <c r="AX249" s="17">
        <f t="shared" si="125"/>
        <v>3361875</v>
      </c>
      <c r="AY249" s="17">
        <v>0</v>
      </c>
      <c r="AZ249" s="17">
        <v>0</v>
      </c>
      <c r="BA249" s="17">
        <v>0</v>
      </c>
      <c r="BB249" s="17">
        <v>0</v>
      </c>
      <c r="BC249" s="17">
        <f t="shared" si="126"/>
        <v>187500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20">
        <f>SUM(PlanIndicativo[[#This Row],[Ingresos Corrientes de Libre Destinación - ICLD (2022)]:[Otros   (2022)]])</f>
        <v>3549375</v>
      </c>
      <c r="BJ249" s="17">
        <f t="shared" si="127"/>
        <v>3361875</v>
      </c>
      <c r="BK249" s="17">
        <v>0</v>
      </c>
      <c r="BL249" s="17">
        <v>0</v>
      </c>
      <c r="BM249" s="17">
        <v>0</v>
      </c>
      <c r="BN249" s="17">
        <v>0</v>
      </c>
      <c r="BO249" s="17">
        <f t="shared" si="128"/>
        <v>187500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21">
        <f>SUM(PlanIndicativo[[#This Row],[Ingresos Corrientes de Libre Destinación - ICLD (2023)]:[Otros (2023)]])</f>
        <v>3549375</v>
      </c>
      <c r="BV249" s="21">
        <f>+PlanIndicativo[[#This Row],[Total (2020)]]+PlanIndicativo[[#This Row],[Total  (2021)]]+PlanIndicativo[[#This Row],[Total  (2022)]]+PlanIndicativo[[#This Row],[Total (2023)]]</f>
        <v>14197500</v>
      </c>
      <c r="BW249" s="22" t="s">
        <v>584</v>
      </c>
    </row>
    <row r="250" spans="1:75" ht="21" customHeight="1" x14ac:dyDescent="0.25">
      <c r="A250" s="7">
        <v>4</v>
      </c>
      <c r="B250" s="8" t="s">
        <v>743</v>
      </c>
      <c r="C250" s="7" t="s">
        <v>744</v>
      </c>
      <c r="D250" s="7" t="s">
        <v>745</v>
      </c>
      <c r="E250" s="7" t="s">
        <v>746</v>
      </c>
      <c r="F250" s="8" t="s">
        <v>747</v>
      </c>
      <c r="G250" s="7" t="s">
        <v>748</v>
      </c>
      <c r="H250" s="8" t="s">
        <v>749</v>
      </c>
      <c r="I250" s="40" t="s">
        <v>799</v>
      </c>
      <c r="J250" s="11" t="s">
        <v>800</v>
      </c>
      <c r="K250" s="25" t="s">
        <v>751</v>
      </c>
      <c r="L250" s="25" t="s">
        <v>581</v>
      </c>
      <c r="M250" s="11" t="s">
        <v>788</v>
      </c>
      <c r="N250" s="25" t="s">
        <v>86</v>
      </c>
      <c r="O250" s="11"/>
      <c r="P250" s="40" t="s">
        <v>801</v>
      </c>
      <c r="Q250" s="11" t="s">
        <v>802</v>
      </c>
      <c r="R250" s="12" t="s">
        <v>88</v>
      </c>
      <c r="S250" s="13" t="s">
        <v>93</v>
      </c>
      <c r="T250" s="36">
        <v>1</v>
      </c>
      <c r="U250" s="37">
        <v>1</v>
      </c>
      <c r="V250" s="38">
        <v>1</v>
      </c>
      <c r="W250" s="38">
        <v>1</v>
      </c>
      <c r="X250" s="38">
        <v>1</v>
      </c>
      <c r="Y250" s="38">
        <v>1</v>
      </c>
      <c r="Z250" s="17">
        <f t="shared" si="123"/>
        <v>3361875</v>
      </c>
      <c r="AA250" s="17">
        <v>0</v>
      </c>
      <c r="AB250" s="17">
        <v>0</v>
      </c>
      <c r="AC250" s="17">
        <v>0</v>
      </c>
      <c r="AD250" s="17">
        <v>0</v>
      </c>
      <c r="AE250" s="17">
        <f t="shared" si="124"/>
        <v>187500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8">
        <f>SUM(PlanIndicativo[[#This Row],[Ingresos Corrientes de Libre Destinación - ICLD (2020)]:[Otros (2020)]])</f>
        <v>3549375</v>
      </c>
      <c r="AL250" s="17">
        <f t="shared" si="129"/>
        <v>3361875</v>
      </c>
      <c r="AM250" s="17">
        <v>0</v>
      </c>
      <c r="AN250" s="17">
        <v>0</v>
      </c>
      <c r="AO250" s="17">
        <v>0</v>
      </c>
      <c r="AP250" s="17">
        <v>0</v>
      </c>
      <c r="AQ250" s="17">
        <f t="shared" si="130"/>
        <v>187500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9">
        <f>SUM(PlanIndicativo[[#This Row],[Ingresos Corrientes de Libre Destinación - ICLD (2021)]:[Otros  (2021)]])</f>
        <v>3549375</v>
      </c>
      <c r="AX250" s="17">
        <f t="shared" si="125"/>
        <v>3361875</v>
      </c>
      <c r="AY250" s="17">
        <v>0</v>
      </c>
      <c r="AZ250" s="17">
        <v>0</v>
      </c>
      <c r="BA250" s="17">
        <v>0</v>
      </c>
      <c r="BB250" s="17">
        <v>0</v>
      </c>
      <c r="BC250" s="17">
        <f t="shared" si="126"/>
        <v>187500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20">
        <f>SUM(PlanIndicativo[[#This Row],[Ingresos Corrientes de Libre Destinación - ICLD (2022)]:[Otros   (2022)]])</f>
        <v>3549375</v>
      </c>
      <c r="BJ250" s="17">
        <f t="shared" si="127"/>
        <v>3361875</v>
      </c>
      <c r="BK250" s="17">
        <v>0</v>
      </c>
      <c r="BL250" s="17">
        <v>0</v>
      </c>
      <c r="BM250" s="17">
        <v>0</v>
      </c>
      <c r="BN250" s="17">
        <v>0</v>
      </c>
      <c r="BO250" s="17">
        <f t="shared" si="128"/>
        <v>187500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21">
        <f>SUM(PlanIndicativo[[#This Row],[Ingresos Corrientes de Libre Destinación - ICLD (2023)]:[Otros (2023)]])</f>
        <v>3549375</v>
      </c>
      <c r="BV250" s="21">
        <f>+PlanIndicativo[[#This Row],[Total (2020)]]+PlanIndicativo[[#This Row],[Total  (2021)]]+PlanIndicativo[[#This Row],[Total  (2022)]]+PlanIndicativo[[#This Row],[Total (2023)]]</f>
        <v>14197500</v>
      </c>
      <c r="BW250" s="22" t="s">
        <v>584</v>
      </c>
    </row>
    <row r="251" spans="1:75" ht="21" customHeight="1" x14ac:dyDescent="0.25">
      <c r="A251" s="7">
        <v>4</v>
      </c>
      <c r="B251" s="8" t="s">
        <v>743</v>
      </c>
      <c r="C251" s="7" t="s">
        <v>744</v>
      </c>
      <c r="D251" s="7" t="s">
        <v>745</v>
      </c>
      <c r="E251" s="7" t="s">
        <v>746</v>
      </c>
      <c r="F251" s="8" t="s">
        <v>747</v>
      </c>
      <c r="G251" s="7" t="s">
        <v>748</v>
      </c>
      <c r="H251" s="8" t="s">
        <v>749</v>
      </c>
      <c r="I251" s="40" t="s">
        <v>803</v>
      </c>
      <c r="J251" s="11" t="s">
        <v>804</v>
      </c>
      <c r="K251" s="25" t="s">
        <v>751</v>
      </c>
      <c r="L251" s="25" t="s">
        <v>581</v>
      </c>
      <c r="M251" s="11" t="s">
        <v>788</v>
      </c>
      <c r="N251" s="25" t="s">
        <v>86</v>
      </c>
      <c r="O251" s="11"/>
      <c r="P251" s="40" t="s">
        <v>805</v>
      </c>
      <c r="Q251" s="11" t="s">
        <v>806</v>
      </c>
      <c r="R251" s="12" t="s">
        <v>88</v>
      </c>
      <c r="S251" s="13" t="s">
        <v>93</v>
      </c>
      <c r="T251" s="36">
        <v>0</v>
      </c>
      <c r="U251" s="37">
        <v>4</v>
      </c>
      <c r="V251" s="38">
        <v>1</v>
      </c>
      <c r="W251" s="38">
        <v>1</v>
      </c>
      <c r="X251" s="38">
        <v>1</v>
      </c>
      <c r="Y251" s="38">
        <v>1</v>
      </c>
      <c r="Z251" s="17">
        <f t="shared" si="123"/>
        <v>3361875</v>
      </c>
      <c r="AA251" s="17">
        <v>0</v>
      </c>
      <c r="AB251" s="17">
        <v>0</v>
      </c>
      <c r="AC251" s="17">
        <v>0</v>
      </c>
      <c r="AD251" s="17">
        <v>0</v>
      </c>
      <c r="AE251" s="17">
        <f t="shared" si="124"/>
        <v>187500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8">
        <f>SUM(PlanIndicativo[[#This Row],[Ingresos Corrientes de Libre Destinación - ICLD (2020)]:[Otros (2020)]])</f>
        <v>3549375</v>
      </c>
      <c r="AL251" s="17">
        <f t="shared" si="129"/>
        <v>3361875</v>
      </c>
      <c r="AM251" s="17">
        <v>0</v>
      </c>
      <c r="AN251" s="17">
        <v>0</v>
      </c>
      <c r="AO251" s="17">
        <v>0</v>
      </c>
      <c r="AP251" s="17">
        <v>0</v>
      </c>
      <c r="AQ251" s="17">
        <f t="shared" si="130"/>
        <v>187500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  <c r="AW251" s="19">
        <f>SUM(PlanIndicativo[[#This Row],[Ingresos Corrientes de Libre Destinación - ICLD (2021)]:[Otros  (2021)]])</f>
        <v>3549375</v>
      </c>
      <c r="AX251" s="17">
        <f t="shared" si="125"/>
        <v>3361875</v>
      </c>
      <c r="AY251" s="17">
        <v>0</v>
      </c>
      <c r="AZ251" s="17">
        <v>0</v>
      </c>
      <c r="BA251" s="17">
        <v>0</v>
      </c>
      <c r="BB251" s="17">
        <v>0</v>
      </c>
      <c r="BC251" s="17">
        <f t="shared" si="126"/>
        <v>187500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20">
        <f>SUM(PlanIndicativo[[#This Row],[Ingresos Corrientes de Libre Destinación - ICLD (2022)]:[Otros   (2022)]])</f>
        <v>3549375</v>
      </c>
      <c r="BJ251" s="17">
        <f t="shared" si="127"/>
        <v>3361875</v>
      </c>
      <c r="BK251" s="17">
        <v>0</v>
      </c>
      <c r="BL251" s="17">
        <v>0</v>
      </c>
      <c r="BM251" s="17">
        <v>0</v>
      </c>
      <c r="BN251" s="17">
        <v>0</v>
      </c>
      <c r="BO251" s="17">
        <f t="shared" si="128"/>
        <v>187500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21">
        <f>SUM(PlanIndicativo[[#This Row],[Ingresos Corrientes de Libre Destinación - ICLD (2023)]:[Otros (2023)]])</f>
        <v>3549375</v>
      </c>
      <c r="BV251" s="21">
        <f>+PlanIndicativo[[#This Row],[Total (2020)]]+PlanIndicativo[[#This Row],[Total  (2021)]]+PlanIndicativo[[#This Row],[Total  (2022)]]+PlanIndicativo[[#This Row],[Total (2023)]]</f>
        <v>14197500</v>
      </c>
      <c r="BW251" s="22" t="s">
        <v>584</v>
      </c>
    </row>
    <row r="252" spans="1:75" ht="21" customHeight="1" x14ac:dyDescent="0.25">
      <c r="A252" s="7">
        <v>4</v>
      </c>
      <c r="B252" s="8" t="s">
        <v>743</v>
      </c>
      <c r="C252" s="7" t="s">
        <v>744</v>
      </c>
      <c r="D252" s="7" t="s">
        <v>745</v>
      </c>
      <c r="E252" s="7" t="s">
        <v>746</v>
      </c>
      <c r="F252" s="8" t="s">
        <v>747</v>
      </c>
      <c r="G252" s="7" t="s">
        <v>748</v>
      </c>
      <c r="H252" s="8" t="s">
        <v>749</v>
      </c>
      <c r="I252" s="40" t="s">
        <v>807</v>
      </c>
      <c r="J252" s="11" t="s">
        <v>808</v>
      </c>
      <c r="K252" s="25" t="s">
        <v>751</v>
      </c>
      <c r="L252" s="25" t="s">
        <v>581</v>
      </c>
      <c r="M252" s="11" t="s">
        <v>788</v>
      </c>
      <c r="N252" s="25" t="s">
        <v>86</v>
      </c>
      <c r="O252" s="11"/>
      <c r="P252" s="40" t="s">
        <v>809</v>
      </c>
      <c r="Q252" s="11" t="s">
        <v>810</v>
      </c>
      <c r="R252" s="12" t="s">
        <v>88</v>
      </c>
      <c r="S252" s="13" t="s">
        <v>93</v>
      </c>
      <c r="T252" s="36">
        <v>4</v>
      </c>
      <c r="U252" s="37">
        <v>4</v>
      </c>
      <c r="V252" s="38">
        <v>1</v>
      </c>
      <c r="W252" s="38">
        <v>1</v>
      </c>
      <c r="X252" s="38">
        <v>1</v>
      </c>
      <c r="Y252" s="38">
        <v>1</v>
      </c>
      <c r="Z252" s="17">
        <f>53790000/16*2</f>
        <v>6723750</v>
      </c>
      <c r="AA252" s="17">
        <v>0</v>
      </c>
      <c r="AB252" s="17">
        <v>0</v>
      </c>
      <c r="AC252" s="17">
        <v>0</v>
      </c>
      <c r="AD252" s="17">
        <v>0</v>
      </c>
      <c r="AE252" s="17">
        <f>3000000/16*2</f>
        <v>375000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8">
        <f>SUM(PlanIndicativo[[#This Row],[Ingresos Corrientes de Libre Destinación - ICLD (2020)]:[Otros (2020)]])</f>
        <v>7098750</v>
      </c>
      <c r="AL252" s="17">
        <f>53790000/16*2</f>
        <v>6723750</v>
      </c>
      <c r="AM252" s="17">
        <v>0</v>
      </c>
      <c r="AN252" s="17">
        <v>0</v>
      </c>
      <c r="AO252" s="17">
        <v>0</v>
      </c>
      <c r="AP252" s="17">
        <v>0</v>
      </c>
      <c r="AQ252" s="17">
        <f>3000000/16*2</f>
        <v>375000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9">
        <f>SUM(PlanIndicativo[[#This Row],[Ingresos Corrientes de Libre Destinación - ICLD (2021)]:[Otros  (2021)]])</f>
        <v>7098750</v>
      </c>
      <c r="AX252" s="17">
        <f t="shared" si="125"/>
        <v>3361875</v>
      </c>
      <c r="AY252" s="17">
        <v>0</v>
      </c>
      <c r="AZ252" s="17">
        <v>0</v>
      </c>
      <c r="BA252" s="17">
        <v>0</v>
      </c>
      <c r="BB252" s="17">
        <v>0</v>
      </c>
      <c r="BC252" s="17">
        <f t="shared" si="126"/>
        <v>187500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20">
        <f>SUM(PlanIndicativo[[#This Row],[Ingresos Corrientes de Libre Destinación - ICLD (2022)]:[Otros   (2022)]])</f>
        <v>3549375</v>
      </c>
      <c r="BJ252" s="17">
        <f t="shared" si="127"/>
        <v>3361875</v>
      </c>
      <c r="BK252" s="17">
        <v>0</v>
      </c>
      <c r="BL252" s="17">
        <v>0</v>
      </c>
      <c r="BM252" s="17">
        <v>0</v>
      </c>
      <c r="BN252" s="17">
        <v>0</v>
      </c>
      <c r="BO252" s="17">
        <f t="shared" si="128"/>
        <v>187500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21">
        <f>SUM(PlanIndicativo[[#This Row],[Ingresos Corrientes de Libre Destinación - ICLD (2023)]:[Otros (2023)]])</f>
        <v>3549375</v>
      </c>
      <c r="BV252" s="21">
        <f>+PlanIndicativo[[#This Row],[Total (2020)]]+PlanIndicativo[[#This Row],[Total  (2021)]]+PlanIndicativo[[#This Row],[Total  (2022)]]+PlanIndicativo[[#This Row],[Total (2023)]]</f>
        <v>21296250</v>
      </c>
      <c r="BW252" s="22" t="s">
        <v>584</v>
      </c>
    </row>
    <row r="253" spans="1:75" ht="21" customHeight="1" x14ac:dyDescent="0.25">
      <c r="A253" s="7">
        <v>4</v>
      </c>
      <c r="B253" s="8" t="s">
        <v>743</v>
      </c>
      <c r="C253" s="7" t="s">
        <v>744</v>
      </c>
      <c r="D253" s="7" t="s">
        <v>745</v>
      </c>
      <c r="E253" s="7" t="s">
        <v>746</v>
      </c>
      <c r="F253" s="8" t="s">
        <v>747</v>
      </c>
      <c r="G253" s="7" t="s">
        <v>811</v>
      </c>
      <c r="H253" s="8" t="s">
        <v>812</v>
      </c>
      <c r="I253" s="9">
        <v>4002012</v>
      </c>
      <c r="J253" s="11" t="s">
        <v>813</v>
      </c>
      <c r="K253" s="11" t="s">
        <v>814</v>
      </c>
      <c r="L253" s="25" t="s">
        <v>581</v>
      </c>
      <c r="M253" s="11" t="s">
        <v>788</v>
      </c>
      <c r="N253" s="25" t="s">
        <v>86</v>
      </c>
      <c r="O253" s="11"/>
      <c r="P253" s="9">
        <v>400201200</v>
      </c>
      <c r="Q253" s="11" t="s">
        <v>815</v>
      </c>
      <c r="R253" s="12" t="s">
        <v>88</v>
      </c>
      <c r="S253" s="13" t="s">
        <v>93</v>
      </c>
      <c r="T253" s="36">
        <v>0</v>
      </c>
      <c r="U253" s="37">
        <v>1</v>
      </c>
      <c r="V253" s="38">
        <v>0</v>
      </c>
      <c r="W253" s="38">
        <v>0</v>
      </c>
      <c r="X253" s="38">
        <v>0</v>
      </c>
      <c r="Y253" s="38">
        <v>1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8">
        <f>SUM(PlanIndicativo[[#This Row],[Ingresos Corrientes de Libre Destinación - ICLD (2020)]:[Otros (2020)]])</f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9">
        <f>SUM(PlanIndicativo[[#This Row],[Ingresos Corrientes de Libre Destinación - ICLD (2021)]:[Otros  (2021)]])</f>
        <v>0</v>
      </c>
      <c r="AX253" s="17">
        <f t="shared" si="125"/>
        <v>3361875</v>
      </c>
      <c r="AY253" s="17">
        <v>0</v>
      </c>
      <c r="AZ253" s="17">
        <v>0</v>
      </c>
      <c r="BA253" s="17">
        <v>0</v>
      </c>
      <c r="BB253" s="17">
        <v>0</v>
      </c>
      <c r="BC253" s="17">
        <f t="shared" si="126"/>
        <v>187500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20">
        <f>SUM(PlanIndicativo[[#This Row],[Ingresos Corrientes de Libre Destinación - ICLD (2022)]:[Otros   (2022)]])</f>
        <v>3549375</v>
      </c>
      <c r="BJ253" s="17">
        <f t="shared" si="127"/>
        <v>3361875</v>
      </c>
      <c r="BK253" s="17">
        <v>0</v>
      </c>
      <c r="BL253" s="17">
        <v>0</v>
      </c>
      <c r="BM253" s="17">
        <v>0</v>
      </c>
      <c r="BN253" s="17">
        <v>0</v>
      </c>
      <c r="BO253" s="17">
        <f t="shared" si="128"/>
        <v>187500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21">
        <f>SUM(PlanIndicativo[[#This Row],[Ingresos Corrientes de Libre Destinación - ICLD (2023)]:[Otros (2023)]])</f>
        <v>3549375</v>
      </c>
      <c r="BV253" s="21">
        <f>+PlanIndicativo[[#This Row],[Total (2020)]]+PlanIndicativo[[#This Row],[Total  (2021)]]+PlanIndicativo[[#This Row],[Total  (2022)]]+PlanIndicativo[[#This Row],[Total (2023)]]</f>
        <v>7098750</v>
      </c>
      <c r="BW253" s="22" t="s">
        <v>584</v>
      </c>
    </row>
    <row r="254" spans="1:75" ht="21" customHeight="1" x14ac:dyDescent="0.25">
      <c r="A254" s="7">
        <v>4</v>
      </c>
      <c r="B254" s="8" t="s">
        <v>743</v>
      </c>
      <c r="C254" s="7" t="s">
        <v>816</v>
      </c>
      <c r="D254" s="7" t="s">
        <v>817</v>
      </c>
      <c r="E254" s="7" t="s">
        <v>818</v>
      </c>
      <c r="F254" s="8" t="s">
        <v>819</v>
      </c>
      <c r="G254" s="7" t="s">
        <v>820</v>
      </c>
      <c r="H254" s="8" t="s">
        <v>821</v>
      </c>
      <c r="I254" s="9">
        <v>4002020</v>
      </c>
      <c r="J254" s="11" t="s">
        <v>822</v>
      </c>
      <c r="K254" s="11" t="s">
        <v>814</v>
      </c>
      <c r="L254" s="25" t="s">
        <v>581</v>
      </c>
      <c r="M254" s="11" t="s">
        <v>823</v>
      </c>
      <c r="N254" s="25" t="s">
        <v>86</v>
      </c>
      <c r="O254" s="11"/>
      <c r="P254" s="33">
        <v>400202000</v>
      </c>
      <c r="Q254" s="11" t="s">
        <v>822</v>
      </c>
      <c r="R254" s="12" t="s">
        <v>824</v>
      </c>
      <c r="S254" s="13" t="s">
        <v>93</v>
      </c>
      <c r="T254" s="36">
        <v>0</v>
      </c>
      <c r="U254" s="37">
        <v>3200</v>
      </c>
      <c r="V254" s="38">
        <v>800</v>
      </c>
      <c r="W254" s="38">
        <v>800</v>
      </c>
      <c r="X254" s="38">
        <v>800</v>
      </c>
      <c r="Y254" s="38">
        <v>800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f t="shared" ref="AE254:AE257" si="131">150000000/4</f>
        <v>37500000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8">
        <f>SUM(PlanIndicativo[[#This Row],[Ingresos Corrientes de Libre Destinación - ICLD (2020)]:[Otros (2020)]])</f>
        <v>37500000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f t="shared" ref="AQ254:AQ257" si="132">150000000/4</f>
        <v>37500000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9">
        <f>SUM(PlanIndicativo[[#This Row],[Ingresos Corrientes de Libre Destinación - ICLD (2021)]:[Otros  (2021)]])</f>
        <v>37500000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f t="shared" ref="BC254:BC257" si="133">150000000/4</f>
        <v>37500000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20">
        <f>SUM(PlanIndicativo[[#This Row],[Ingresos Corrientes de Libre Destinación - ICLD (2022)]:[Otros   (2022)]])</f>
        <v>37500000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f t="shared" ref="BO254:BO257" si="134">150000000/4</f>
        <v>37500000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21">
        <f>SUM(PlanIndicativo[[#This Row],[Ingresos Corrientes de Libre Destinación - ICLD (2023)]:[Otros (2023)]])</f>
        <v>37500000</v>
      </c>
      <c r="BV254" s="21">
        <f>+PlanIndicativo[[#This Row],[Total (2020)]]+PlanIndicativo[[#This Row],[Total  (2021)]]+PlanIndicativo[[#This Row],[Total  (2022)]]+PlanIndicativo[[#This Row],[Total (2023)]]</f>
        <v>150000000</v>
      </c>
      <c r="BW254" s="22" t="s">
        <v>584</v>
      </c>
    </row>
    <row r="255" spans="1:75" ht="21" customHeight="1" x14ac:dyDescent="0.25">
      <c r="A255" s="7">
        <v>4</v>
      </c>
      <c r="B255" s="8" t="s">
        <v>743</v>
      </c>
      <c r="C255" s="7" t="s">
        <v>816</v>
      </c>
      <c r="D255" s="7" t="s">
        <v>817</v>
      </c>
      <c r="E255" s="7" t="s">
        <v>818</v>
      </c>
      <c r="F255" s="8" t="s">
        <v>819</v>
      </c>
      <c r="G255" s="7" t="s">
        <v>820</v>
      </c>
      <c r="H255" s="8" t="s">
        <v>821</v>
      </c>
      <c r="I255" s="9">
        <v>4002022</v>
      </c>
      <c r="J255" s="11" t="s">
        <v>825</v>
      </c>
      <c r="K255" s="11" t="s">
        <v>814</v>
      </c>
      <c r="L255" s="25" t="s">
        <v>581</v>
      </c>
      <c r="M255" s="11" t="s">
        <v>823</v>
      </c>
      <c r="N255" s="25" t="s">
        <v>86</v>
      </c>
      <c r="O255" s="11"/>
      <c r="P255" s="33">
        <v>400202200</v>
      </c>
      <c r="Q255" s="11" t="s">
        <v>825</v>
      </c>
      <c r="R255" s="12" t="s">
        <v>824</v>
      </c>
      <c r="S255" s="13" t="s">
        <v>93</v>
      </c>
      <c r="T255" s="36">
        <v>0</v>
      </c>
      <c r="U255" s="37">
        <v>12800</v>
      </c>
      <c r="V255" s="38">
        <v>3200</v>
      </c>
      <c r="W255" s="38">
        <v>3200</v>
      </c>
      <c r="X255" s="38">
        <v>3200</v>
      </c>
      <c r="Y255" s="38">
        <v>3200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f t="shared" si="131"/>
        <v>37500000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8">
        <f>SUM(PlanIndicativo[[#This Row],[Ingresos Corrientes de Libre Destinación - ICLD (2020)]:[Otros (2020)]])</f>
        <v>37500000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f t="shared" si="132"/>
        <v>37500000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9">
        <f>SUM(PlanIndicativo[[#This Row],[Ingresos Corrientes de Libre Destinación - ICLD (2021)]:[Otros  (2021)]])</f>
        <v>37500000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f t="shared" si="133"/>
        <v>37500000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20">
        <f>SUM(PlanIndicativo[[#This Row],[Ingresos Corrientes de Libre Destinación - ICLD (2022)]:[Otros   (2022)]])</f>
        <v>37500000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f t="shared" si="134"/>
        <v>37500000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21">
        <f>SUM(PlanIndicativo[[#This Row],[Ingresos Corrientes de Libre Destinación - ICLD (2023)]:[Otros (2023)]])</f>
        <v>37500000</v>
      </c>
      <c r="BV255" s="21">
        <f>+PlanIndicativo[[#This Row],[Total (2020)]]+PlanIndicativo[[#This Row],[Total  (2021)]]+PlanIndicativo[[#This Row],[Total  (2022)]]+PlanIndicativo[[#This Row],[Total (2023)]]</f>
        <v>150000000</v>
      </c>
      <c r="BW255" s="22" t="s">
        <v>584</v>
      </c>
    </row>
    <row r="256" spans="1:75" ht="21" customHeight="1" x14ac:dyDescent="0.25">
      <c r="A256" s="7">
        <v>4</v>
      </c>
      <c r="B256" s="8" t="s">
        <v>743</v>
      </c>
      <c r="C256" s="7" t="s">
        <v>816</v>
      </c>
      <c r="D256" s="7" t="s">
        <v>817</v>
      </c>
      <c r="E256" s="7" t="s">
        <v>818</v>
      </c>
      <c r="F256" s="8" t="s">
        <v>819</v>
      </c>
      <c r="G256" s="7" t="s">
        <v>820</v>
      </c>
      <c r="H256" s="8" t="s">
        <v>821</v>
      </c>
      <c r="I256" s="7">
        <v>4002023</v>
      </c>
      <c r="J256" s="11" t="s">
        <v>826</v>
      </c>
      <c r="K256" s="11" t="s">
        <v>814</v>
      </c>
      <c r="L256" s="25" t="s">
        <v>581</v>
      </c>
      <c r="M256" s="11" t="s">
        <v>823</v>
      </c>
      <c r="N256" s="25" t="s">
        <v>86</v>
      </c>
      <c r="O256" s="11"/>
      <c r="P256" s="33">
        <v>400202300</v>
      </c>
      <c r="Q256" s="11" t="s">
        <v>826</v>
      </c>
      <c r="R256" s="12" t="s">
        <v>824</v>
      </c>
      <c r="S256" s="13" t="s">
        <v>93</v>
      </c>
      <c r="T256" s="36">
        <v>0</v>
      </c>
      <c r="U256" s="37">
        <v>6400</v>
      </c>
      <c r="V256" s="38">
        <v>1600</v>
      </c>
      <c r="W256" s="38">
        <v>1600</v>
      </c>
      <c r="X256" s="38">
        <v>1600</v>
      </c>
      <c r="Y256" s="38">
        <v>1600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f t="shared" si="131"/>
        <v>37500000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8">
        <f>SUM(PlanIndicativo[[#This Row],[Ingresos Corrientes de Libre Destinación - ICLD (2020)]:[Otros (2020)]])</f>
        <v>37500000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f t="shared" si="132"/>
        <v>37500000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9">
        <f>SUM(PlanIndicativo[[#This Row],[Ingresos Corrientes de Libre Destinación - ICLD (2021)]:[Otros  (2021)]])</f>
        <v>37500000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f t="shared" si="133"/>
        <v>37500000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20">
        <f>SUM(PlanIndicativo[[#This Row],[Ingresos Corrientes de Libre Destinación - ICLD (2022)]:[Otros   (2022)]])</f>
        <v>37500000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f t="shared" si="134"/>
        <v>37500000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21">
        <f>SUM(PlanIndicativo[[#This Row],[Ingresos Corrientes de Libre Destinación - ICLD (2023)]:[Otros (2023)]])</f>
        <v>37500000</v>
      </c>
      <c r="BV256" s="21">
        <f>+PlanIndicativo[[#This Row],[Total (2020)]]+PlanIndicativo[[#This Row],[Total  (2021)]]+PlanIndicativo[[#This Row],[Total  (2022)]]+PlanIndicativo[[#This Row],[Total (2023)]]</f>
        <v>150000000</v>
      </c>
      <c r="BW256" s="22" t="s">
        <v>584</v>
      </c>
    </row>
    <row r="257" spans="1:75" ht="21" customHeight="1" x14ac:dyDescent="0.25">
      <c r="A257" s="7">
        <v>4</v>
      </c>
      <c r="B257" s="8" t="s">
        <v>743</v>
      </c>
      <c r="C257" s="7" t="s">
        <v>816</v>
      </c>
      <c r="D257" s="7" t="s">
        <v>817</v>
      </c>
      <c r="E257" s="7" t="s">
        <v>818</v>
      </c>
      <c r="F257" s="8" t="s">
        <v>819</v>
      </c>
      <c r="G257" s="7" t="s">
        <v>820</v>
      </c>
      <c r="H257" s="8" t="s">
        <v>821</v>
      </c>
      <c r="I257" s="7">
        <v>4002026</v>
      </c>
      <c r="J257" s="11" t="s">
        <v>827</v>
      </c>
      <c r="K257" s="11" t="s">
        <v>814</v>
      </c>
      <c r="L257" s="25" t="s">
        <v>581</v>
      </c>
      <c r="M257" s="11" t="s">
        <v>823</v>
      </c>
      <c r="N257" s="25" t="s">
        <v>86</v>
      </c>
      <c r="O257" s="11"/>
      <c r="P257" s="33">
        <v>400202600</v>
      </c>
      <c r="Q257" s="11" t="s">
        <v>827</v>
      </c>
      <c r="R257" s="12" t="s">
        <v>824</v>
      </c>
      <c r="S257" s="13" t="s">
        <v>89</v>
      </c>
      <c r="T257" s="36">
        <v>0</v>
      </c>
      <c r="U257" s="37">
        <v>6400</v>
      </c>
      <c r="V257" s="38">
        <v>1600</v>
      </c>
      <c r="W257" s="38">
        <v>1600</v>
      </c>
      <c r="X257" s="38">
        <v>1600</v>
      </c>
      <c r="Y257" s="38">
        <v>1600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f t="shared" si="131"/>
        <v>37500000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8">
        <f>SUM(PlanIndicativo[[#This Row],[Ingresos Corrientes de Libre Destinación - ICLD (2020)]:[Otros (2020)]])</f>
        <v>37500000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f t="shared" si="132"/>
        <v>37500000</v>
      </c>
      <c r="AR257" s="17">
        <v>0</v>
      </c>
      <c r="AS257" s="17">
        <v>0</v>
      </c>
      <c r="AT257" s="17">
        <v>0</v>
      </c>
      <c r="AU257" s="17">
        <v>0</v>
      </c>
      <c r="AV257" s="17">
        <v>0</v>
      </c>
      <c r="AW257" s="19">
        <f>SUM(PlanIndicativo[[#This Row],[Ingresos Corrientes de Libre Destinación - ICLD (2021)]:[Otros  (2021)]])</f>
        <v>37500000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f t="shared" si="133"/>
        <v>37500000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20">
        <f>SUM(PlanIndicativo[[#This Row],[Ingresos Corrientes de Libre Destinación - ICLD (2022)]:[Otros   (2022)]])</f>
        <v>37500000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f t="shared" si="134"/>
        <v>37500000</v>
      </c>
      <c r="BP257" s="17">
        <v>0</v>
      </c>
      <c r="BQ257" s="17">
        <v>0</v>
      </c>
      <c r="BR257" s="17">
        <v>0</v>
      </c>
      <c r="BS257" s="17">
        <v>0</v>
      </c>
      <c r="BT257" s="17">
        <v>0</v>
      </c>
      <c r="BU257" s="21">
        <f>SUM(PlanIndicativo[[#This Row],[Ingresos Corrientes de Libre Destinación - ICLD (2023)]:[Otros (2023)]])</f>
        <v>37500000</v>
      </c>
      <c r="BV257" s="21">
        <f>+PlanIndicativo[[#This Row],[Total (2020)]]+PlanIndicativo[[#This Row],[Total  (2021)]]+PlanIndicativo[[#This Row],[Total  (2022)]]+PlanIndicativo[[#This Row],[Total (2023)]]</f>
        <v>150000000</v>
      </c>
      <c r="BW257" s="22" t="s">
        <v>584</v>
      </c>
    </row>
    <row r="258" spans="1:75" ht="21" customHeight="1" x14ac:dyDescent="0.25">
      <c r="A258" s="7">
        <v>4</v>
      </c>
      <c r="B258" s="8" t="s">
        <v>743</v>
      </c>
      <c r="C258" s="7" t="s">
        <v>828</v>
      </c>
      <c r="D258" s="7" t="s">
        <v>829</v>
      </c>
      <c r="E258" s="7" t="s">
        <v>830</v>
      </c>
      <c r="F258" s="8" t="s">
        <v>831</v>
      </c>
      <c r="G258" s="7" t="s">
        <v>832</v>
      </c>
      <c r="H258" s="8" t="s">
        <v>833</v>
      </c>
      <c r="I258" s="7">
        <v>1202012</v>
      </c>
      <c r="J258" s="41" t="s">
        <v>834</v>
      </c>
      <c r="K258" s="41" t="s">
        <v>835</v>
      </c>
      <c r="L258" s="25" t="s">
        <v>581</v>
      </c>
      <c r="M258" s="11" t="s">
        <v>823</v>
      </c>
      <c r="N258" s="25" t="s">
        <v>86</v>
      </c>
      <c r="O258" s="41"/>
      <c r="P258" s="33">
        <v>120201200</v>
      </c>
      <c r="Q258" s="11" t="s">
        <v>202</v>
      </c>
      <c r="R258" s="12" t="s">
        <v>88</v>
      </c>
      <c r="S258" s="13" t="s">
        <v>89</v>
      </c>
      <c r="T258" s="36">
        <v>0</v>
      </c>
      <c r="U258" s="37">
        <v>150</v>
      </c>
      <c r="V258" s="38">
        <v>35</v>
      </c>
      <c r="W258" s="38">
        <v>40</v>
      </c>
      <c r="X258" s="38">
        <v>35</v>
      </c>
      <c r="Y258" s="38">
        <v>40</v>
      </c>
      <c r="Z258" s="17">
        <f t="shared" ref="Z258" si="135">95000000/7</f>
        <v>13571428.571428571</v>
      </c>
      <c r="AA258" s="17">
        <v>0</v>
      </c>
      <c r="AB258" s="17">
        <v>0</v>
      </c>
      <c r="AC258" s="17">
        <v>0</v>
      </c>
      <c r="AD258" s="17">
        <v>0</v>
      </c>
      <c r="AE258" s="17">
        <f>152917549/7</f>
        <v>21845364.142857142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8">
        <f>SUM(PlanIndicativo[[#This Row],[Ingresos Corrientes de Libre Destinación - ICLD (2020)]:[Otros (2020)]])</f>
        <v>35416792.714285716</v>
      </c>
      <c r="AL258" s="17">
        <f t="shared" ref="AL258" si="136">95000000/7</f>
        <v>13571428.571428571</v>
      </c>
      <c r="AM258" s="17">
        <v>0</v>
      </c>
      <c r="AN258" s="17">
        <v>0</v>
      </c>
      <c r="AO258" s="17">
        <v>0</v>
      </c>
      <c r="AP258" s="17">
        <v>0</v>
      </c>
      <c r="AQ258" s="17">
        <f>152917549/7</f>
        <v>21845364.142857142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9">
        <f>SUM(PlanIndicativo[[#This Row],[Ingresos Corrientes de Libre Destinación - ICLD (2021)]:[Otros  (2021)]])</f>
        <v>35416792.714285716</v>
      </c>
      <c r="AX258" s="17">
        <f t="shared" ref="AX258" si="137">95000000/7</f>
        <v>13571428.571428571</v>
      </c>
      <c r="AY258" s="17">
        <v>0</v>
      </c>
      <c r="AZ258" s="17">
        <v>0</v>
      </c>
      <c r="BA258" s="17">
        <v>0</v>
      </c>
      <c r="BB258" s="17">
        <v>0</v>
      </c>
      <c r="BC258" s="17">
        <f>152917549/7</f>
        <v>21845364.142857142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20">
        <f>SUM(PlanIndicativo[[#This Row],[Ingresos Corrientes de Libre Destinación - ICLD (2022)]:[Otros   (2022)]])</f>
        <v>35416792.714285716</v>
      </c>
      <c r="BJ258" s="17">
        <f t="shared" ref="BJ258" si="138">95000000/7</f>
        <v>13571428.571428571</v>
      </c>
      <c r="BK258" s="17">
        <v>0</v>
      </c>
      <c r="BL258" s="17">
        <v>0</v>
      </c>
      <c r="BM258" s="17">
        <v>0</v>
      </c>
      <c r="BN258" s="17">
        <v>0</v>
      </c>
      <c r="BO258" s="17">
        <f>152917549/7</f>
        <v>21845364.142857142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21">
        <f>SUM(PlanIndicativo[[#This Row],[Ingresos Corrientes de Libre Destinación - ICLD (2023)]:[Otros (2023)]])</f>
        <v>35416792.714285716</v>
      </c>
      <c r="BV258" s="21">
        <f>+PlanIndicativo[[#This Row],[Total (2020)]]+PlanIndicativo[[#This Row],[Total  (2021)]]+PlanIndicativo[[#This Row],[Total  (2022)]]+PlanIndicativo[[#This Row],[Total (2023)]]</f>
        <v>141667170.85714287</v>
      </c>
      <c r="BW258" s="22" t="s">
        <v>584</v>
      </c>
    </row>
    <row r="259" spans="1:75" ht="21" customHeight="1" x14ac:dyDescent="0.25">
      <c r="A259" s="7">
        <v>4</v>
      </c>
      <c r="B259" s="8" t="s">
        <v>743</v>
      </c>
      <c r="C259" s="7" t="s">
        <v>828</v>
      </c>
      <c r="D259" s="7" t="s">
        <v>829</v>
      </c>
      <c r="E259" s="7" t="s">
        <v>830</v>
      </c>
      <c r="F259" s="8" t="s">
        <v>831</v>
      </c>
      <c r="G259" s="7" t="s">
        <v>832</v>
      </c>
      <c r="H259" s="8" t="s">
        <v>833</v>
      </c>
      <c r="I259" s="7">
        <v>1202019</v>
      </c>
      <c r="J259" s="41" t="s">
        <v>836</v>
      </c>
      <c r="K259" s="41" t="s">
        <v>837</v>
      </c>
      <c r="L259" s="25" t="s">
        <v>581</v>
      </c>
      <c r="M259" s="11" t="s">
        <v>823</v>
      </c>
      <c r="N259" s="25" t="s">
        <v>86</v>
      </c>
      <c r="O259" s="41"/>
      <c r="P259" s="33">
        <v>120201900</v>
      </c>
      <c r="Q259" s="11" t="s">
        <v>838</v>
      </c>
      <c r="R259" s="12" t="s">
        <v>88</v>
      </c>
      <c r="S259" s="13" t="s">
        <v>93</v>
      </c>
      <c r="T259" s="36">
        <v>0</v>
      </c>
      <c r="U259" s="37">
        <v>4</v>
      </c>
      <c r="V259" s="38">
        <v>1</v>
      </c>
      <c r="W259" s="38">
        <v>1</v>
      </c>
      <c r="X259" s="38">
        <v>1</v>
      </c>
      <c r="Y259" s="38">
        <v>1</v>
      </c>
      <c r="Z259" s="17">
        <f>95000000/7</f>
        <v>13571428.571428571</v>
      </c>
      <c r="AA259" s="17">
        <v>0</v>
      </c>
      <c r="AB259" s="17">
        <v>0</v>
      </c>
      <c r="AC259" s="17">
        <v>0</v>
      </c>
      <c r="AD259" s="17">
        <v>0</v>
      </c>
      <c r="AE259" s="17">
        <f>152917549/7</f>
        <v>21845364.142857142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8">
        <f>SUM(PlanIndicativo[[#This Row],[Ingresos Corrientes de Libre Destinación - ICLD (2020)]:[Otros (2020)]])</f>
        <v>35416792.714285716</v>
      </c>
      <c r="AL259" s="17">
        <f>95000000/7</f>
        <v>13571428.571428571</v>
      </c>
      <c r="AM259" s="17">
        <v>0</v>
      </c>
      <c r="AN259" s="17">
        <v>0</v>
      </c>
      <c r="AO259" s="17">
        <v>0</v>
      </c>
      <c r="AP259" s="17">
        <v>0</v>
      </c>
      <c r="AQ259" s="17">
        <f>152917549/7</f>
        <v>21845364.142857142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9">
        <f>SUM(PlanIndicativo[[#This Row],[Ingresos Corrientes de Libre Destinación - ICLD (2021)]:[Otros  (2021)]])</f>
        <v>35416792.714285716</v>
      </c>
      <c r="AX259" s="17">
        <f>95000000/7</f>
        <v>13571428.571428571</v>
      </c>
      <c r="AY259" s="17">
        <v>0</v>
      </c>
      <c r="AZ259" s="17">
        <v>0</v>
      </c>
      <c r="BA259" s="17">
        <v>0</v>
      </c>
      <c r="BB259" s="17">
        <v>0</v>
      </c>
      <c r="BC259" s="17">
        <f>152917549/7</f>
        <v>21845364.142857142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20">
        <f>SUM(PlanIndicativo[[#This Row],[Ingresos Corrientes de Libre Destinación - ICLD (2022)]:[Otros   (2022)]])</f>
        <v>35416792.714285716</v>
      </c>
      <c r="BJ259" s="17">
        <f>95000000/7</f>
        <v>13571428.571428571</v>
      </c>
      <c r="BK259" s="17">
        <v>0</v>
      </c>
      <c r="BL259" s="17">
        <v>0</v>
      </c>
      <c r="BM259" s="17">
        <v>0</v>
      </c>
      <c r="BN259" s="17">
        <v>0</v>
      </c>
      <c r="BO259" s="17">
        <f>152917549/7</f>
        <v>21845364.142857142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21">
        <f>SUM(PlanIndicativo[[#This Row],[Ingresos Corrientes de Libre Destinación - ICLD (2023)]:[Otros (2023)]])</f>
        <v>35416792.714285716</v>
      </c>
      <c r="BV259" s="21">
        <f>+PlanIndicativo[[#This Row],[Total (2020)]]+PlanIndicativo[[#This Row],[Total  (2021)]]+PlanIndicativo[[#This Row],[Total  (2022)]]+PlanIndicativo[[#This Row],[Total (2023)]]</f>
        <v>141667170.85714287</v>
      </c>
      <c r="BW259" s="22" t="s">
        <v>584</v>
      </c>
    </row>
    <row r="260" spans="1:75" ht="21" customHeight="1" x14ac:dyDescent="0.25">
      <c r="A260" s="7">
        <v>4</v>
      </c>
      <c r="B260" s="8" t="s">
        <v>743</v>
      </c>
      <c r="C260" s="7" t="s">
        <v>828</v>
      </c>
      <c r="D260" s="7" t="s">
        <v>829</v>
      </c>
      <c r="E260" s="7" t="s">
        <v>830</v>
      </c>
      <c r="F260" s="8" t="s">
        <v>831</v>
      </c>
      <c r="G260" s="7" t="s">
        <v>839</v>
      </c>
      <c r="H260" s="8" t="s">
        <v>840</v>
      </c>
      <c r="I260" s="7">
        <v>1203001</v>
      </c>
      <c r="J260" s="41" t="s">
        <v>841</v>
      </c>
      <c r="K260" s="8" t="s">
        <v>842</v>
      </c>
      <c r="L260" s="25" t="s">
        <v>581</v>
      </c>
      <c r="M260" s="11" t="s">
        <v>823</v>
      </c>
      <c r="N260" s="25" t="s">
        <v>86</v>
      </c>
      <c r="O260" s="41"/>
      <c r="P260" s="33">
        <v>120300100</v>
      </c>
      <c r="Q260" s="11" t="s">
        <v>843</v>
      </c>
      <c r="R260" s="12" t="s">
        <v>88</v>
      </c>
      <c r="S260" s="13" t="s">
        <v>93</v>
      </c>
      <c r="T260" s="36">
        <v>0</v>
      </c>
      <c r="U260" s="37">
        <v>8</v>
      </c>
      <c r="V260" s="38">
        <v>2</v>
      </c>
      <c r="W260" s="38">
        <v>2</v>
      </c>
      <c r="X260" s="38">
        <v>2</v>
      </c>
      <c r="Y260" s="38">
        <v>2</v>
      </c>
      <c r="Z260" s="17">
        <f t="shared" ref="Z260:Z264" si="139">95000000/7</f>
        <v>13571428.571428571</v>
      </c>
      <c r="AA260" s="17">
        <v>0</v>
      </c>
      <c r="AB260" s="17">
        <v>0</v>
      </c>
      <c r="AC260" s="17">
        <v>0</v>
      </c>
      <c r="AD260" s="17">
        <v>0</v>
      </c>
      <c r="AE260" s="17">
        <f t="shared" ref="AE260:AE264" si="140">152917549/7</f>
        <v>21845364.142857142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8">
        <f>SUM(PlanIndicativo[[#This Row],[Ingresos Corrientes de Libre Destinación - ICLD (2020)]:[Otros (2020)]])</f>
        <v>35416792.714285716</v>
      </c>
      <c r="AL260" s="17">
        <f t="shared" ref="AL260:AL264" si="141">95000000/7</f>
        <v>13571428.571428571</v>
      </c>
      <c r="AM260" s="17">
        <v>0</v>
      </c>
      <c r="AN260" s="17">
        <v>0</v>
      </c>
      <c r="AO260" s="17">
        <v>0</v>
      </c>
      <c r="AP260" s="17">
        <v>0</v>
      </c>
      <c r="AQ260" s="17">
        <f t="shared" ref="AQ260:AQ264" si="142">152917549/7</f>
        <v>21845364.142857142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9">
        <f>SUM(PlanIndicativo[[#This Row],[Ingresos Corrientes de Libre Destinación - ICLD (2021)]:[Otros  (2021)]])</f>
        <v>35416792.714285716</v>
      </c>
      <c r="AX260" s="17">
        <f t="shared" ref="AX260:AX264" si="143">95000000/7</f>
        <v>13571428.571428571</v>
      </c>
      <c r="AY260" s="17">
        <v>0</v>
      </c>
      <c r="AZ260" s="17">
        <v>0</v>
      </c>
      <c r="BA260" s="17">
        <v>0</v>
      </c>
      <c r="BB260" s="17">
        <v>0</v>
      </c>
      <c r="BC260" s="17">
        <f t="shared" ref="BC260:BC264" si="144">152917549/7</f>
        <v>21845364.142857142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20">
        <f>SUM(PlanIndicativo[[#This Row],[Ingresos Corrientes de Libre Destinación - ICLD (2022)]:[Otros   (2022)]])</f>
        <v>35416792.714285716</v>
      </c>
      <c r="BJ260" s="17">
        <f t="shared" ref="BJ260:BJ264" si="145">95000000/7</f>
        <v>13571428.571428571</v>
      </c>
      <c r="BK260" s="17">
        <v>0</v>
      </c>
      <c r="BL260" s="17">
        <v>0</v>
      </c>
      <c r="BM260" s="17">
        <v>0</v>
      </c>
      <c r="BN260" s="17">
        <v>0</v>
      </c>
      <c r="BO260" s="17">
        <f t="shared" ref="BO260:BO264" si="146">152917549/7</f>
        <v>21845364.142857142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21">
        <f>SUM(PlanIndicativo[[#This Row],[Ingresos Corrientes de Libre Destinación - ICLD (2023)]:[Otros (2023)]])</f>
        <v>35416792.714285716</v>
      </c>
      <c r="BV260" s="21">
        <f>+PlanIndicativo[[#This Row],[Total (2020)]]+PlanIndicativo[[#This Row],[Total  (2021)]]+PlanIndicativo[[#This Row],[Total  (2022)]]+PlanIndicativo[[#This Row],[Total (2023)]]</f>
        <v>141667170.85714287</v>
      </c>
      <c r="BW260" s="22" t="s">
        <v>584</v>
      </c>
    </row>
    <row r="261" spans="1:75" ht="21" customHeight="1" x14ac:dyDescent="0.25">
      <c r="A261" s="7">
        <v>4</v>
      </c>
      <c r="B261" s="8" t="s">
        <v>743</v>
      </c>
      <c r="C261" s="7" t="s">
        <v>828</v>
      </c>
      <c r="D261" s="7" t="s">
        <v>829</v>
      </c>
      <c r="E261" s="7" t="s">
        <v>830</v>
      </c>
      <c r="F261" s="8" t="s">
        <v>831</v>
      </c>
      <c r="G261" s="7" t="s">
        <v>839</v>
      </c>
      <c r="H261" s="8" t="s">
        <v>840</v>
      </c>
      <c r="I261" s="7">
        <v>1501005</v>
      </c>
      <c r="J261" s="42" t="s">
        <v>844</v>
      </c>
      <c r="K261" s="42" t="s">
        <v>845</v>
      </c>
      <c r="L261" s="25" t="s">
        <v>581</v>
      </c>
      <c r="M261" s="11" t="s">
        <v>823</v>
      </c>
      <c r="N261" s="25" t="s">
        <v>86</v>
      </c>
      <c r="O261" s="42"/>
      <c r="P261" s="33">
        <v>150100500</v>
      </c>
      <c r="Q261" s="25" t="s">
        <v>846</v>
      </c>
      <c r="R261" s="31" t="s">
        <v>88</v>
      </c>
      <c r="S261" s="13" t="s">
        <v>93</v>
      </c>
      <c r="T261" s="36">
        <v>0</v>
      </c>
      <c r="U261" s="37">
        <v>1</v>
      </c>
      <c r="V261" s="38">
        <v>1</v>
      </c>
      <c r="W261" s="38">
        <v>1</v>
      </c>
      <c r="X261" s="38">
        <v>1</v>
      </c>
      <c r="Y261" s="38">
        <v>1</v>
      </c>
      <c r="Z261" s="17">
        <f t="shared" si="139"/>
        <v>13571428.571428571</v>
      </c>
      <c r="AA261" s="17">
        <v>0</v>
      </c>
      <c r="AB261" s="17">
        <v>0</v>
      </c>
      <c r="AC261" s="17">
        <v>0</v>
      </c>
      <c r="AD261" s="17">
        <v>0</v>
      </c>
      <c r="AE261" s="17">
        <f t="shared" si="140"/>
        <v>21845364.142857142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8">
        <f>SUM(PlanIndicativo[[#This Row],[Ingresos Corrientes de Libre Destinación - ICLD (2020)]:[Otros (2020)]])</f>
        <v>35416792.714285716</v>
      </c>
      <c r="AL261" s="17">
        <f t="shared" si="141"/>
        <v>13571428.571428571</v>
      </c>
      <c r="AM261" s="17">
        <v>0</v>
      </c>
      <c r="AN261" s="17">
        <v>0</v>
      </c>
      <c r="AO261" s="17">
        <v>0</v>
      </c>
      <c r="AP261" s="17">
        <v>0</v>
      </c>
      <c r="AQ261" s="17">
        <f t="shared" si="142"/>
        <v>21845364.142857142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9">
        <f>SUM(PlanIndicativo[[#This Row],[Ingresos Corrientes de Libre Destinación - ICLD (2021)]:[Otros  (2021)]])</f>
        <v>35416792.714285716</v>
      </c>
      <c r="AX261" s="17">
        <f t="shared" si="143"/>
        <v>13571428.571428571</v>
      </c>
      <c r="AY261" s="17">
        <v>0</v>
      </c>
      <c r="AZ261" s="17">
        <v>0</v>
      </c>
      <c r="BA261" s="17">
        <v>0</v>
      </c>
      <c r="BB261" s="17">
        <v>0</v>
      </c>
      <c r="BC261" s="17">
        <f t="shared" si="144"/>
        <v>21845364.142857142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20">
        <f>SUM(PlanIndicativo[[#This Row],[Ingresos Corrientes de Libre Destinación - ICLD (2022)]:[Otros   (2022)]])</f>
        <v>35416792.714285716</v>
      </c>
      <c r="BJ261" s="17">
        <f t="shared" si="145"/>
        <v>13571428.571428571</v>
      </c>
      <c r="BK261" s="17">
        <v>0</v>
      </c>
      <c r="BL261" s="17">
        <v>0</v>
      </c>
      <c r="BM261" s="17">
        <v>0</v>
      </c>
      <c r="BN261" s="17">
        <v>0</v>
      </c>
      <c r="BO261" s="17">
        <f t="shared" si="146"/>
        <v>21845364.142857142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f>SUM(PlanIndicativo[[#This Row],[Ingresos Corrientes de Libre Destinación - ICLD (2023)]:[Otros (2023)]])</f>
        <v>35416792.714285716</v>
      </c>
      <c r="BV261" s="21">
        <f>+PlanIndicativo[[#This Row],[Total (2020)]]+PlanIndicativo[[#This Row],[Total  (2021)]]+PlanIndicativo[[#This Row],[Total  (2022)]]+PlanIndicativo[[#This Row],[Total (2023)]]</f>
        <v>141667170.85714287</v>
      </c>
      <c r="BW261" s="22" t="s">
        <v>584</v>
      </c>
    </row>
    <row r="262" spans="1:75" ht="21" customHeight="1" x14ac:dyDescent="0.25">
      <c r="A262" s="7">
        <v>4</v>
      </c>
      <c r="B262" s="8" t="s">
        <v>743</v>
      </c>
      <c r="C262" s="7" t="s">
        <v>828</v>
      </c>
      <c r="D262" s="7" t="s">
        <v>829</v>
      </c>
      <c r="E262" s="7" t="s">
        <v>830</v>
      </c>
      <c r="F262" s="8" t="s">
        <v>831</v>
      </c>
      <c r="G262" s="7" t="s">
        <v>847</v>
      </c>
      <c r="H262" s="8" t="s">
        <v>848</v>
      </c>
      <c r="I262" s="7">
        <v>4501004</v>
      </c>
      <c r="J262" s="41" t="s">
        <v>849</v>
      </c>
      <c r="K262" s="41" t="s">
        <v>850</v>
      </c>
      <c r="L262" s="25" t="s">
        <v>581</v>
      </c>
      <c r="M262" s="11" t="s">
        <v>823</v>
      </c>
      <c r="N262" s="25" t="s">
        <v>86</v>
      </c>
      <c r="O262" s="41"/>
      <c r="P262" s="33">
        <v>450100400</v>
      </c>
      <c r="Q262" s="11" t="s">
        <v>851</v>
      </c>
      <c r="R262" s="12" t="s">
        <v>88</v>
      </c>
      <c r="S262" s="13" t="s">
        <v>93</v>
      </c>
      <c r="T262" s="36">
        <v>0</v>
      </c>
      <c r="U262" s="37">
        <v>4</v>
      </c>
      <c r="V262" s="38">
        <v>1</v>
      </c>
      <c r="W262" s="38">
        <v>1</v>
      </c>
      <c r="X262" s="38">
        <v>1</v>
      </c>
      <c r="Y262" s="38">
        <v>1</v>
      </c>
      <c r="Z262" s="17">
        <f>95000000/7*2</f>
        <v>27142857.142857142</v>
      </c>
      <c r="AA262" s="17">
        <v>0</v>
      </c>
      <c r="AB262" s="17">
        <v>0</v>
      </c>
      <c r="AC262" s="17">
        <v>0</v>
      </c>
      <c r="AD262" s="17">
        <v>0</v>
      </c>
      <c r="AE262" s="17">
        <f>152917549/7*2</f>
        <v>43690728.285714284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8">
        <f>SUM(PlanIndicativo[[#This Row],[Ingresos Corrientes de Libre Destinación - ICLD (2020)]:[Otros (2020)]])</f>
        <v>70833585.428571433</v>
      </c>
      <c r="AL262" s="17">
        <f t="shared" si="141"/>
        <v>13571428.571428571</v>
      </c>
      <c r="AM262" s="17">
        <v>0</v>
      </c>
      <c r="AN262" s="17">
        <v>0</v>
      </c>
      <c r="AO262" s="17">
        <v>0</v>
      </c>
      <c r="AP262" s="17">
        <v>0</v>
      </c>
      <c r="AQ262" s="17">
        <f t="shared" si="142"/>
        <v>21845364.142857142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9">
        <f>SUM(PlanIndicativo[[#This Row],[Ingresos Corrientes de Libre Destinación - ICLD (2021)]:[Otros  (2021)]])</f>
        <v>35416792.714285716</v>
      </c>
      <c r="AX262" s="17">
        <f t="shared" si="143"/>
        <v>13571428.571428571</v>
      </c>
      <c r="AY262" s="17">
        <v>0</v>
      </c>
      <c r="AZ262" s="17">
        <v>0</v>
      </c>
      <c r="BA262" s="17">
        <v>0</v>
      </c>
      <c r="BB262" s="17">
        <v>0</v>
      </c>
      <c r="BC262" s="17">
        <f t="shared" si="144"/>
        <v>21845364.142857142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20">
        <f>SUM(PlanIndicativo[[#This Row],[Ingresos Corrientes de Libre Destinación - ICLD (2022)]:[Otros   (2022)]])</f>
        <v>35416792.714285716</v>
      </c>
      <c r="BJ262" s="17">
        <f t="shared" si="145"/>
        <v>13571428.571428571</v>
      </c>
      <c r="BK262" s="17">
        <v>0</v>
      </c>
      <c r="BL262" s="17">
        <v>0</v>
      </c>
      <c r="BM262" s="17">
        <v>0</v>
      </c>
      <c r="BN262" s="17">
        <v>0</v>
      </c>
      <c r="BO262" s="17">
        <f t="shared" si="146"/>
        <v>21845364.142857142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21">
        <f>SUM(PlanIndicativo[[#This Row],[Ingresos Corrientes de Libre Destinación - ICLD (2023)]:[Otros (2023)]])</f>
        <v>35416792.714285716</v>
      </c>
      <c r="BV262" s="21">
        <f>+PlanIndicativo[[#This Row],[Total (2020)]]+PlanIndicativo[[#This Row],[Total  (2021)]]+PlanIndicativo[[#This Row],[Total  (2022)]]+PlanIndicativo[[#This Row],[Total (2023)]]</f>
        <v>177083963.5714286</v>
      </c>
      <c r="BW262" s="22" t="s">
        <v>584</v>
      </c>
    </row>
    <row r="263" spans="1:75" ht="21" customHeight="1" x14ac:dyDescent="0.25">
      <c r="A263" s="7">
        <v>4</v>
      </c>
      <c r="B263" s="8" t="s">
        <v>743</v>
      </c>
      <c r="C263" s="7" t="s">
        <v>828</v>
      </c>
      <c r="D263" s="7" t="s">
        <v>829</v>
      </c>
      <c r="E263" s="7" t="s">
        <v>830</v>
      </c>
      <c r="F263" s="8" t="s">
        <v>831</v>
      </c>
      <c r="G263" s="7" t="s">
        <v>847</v>
      </c>
      <c r="H263" s="8" t="s">
        <v>848</v>
      </c>
      <c r="I263" s="7">
        <v>4501018</v>
      </c>
      <c r="J263" s="41" t="s">
        <v>852</v>
      </c>
      <c r="K263" s="41" t="s">
        <v>853</v>
      </c>
      <c r="L263" s="25" t="s">
        <v>581</v>
      </c>
      <c r="M263" s="11" t="s">
        <v>823</v>
      </c>
      <c r="N263" s="25" t="s">
        <v>86</v>
      </c>
      <c r="O263" s="41"/>
      <c r="P263" s="33">
        <v>450101800</v>
      </c>
      <c r="Q263" s="11" t="s">
        <v>854</v>
      </c>
      <c r="R263" s="12" t="s">
        <v>88</v>
      </c>
      <c r="S263" s="13" t="s">
        <v>93</v>
      </c>
      <c r="T263" s="36">
        <v>0</v>
      </c>
      <c r="U263" s="37">
        <v>1</v>
      </c>
      <c r="V263" s="38">
        <v>0</v>
      </c>
      <c r="W263" s="38">
        <v>1</v>
      </c>
      <c r="X263" s="38">
        <v>0</v>
      </c>
      <c r="Y263" s="38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7">
        <v>0</v>
      </c>
      <c r="AJ263" s="17">
        <v>0</v>
      </c>
      <c r="AK263" s="18">
        <f>SUM(PlanIndicativo[[#This Row],[Ingresos Corrientes de Libre Destinación - ICLD (2020)]:[Otros (2020)]])</f>
        <v>0</v>
      </c>
      <c r="AL263" s="17">
        <f t="shared" si="141"/>
        <v>13571428.571428571</v>
      </c>
      <c r="AM263" s="17">
        <v>0</v>
      </c>
      <c r="AN263" s="17">
        <v>0</v>
      </c>
      <c r="AO263" s="17">
        <v>0</v>
      </c>
      <c r="AP263" s="17">
        <v>0</v>
      </c>
      <c r="AQ263" s="17">
        <f t="shared" si="142"/>
        <v>21845364.142857142</v>
      </c>
      <c r="AR263" s="17">
        <v>0</v>
      </c>
      <c r="AS263" s="17">
        <v>0</v>
      </c>
      <c r="AT263" s="17">
        <v>0</v>
      </c>
      <c r="AU263" s="17">
        <v>0</v>
      </c>
      <c r="AV263" s="17">
        <v>0</v>
      </c>
      <c r="AW263" s="19">
        <f>SUM(PlanIndicativo[[#This Row],[Ingresos Corrientes de Libre Destinación - ICLD (2021)]:[Otros  (2021)]])</f>
        <v>35416792.714285716</v>
      </c>
      <c r="AX263" s="17">
        <f t="shared" si="143"/>
        <v>13571428.571428571</v>
      </c>
      <c r="AY263" s="17">
        <v>0</v>
      </c>
      <c r="AZ263" s="17">
        <v>0</v>
      </c>
      <c r="BA263" s="17">
        <v>0</v>
      </c>
      <c r="BB263" s="17">
        <v>0</v>
      </c>
      <c r="BC263" s="17">
        <f t="shared" si="144"/>
        <v>21845364.142857142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20">
        <f>SUM(PlanIndicativo[[#This Row],[Ingresos Corrientes de Libre Destinación - ICLD (2022)]:[Otros   (2022)]])</f>
        <v>35416792.714285716</v>
      </c>
      <c r="BJ263" s="17">
        <f t="shared" si="145"/>
        <v>13571428.571428571</v>
      </c>
      <c r="BK263" s="17">
        <v>0</v>
      </c>
      <c r="BL263" s="17">
        <v>0</v>
      </c>
      <c r="BM263" s="17">
        <v>0</v>
      </c>
      <c r="BN263" s="17">
        <v>0</v>
      </c>
      <c r="BO263" s="17">
        <f t="shared" si="146"/>
        <v>21845364.142857142</v>
      </c>
      <c r="BP263" s="17">
        <v>0</v>
      </c>
      <c r="BQ263" s="17">
        <v>0</v>
      </c>
      <c r="BR263" s="17">
        <v>0</v>
      </c>
      <c r="BS263" s="17">
        <v>0</v>
      </c>
      <c r="BT263" s="17">
        <v>0</v>
      </c>
      <c r="BU263" s="21">
        <f>SUM(PlanIndicativo[[#This Row],[Ingresos Corrientes de Libre Destinación - ICLD (2023)]:[Otros (2023)]])</f>
        <v>35416792.714285716</v>
      </c>
      <c r="BV263" s="21">
        <f>+PlanIndicativo[[#This Row],[Total (2020)]]+PlanIndicativo[[#This Row],[Total  (2021)]]+PlanIndicativo[[#This Row],[Total  (2022)]]+PlanIndicativo[[#This Row],[Total (2023)]]</f>
        <v>106250378.14285715</v>
      </c>
      <c r="BW263" s="22" t="s">
        <v>584</v>
      </c>
    </row>
    <row r="264" spans="1:75" ht="21" customHeight="1" x14ac:dyDescent="0.25">
      <c r="A264" s="7">
        <v>4</v>
      </c>
      <c r="B264" s="8" t="s">
        <v>743</v>
      </c>
      <c r="C264" s="7" t="s">
        <v>828</v>
      </c>
      <c r="D264" s="7" t="s">
        <v>829</v>
      </c>
      <c r="E264" s="7" t="s">
        <v>830</v>
      </c>
      <c r="F264" s="8" t="s">
        <v>831</v>
      </c>
      <c r="G264" s="7" t="s">
        <v>847</v>
      </c>
      <c r="H264" s="8" t="s">
        <v>848</v>
      </c>
      <c r="I264" s="7">
        <v>4501019</v>
      </c>
      <c r="J264" s="41" t="s">
        <v>855</v>
      </c>
      <c r="K264" s="41" t="s">
        <v>853</v>
      </c>
      <c r="L264" s="25" t="s">
        <v>581</v>
      </c>
      <c r="M264" s="11" t="s">
        <v>823</v>
      </c>
      <c r="N264" s="25" t="s">
        <v>86</v>
      </c>
      <c r="O264" s="41"/>
      <c r="P264" s="33">
        <v>450101900</v>
      </c>
      <c r="Q264" s="11" t="s">
        <v>856</v>
      </c>
      <c r="R264" s="12" t="s">
        <v>88</v>
      </c>
      <c r="S264" s="13" t="s">
        <v>93</v>
      </c>
      <c r="T264" s="36">
        <v>0</v>
      </c>
      <c r="U264" s="37">
        <v>4</v>
      </c>
      <c r="V264" s="38">
        <v>1</v>
      </c>
      <c r="W264" s="38">
        <v>1</v>
      </c>
      <c r="X264" s="38">
        <v>1</v>
      </c>
      <c r="Y264" s="38">
        <v>1</v>
      </c>
      <c r="Z264" s="17">
        <f t="shared" si="139"/>
        <v>13571428.571428571</v>
      </c>
      <c r="AA264" s="17">
        <v>0</v>
      </c>
      <c r="AB264" s="17">
        <v>0</v>
      </c>
      <c r="AC264" s="17">
        <v>0</v>
      </c>
      <c r="AD264" s="17">
        <v>0</v>
      </c>
      <c r="AE264" s="17">
        <f t="shared" si="140"/>
        <v>21845364.142857142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8">
        <f>SUM(PlanIndicativo[[#This Row],[Ingresos Corrientes de Libre Destinación - ICLD (2020)]:[Otros (2020)]])</f>
        <v>35416792.714285716</v>
      </c>
      <c r="AL264" s="17">
        <f t="shared" si="141"/>
        <v>13571428.571428571</v>
      </c>
      <c r="AM264" s="17">
        <v>0</v>
      </c>
      <c r="AN264" s="17">
        <v>0</v>
      </c>
      <c r="AO264" s="17">
        <v>0</v>
      </c>
      <c r="AP264" s="17">
        <v>0</v>
      </c>
      <c r="AQ264" s="17">
        <f t="shared" si="142"/>
        <v>21845364.142857142</v>
      </c>
      <c r="AR264" s="17">
        <v>0</v>
      </c>
      <c r="AS264" s="17">
        <v>0</v>
      </c>
      <c r="AT264" s="17">
        <v>0</v>
      </c>
      <c r="AU264" s="17">
        <v>0</v>
      </c>
      <c r="AV264" s="17">
        <v>0</v>
      </c>
      <c r="AW264" s="19">
        <f>SUM(PlanIndicativo[[#This Row],[Ingresos Corrientes de Libre Destinación - ICLD (2021)]:[Otros  (2021)]])</f>
        <v>35416792.714285716</v>
      </c>
      <c r="AX264" s="17">
        <f t="shared" si="143"/>
        <v>13571428.571428571</v>
      </c>
      <c r="AY264" s="17">
        <v>0</v>
      </c>
      <c r="AZ264" s="17">
        <v>0</v>
      </c>
      <c r="BA264" s="17">
        <v>0</v>
      </c>
      <c r="BB264" s="17">
        <v>0</v>
      </c>
      <c r="BC264" s="17">
        <f t="shared" si="144"/>
        <v>21845364.142857142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20">
        <f>SUM(PlanIndicativo[[#This Row],[Ingresos Corrientes de Libre Destinación - ICLD (2022)]:[Otros   (2022)]])</f>
        <v>35416792.714285716</v>
      </c>
      <c r="BJ264" s="17">
        <f t="shared" si="145"/>
        <v>13571428.571428571</v>
      </c>
      <c r="BK264" s="17">
        <v>0</v>
      </c>
      <c r="BL264" s="17">
        <v>0</v>
      </c>
      <c r="BM264" s="17">
        <v>0</v>
      </c>
      <c r="BN264" s="17">
        <v>0</v>
      </c>
      <c r="BO264" s="17">
        <f t="shared" si="146"/>
        <v>21845364.142857142</v>
      </c>
      <c r="BP264" s="17">
        <v>0</v>
      </c>
      <c r="BQ264" s="17">
        <v>0</v>
      </c>
      <c r="BR264" s="17">
        <v>0</v>
      </c>
      <c r="BS264" s="17">
        <v>0</v>
      </c>
      <c r="BT264" s="17">
        <v>0</v>
      </c>
      <c r="BU264" s="21">
        <f>SUM(PlanIndicativo[[#This Row],[Ingresos Corrientes de Libre Destinación - ICLD (2023)]:[Otros (2023)]])</f>
        <v>35416792.714285716</v>
      </c>
      <c r="BV264" s="21">
        <f>+PlanIndicativo[[#This Row],[Total (2020)]]+PlanIndicativo[[#This Row],[Total  (2021)]]+PlanIndicativo[[#This Row],[Total  (2022)]]+PlanIndicativo[[#This Row],[Total (2023)]]</f>
        <v>141667170.85714287</v>
      </c>
      <c r="BW264" s="22" t="s">
        <v>584</v>
      </c>
    </row>
    <row r="265" spans="1:75" ht="21" customHeight="1" x14ac:dyDescent="0.25">
      <c r="A265" s="7">
        <v>4</v>
      </c>
      <c r="B265" s="8" t="s">
        <v>743</v>
      </c>
      <c r="C265" s="7" t="s">
        <v>857</v>
      </c>
      <c r="D265" s="7" t="s">
        <v>858</v>
      </c>
      <c r="E265" s="7" t="s">
        <v>859</v>
      </c>
      <c r="F265" s="8" t="s">
        <v>860</v>
      </c>
      <c r="G265" s="7" t="s">
        <v>861</v>
      </c>
      <c r="H265" s="8" t="s">
        <v>862</v>
      </c>
      <c r="I265" s="7">
        <v>4502001</v>
      </c>
      <c r="J265" s="11" t="s">
        <v>863</v>
      </c>
      <c r="K265" s="11" t="s">
        <v>853</v>
      </c>
      <c r="L265" s="11" t="s">
        <v>581</v>
      </c>
      <c r="M265" s="11" t="s">
        <v>823</v>
      </c>
      <c r="N265" s="25" t="s">
        <v>86</v>
      </c>
      <c r="O265" s="11"/>
      <c r="P265" s="33">
        <v>450200100</v>
      </c>
      <c r="Q265" s="11" t="s">
        <v>864</v>
      </c>
      <c r="R265" s="12" t="s">
        <v>88</v>
      </c>
      <c r="S265" s="13" t="s">
        <v>93</v>
      </c>
      <c r="T265" s="36">
        <v>0</v>
      </c>
      <c r="U265" s="37">
        <v>4</v>
      </c>
      <c r="V265" s="38">
        <v>1</v>
      </c>
      <c r="W265" s="38">
        <v>1</v>
      </c>
      <c r="X265" s="38">
        <v>1</v>
      </c>
      <c r="Y265" s="38">
        <v>1</v>
      </c>
      <c r="Z265" s="17">
        <f>17325000/4*2</f>
        <v>8662500</v>
      </c>
      <c r="AA265" s="17">
        <v>0</v>
      </c>
      <c r="AB265" s="17">
        <v>0</v>
      </c>
      <c r="AC265" s="17">
        <v>0</v>
      </c>
      <c r="AD265" s="17">
        <v>0</v>
      </c>
      <c r="AE265" s="17">
        <f>37975510/4*2</f>
        <v>18987755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8">
        <f>SUM(PlanIndicativo[[#This Row],[Ingresos Corrientes de Libre Destinación - ICLD (2020)]:[Otros (2020)]])</f>
        <v>27650255</v>
      </c>
      <c r="AL265" s="17">
        <f>17325000/4*2</f>
        <v>8662500</v>
      </c>
      <c r="AM265" s="17">
        <v>0</v>
      </c>
      <c r="AN265" s="17">
        <v>0</v>
      </c>
      <c r="AO265" s="17">
        <v>0</v>
      </c>
      <c r="AP265" s="17">
        <v>0</v>
      </c>
      <c r="AQ265" s="17">
        <f>37975510/4*2</f>
        <v>18987755</v>
      </c>
      <c r="AR265" s="17">
        <v>0</v>
      </c>
      <c r="AS265" s="17">
        <v>0</v>
      </c>
      <c r="AT265" s="17">
        <v>0</v>
      </c>
      <c r="AU265" s="17">
        <v>0</v>
      </c>
      <c r="AV265" s="17">
        <v>0</v>
      </c>
      <c r="AW265" s="19">
        <f>SUM(PlanIndicativo[[#This Row],[Ingresos Corrientes de Libre Destinación - ICLD (2021)]:[Otros  (2021)]])</f>
        <v>27650255</v>
      </c>
      <c r="AX265" s="17">
        <f t="shared" ref="AX265:AX268" si="147">17325000/4</f>
        <v>4331250</v>
      </c>
      <c r="AY265" s="17">
        <v>0</v>
      </c>
      <c r="AZ265" s="17">
        <v>0</v>
      </c>
      <c r="BA265" s="17">
        <v>0</v>
      </c>
      <c r="BB265" s="17">
        <v>0</v>
      </c>
      <c r="BC265" s="17">
        <f t="shared" ref="BC265:BC268" si="148">37975510/4</f>
        <v>9493877.5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20">
        <f>SUM(PlanIndicativo[[#This Row],[Ingresos Corrientes de Libre Destinación - ICLD (2022)]:[Otros   (2022)]])</f>
        <v>13825127.5</v>
      </c>
      <c r="BJ265" s="17">
        <f t="shared" ref="BJ265:BJ268" si="149">17325000/4</f>
        <v>4331250</v>
      </c>
      <c r="BK265" s="17">
        <v>0</v>
      </c>
      <c r="BL265" s="17">
        <v>0</v>
      </c>
      <c r="BM265" s="17">
        <v>0</v>
      </c>
      <c r="BN265" s="17">
        <v>0</v>
      </c>
      <c r="BO265" s="17">
        <f t="shared" ref="BO265:BO268" si="150">37975510/4</f>
        <v>9493877.5</v>
      </c>
      <c r="BP265" s="17">
        <v>0</v>
      </c>
      <c r="BQ265" s="17">
        <v>0</v>
      </c>
      <c r="BR265" s="17">
        <v>0</v>
      </c>
      <c r="BS265" s="17">
        <v>0</v>
      </c>
      <c r="BT265" s="17">
        <v>0</v>
      </c>
      <c r="BU265" s="21">
        <f>SUM(PlanIndicativo[[#This Row],[Ingresos Corrientes de Libre Destinación - ICLD (2023)]:[Otros (2023)]])</f>
        <v>13825127.5</v>
      </c>
      <c r="BV265" s="21">
        <f>+PlanIndicativo[[#This Row],[Total (2020)]]+PlanIndicativo[[#This Row],[Total  (2021)]]+PlanIndicativo[[#This Row],[Total  (2022)]]+PlanIndicativo[[#This Row],[Total (2023)]]</f>
        <v>82950765</v>
      </c>
      <c r="BW265" s="22" t="s">
        <v>584</v>
      </c>
    </row>
    <row r="266" spans="1:75" ht="21" customHeight="1" x14ac:dyDescent="0.25">
      <c r="A266" s="7">
        <v>4</v>
      </c>
      <c r="B266" s="8" t="s">
        <v>743</v>
      </c>
      <c r="C266" s="7" t="s">
        <v>857</v>
      </c>
      <c r="D266" s="7" t="s">
        <v>858</v>
      </c>
      <c r="E266" s="7" t="s">
        <v>859</v>
      </c>
      <c r="F266" s="8" t="s">
        <v>860</v>
      </c>
      <c r="G266" s="7" t="s">
        <v>861</v>
      </c>
      <c r="H266" s="8" t="s">
        <v>862</v>
      </c>
      <c r="I266" s="7">
        <v>4502002</v>
      </c>
      <c r="J266" s="25" t="s">
        <v>865</v>
      </c>
      <c r="K266" s="11" t="s">
        <v>853</v>
      </c>
      <c r="L266" s="11" t="s">
        <v>581</v>
      </c>
      <c r="M266" s="11" t="s">
        <v>823</v>
      </c>
      <c r="N266" s="25" t="s">
        <v>86</v>
      </c>
      <c r="O266" s="25"/>
      <c r="P266" s="33">
        <v>450200200</v>
      </c>
      <c r="Q266" s="25" t="s">
        <v>866</v>
      </c>
      <c r="R266" s="12" t="s">
        <v>88</v>
      </c>
      <c r="S266" s="13" t="s">
        <v>89</v>
      </c>
      <c r="T266" s="36">
        <v>0</v>
      </c>
      <c r="U266" s="37">
        <v>2</v>
      </c>
      <c r="V266" s="38">
        <v>0</v>
      </c>
      <c r="W266" s="38">
        <v>0</v>
      </c>
      <c r="X266" s="38">
        <v>1</v>
      </c>
      <c r="Y266" s="38">
        <v>1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8">
        <f>SUM(PlanIndicativo[[#This Row],[Ingresos Corrientes de Libre Destinación - ICLD (2020)]:[Otros (2020)]])</f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R266" s="17">
        <v>0</v>
      </c>
      <c r="AS266" s="17">
        <v>0</v>
      </c>
      <c r="AT266" s="17">
        <v>0</v>
      </c>
      <c r="AU266" s="17">
        <v>0</v>
      </c>
      <c r="AV266" s="17">
        <v>0</v>
      </c>
      <c r="AW266" s="19">
        <f>SUM(PlanIndicativo[[#This Row],[Ingresos Corrientes de Libre Destinación - ICLD (2021)]:[Otros  (2021)]])</f>
        <v>0</v>
      </c>
      <c r="AX266" s="17">
        <f t="shared" si="147"/>
        <v>4331250</v>
      </c>
      <c r="AY266" s="17">
        <v>0</v>
      </c>
      <c r="AZ266" s="17">
        <v>0</v>
      </c>
      <c r="BA266" s="17">
        <v>0</v>
      </c>
      <c r="BB266" s="17">
        <v>0</v>
      </c>
      <c r="BC266" s="17">
        <f t="shared" si="148"/>
        <v>9493877.5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20">
        <f>SUM(PlanIndicativo[[#This Row],[Ingresos Corrientes de Libre Destinación - ICLD (2022)]:[Otros   (2022)]])</f>
        <v>13825127.5</v>
      </c>
      <c r="BJ266" s="17">
        <f t="shared" si="149"/>
        <v>4331250</v>
      </c>
      <c r="BK266" s="17">
        <v>0</v>
      </c>
      <c r="BL266" s="17">
        <v>0</v>
      </c>
      <c r="BM266" s="17">
        <v>0</v>
      </c>
      <c r="BN266" s="17">
        <v>0</v>
      </c>
      <c r="BO266" s="17">
        <f t="shared" si="150"/>
        <v>9493877.5</v>
      </c>
      <c r="BP266" s="17">
        <v>0</v>
      </c>
      <c r="BQ266" s="17">
        <v>0</v>
      </c>
      <c r="BR266" s="17">
        <v>0</v>
      </c>
      <c r="BS266" s="17">
        <v>0</v>
      </c>
      <c r="BT266" s="17">
        <v>0</v>
      </c>
      <c r="BU266" s="21">
        <f>SUM(PlanIndicativo[[#This Row],[Ingresos Corrientes de Libre Destinación - ICLD (2023)]:[Otros (2023)]])</f>
        <v>13825127.5</v>
      </c>
      <c r="BV266" s="21">
        <f>+PlanIndicativo[[#This Row],[Total (2020)]]+PlanIndicativo[[#This Row],[Total  (2021)]]+PlanIndicativo[[#This Row],[Total  (2022)]]+PlanIndicativo[[#This Row],[Total (2023)]]</f>
        <v>27650255</v>
      </c>
      <c r="BW266" s="22" t="s">
        <v>584</v>
      </c>
    </row>
    <row r="267" spans="1:75" ht="21" customHeight="1" x14ac:dyDescent="0.25">
      <c r="A267" s="7">
        <v>4</v>
      </c>
      <c r="B267" s="8" t="s">
        <v>743</v>
      </c>
      <c r="C267" s="7" t="s">
        <v>857</v>
      </c>
      <c r="D267" s="7" t="s">
        <v>858</v>
      </c>
      <c r="E267" s="7" t="s">
        <v>859</v>
      </c>
      <c r="F267" s="8" t="s">
        <v>860</v>
      </c>
      <c r="G267" s="7" t="s">
        <v>861</v>
      </c>
      <c r="H267" s="8" t="s">
        <v>862</v>
      </c>
      <c r="I267" s="7">
        <v>4502003</v>
      </c>
      <c r="J267" s="25" t="s">
        <v>867</v>
      </c>
      <c r="K267" s="25" t="s">
        <v>868</v>
      </c>
      <c r="L267" s="11" t="s">
        <v>581</v>
      </c>
      <c r="M267" s="11" t="s">
        <v>823</v>
      </c>
      <c r="N267" s="25" t="s">
        <v>86</v>
      </c>
      <c r="O267" s="25"/>
      <c r="P267" s="33">
        <v>450200300</v>
      </c>
      <c r="Q267" s="25" t="s">
        <v>869</v>
      </c>
      <c r="R267" s="12" t="s">
        <v>88</v>
      </c>
      <c r="S267" s="13" t="s">
        <v>89</v>
      </c>
      <c r="T267" s="36">
        <v>0</v>
      </c>
      <c r="U267" s="37">
        <v>4</v>
      </c>
      <c r="V267" s="38">
        <v>1</v>
      </c>
      <c r="W267" s="38">
        <v>1</v>
      </c>
      <c r="X267" s="38">
        <v>1</v>
      </c>
      <c r="Y267" s="38">
        <v>1</v>
      </c>
      <c r="Z267" s="17">
        <f>17325000/4*2</f>
        <v>8662500</v>
      </c>
      <c r="AA267" s="17">
        <v>0</v>
      </c>
      <c r="AB267" s="17">
        <v>0</v>
      </c>
      <c r="AC267" s="17">
        <v>0</v>
      </c>
      <c r="AD267" s="17">
        <v>0</v>
      </c>
      <c r="AE267" s="17">
        <f>37975510/4*2</f>
        <v>18987755</v>
      </c>
      <c r="AF267" s="17">
        <v>0</v>
      </c>
      <c r="AG267" s="17">
        <v>0</v>
      </c>
      <c r="AH267" s="17">
        <v>0</v>
      </c>
      <c r="AI267" s="17">
        <v>0</v>
      </c>
      <c r="AJ267" s="17">
        <v>0</v>
      </c>
      <c r="AK267" s="18">
        <f>SUM(PlanIndicativo[[#This Row],[Ingresos Corrientes de Libre Destinación - ICLD (2020)]:[Otros (2020)]])</f>
        <v>27650255</v>
      </c>
      <c r="AL267" s="17">
        <f t="shared" ref="AL267:AL268" si="151">17325000/4</f>
        <v>4331250</v>
      </c>
      <c r="AM267" s="17">
        <v>0</v>
      </c>
      <c r="AN267" s="17">
        <v>0</v>
      </c>
      <c r="AO267" s="17">
        <v>0</v>
      </c>
      <c r="AP267" s="17">
        <v>0</v>
      </c>
      <c r="AQ267" s="17">
        <f t="shared" ref="AQ267:AQ268" si="152">37975510/4</f>
        <v>9493877.5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9">
        <f>SUM(PlanIndicativo[[#This Row],[Ingresos Corrientes de Libre Destinación - ICLD (2021)]:[Otros  (2021)]])</f>
        <v>13825127.5</v>
      </c>
      <c r="AX267" s="17">
        <f t="shared" si="147"/>
        <v>4331250</v>
      </c>
      <c r="AY267" s="17">
        <v>0</v>
      </c>
      <c r="AZ267" s="17">
        <v>0</v>
      </c>
      <c r="BA267" s="17">
        <v>0</v>
      </c>
      <c r="BB267" s="17">
        <v>0</v>
      </c>
      <c r="BC267" s="17">
        <f t="shared" si="148"/>
        <v>9493877.5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20">
        <f>SUM(PlanIndicativo[[#This Row],[Ingresos Corrientes de Libre Destinación - ICLD (2022)]:[Otros   (2022)]])</f>
        <v>13825127.5</v>
      </c>
      <c r="BJ267" s="17">
        <f t="shared" si="149"/>
        <v>4331250</v>
      </c>
      <c r="BK267" s="17">
        <v>0</v>
      </c>
      <c r="BL267" s="17">
        <v>0</v>
      </c>
      <c r="BM267" s="17">
        <v>0</v>
      </c>
      <c r="BN267" s="17">
        <v>0</v>
      </c>
      <c r="BO267" s="17">
        <f t="shared" si="150"/>
        <v>9493877.5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21">
        <f>SUM(PlanIndicativo[[#This Row],[Ingresos Corrientes de Libre Destinación - ICLD (2023)]:[Otros (2023)]])</f>
        <v>13825127.5</v>
      </c>
      <c r="BV267" s="21">
        <f>+PlanIndicativo[[#This Row],[Total (2020)]]+PlanIndicativo[[#This Row],[Total  (2021)]]+PlanIndicativo[[#This Row],[Total  (2022)]]+PlanIndicativo[[#This Row],[Total (2023)]]</f>
        <v>69125637.5</v>
      </c>
      <c r="BW267" s="22" t="s">
        <v>584</v>
      </c>
    </row>
    <row r="268" spans="1:75" ht="21" customHeight="1" x14ac:dyDescent="0.25">
      <c r="A268" s="7">
        <v>4</v>
      </c>
      <c r="B268" s="8" t="s">
        <v>743</v>
      </c>
      <c r="C268" s="7" t="s">
        <v>857</v>
      </c>
      <c r="D268" s="7" t="s">
        <v>858</v>
      </c>
      <c r="E268" s="7" t="s">
        <v>859</v>
      </c>
      <c r="F268" s="8" t="s">
        <v>860</v>
      </c>
      <c r="G268" s="7" t="s">
        <v>861</v>
      </c>
      <c r="H268" s="8" t="s">
        <v>862</v>
      </c>
      <c r="I268" s="7">
        <v>4502008</v>
      </c>
      <c r="J268" s="25" t="s">
        <v>870</v>
      </c>
      <c r="K268" s="25" t="s">
        <v>868</v>
      </c>
      <c r="L268" s="11" t="s">
        <v>581</v>
      </c>
      <c r="M268" s="11" t="s">
        <v>823</v>
      </c>
      <c r="N268" s="25" t="s">
        <v>86</v>
      </c>
      <c r="O268" s="25"/>
      <c r="P268" s="33">
        <v>450200800</v>
      </c>
      <c r="Q268" s="25" t="s">
        <v>871</v>
      </c>
      <c r="R268" s="12" t="s">
        <v>88</v>
      </c>
      <c r="S268" s="13" t="s">
        <v>89</v>
      </c>
      <c r="T268" s="36">
        <v>0</v>
      </c>
      <c r="U268" s="37">
        <v>2</v>
      </c>
      <c r="V268" s="38">
        <v>0</v>
      </c>
      <c r="W268" s="38">
        <v>1</v>
      </c>
      <c r="X268" s="38">
        <v>1</v>
      </c>
      <c r="Y268" s="38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8">
        <f>SUM(PlanIndicativo[[#This Row],[Ingresos Corrientes de Libre Destinación - ICLD (2020)]:[Otros (2020)]])</f>
        <v>0</v>
      </c>
      <c r="AL268" s="17">
        <f t="shared" si="151"/>
        <v>4331250</v>
      </c>
      <c r="AM268" s="17">
        <v>0</v>
      </c>
      <c r="AN268" s="17">
        <v>0</v>
      </c>
      <c r="AO268" s="17">
        <v>0</v>
      </c>
      <c r="AP268" s="17">
        <v>0</v>
      </c>
      <c r="AQ268" s="17">
        <f t="shared" si="152"/>
        <v>9493877.5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9">
        <f>SUM(PlanIndicativo[[#This Row],[Ingresos Corrientes de Libre Destinación - ICLD (2021)]:[Otros  (2021)]])</f>
        <v>13825127.5</v>
      </c>
      <c r="AX268" s="17">
        <f t="shared" si="147"/>
        <v>4331250</v>
      </c>
      <c r="AY268" s="17">
        <v>0</v>
      </c>
      <c r="AZ268" s="17">
        <v>0</v>
      </c>
      <c r="BA268" s="17">
        <v>0</v>
      </c>
      <c r="BB268" s="17">
        <v>0</v>
      </c>
      <c r="BC268" s="17">
        <f t="shared" si="148"/>
        <v>9493877.5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20">
        <f>SUM(PlanIndicativo[[#This Row],[Ingresos Corrientes de Libre Destinación - ICLD (2022)]:[Otros   (2022)]])</f>
        <v>13825127.5</v>
      </c>
      <c r="BJ268" s="17">
        <f t="shared" si="149"/>
        <v>4331250</v>
      </c>
      <c r="BK268" s="17">
        <v>0</v>
      </c>
      <c r="BL268" s="17">
        <v>0</v>
      </c>
      <c r="BM268" s="17">
        <v>0</v>
      </c>
      <c r="BN268" s="17">
        <v>0</v>
      </c>
      <c r="BO268" s="17">
        <f t="shared" si="150"/>
        <v>9493877.5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21">
        <f>SUM(PlanIndicativo[[#This Row],[Ingresos Corrientes de Libre Destinación - ICLD (2023)]:[Otros (2023)]])</f>
        <v>13825127.5</v>
      </c>
      <c r="BV268" s="21">
        <f>+PlanIndicativo[[#This Row],[Total (2020)]]+PlanIndicativo[[#This Row],[Total  (2021)]]+PlanIndicativo[[#This Row],[Total  (2022)]]+PlanIndicativo[[#This Row],[Total (2023)]]</f>
        <v>41475382.5</v>
      </c>
      <c r="BW268" s="22" t="s">
        <v>584</v>
      </c>
    </row>
    <row r="269" spans="1:75" ht="21" customHeight="1" thickBot="1" x14ac:dyDescent="0.3">
      <c r="A269" s="43">
        <v>4</v>
      </c>
      <c r="B269" s="44" t="s">
        <v>743</v>
      </c>
      <c r="C269" s="43" t="s">
        <v>872</v>
      </c>
      <c r="D269" s="43" t="s">
        <v>873</v>
      </c>
      <c r="E269" s="45" t="s">
        <v>874</v>
      </c>
      <c r="F269" s="44" t="s">
        <v>875</v>
      </c>
      <c r="G269" s="43" t="s">
        <v>876</v>
      </c>
      <c r="H269" s="44" t="s">
        <v>877</v>
      </c>
      <c r="I269" s="43">
        <v>1206007</v>
      </c>
      <c r="J269" s="46" t="s">
        <v>878</v>
      </c>
      <c r="K269" s="46" t="s">
        <v>879</v>
      </c>
      <c r="L269" s="25" t="s">
        <v>581</v>
      </c>
      <c r="M269" s="11" t="s">
        <v>823</v>
      </c>
      <c r="N269" s="25" t="s">
        <v>86</v>
      </c>
      <c r="O269" s="46"/>
      <c r="P269" s="47">
        <v>120600700</v>
      </c>
      <c r="Q269" s="46" t="s">
        <v>880</v>
      </c>
      <c r="R269" s="48" t="s">
        <v>88</v>
      </c>
      <c r="S269" s="13" t="s">
        <v>93</v>
      </c>
      <c r="T269" s="49">
        <v>0</v>
      </c>
      <c r="U269" s="50">
        <v>10</v>
      </c>
      <c r="V269" s="51">
        <v>2</v>
      </c>
      <c r="W269" s="51">
        <v>2</v>
      </c>
      <c r="X269" s="51">
        <v>3</v>
      </c>
      <c r="Y269" s="51">
        <v>3</v>
      </c>
      <c r="Z269" s="52">
        <v>0</v>
      </c>
      <c r="AA269" s="52">
        <v>0</v>
      </c>
      <c r="AB269" s="52">
        <v>0</v>
      </c>
      <c r="AC269" s="52">
        <v>0</v>
      </c>
      <c r="AD269" s="52">
        <v>0</v>
      </c>
      <c r="AE269" s="52">
        <v>10000000</v>
      </c>
      <c r="AF269" s="52">
        <v>0</v>
      </c>
      <c r="AG269" s="52">
        <v>0</v>
      </c>
      <c r="AH269" s="52">
        <v>0</v>
      </c>
      <c r="AI269" s="52">
        <v>0</v>
      </c>
      <c r="AJ269" s="52">
        <v>0</v>
      </c>
      <c r="AK269" s="53">
        <f>SUM(PlanIndicativo[[#This Row],[Ingresos Corrientes de Libre Destinación - ICLD (2020)]:[Otros (2020)]])</f>
        <v>10000000</v>
      </c>
      <c r="AL269" s="52">
        <v>0</v>
      </c>
      <c r="AM269" s="52">
        <v>0</v>
      </c>
      <c r="AN269" s="52">
        <v>0</v>
      </c>
      <c r="AO269" s="52">
        <v>0</v>
      </c>
      <c r="AP269" s="52">
        <v>0</v>
      </c>
      <c r="AQ269" s="52">
        <v>10000000</v>
      </c>
      <c r="AR269" s="52">
        <v>0</v>
      </c>
      <c r="AS269" s="52">
        <v>0</v>
      </c>
      <c r="AT269" s="52">
        <v>0</v>
      </c>
      <c r="AU269" s="52">
        <v>0</v>
      </c>
      <c r="AV269" s="52">
        <v>0</v>
      </c>
      <c r="AW269" s="19">
        <f>SUM(PlanIndicativo[[#This Row],[Ingresos Corrientes de Libre Destinación - ICLD (2021)]:[Otros  (2021)]])</f>
        <v>10000000</v>
      </c>
      <c r="AX269" s="52">
        <v>0</v>
      </c>
      <c r="AY269" s="52">
        <v>0</v>
      </c>
      <c r="AZ269" s="52">
        <v>0</v>
      </c>
      <c r="BA269" s="52">
        <v>0</v>
      </c>
      <c r="BB269" s="52">
        <v>0</v>
      </c>
      <c r="BC269" s="52">
        <v>10000000</v>
      </c>
      <c r="BD269" s="52">
        <v>0</v>
      </c>
      <c r="BE269" s="52">
        <v>0</v>
      </c>
      <c r="BF269" s="52">
        <v>0</v>
      </c>
      <c r="BG269" s="52">
        <v>0</v>
      </c>
      <c r="BH269" s="52">
        <v>0</v>
      </c>
      <c r="BI269" s="20">
        <f>SUM(PlanIndicativo[[#This Row],[Ingresos Corrientes de Libre Destinación - ICLD (2022)]:[Otros   (2022)]])</f>
        <v>10000000</v>
      </c>
      <c r="BJ269" s="52">
        <v>0</v>
      </c>
      <c r="BK269" s="52">
        <v>0</v>
      </c>
      <c r="BL269" s="52">
        <v>0</v>
      </c>
      <c r="BM269" s="52">
        <v>0</v>
      </c>
      <c r="BN269" s="52">
        <v>0</v>
      </c>
      <c r="BO269" s="52">
        <v>10000000</v>
      </c>
      <c r="BP269" s="52">
        <v>0</v>
      </c>
      <c r="BQ269" s="52">
        <v>0</v>
      </c>
      <c r="BR269" s="52">
        <v>0</v>
      </c>
      <c r="BS269" s="52">
        <v>0</v>
      </c>
      <c r="BT269" s="52">
        <v>0</v>
      </c>
      <c r="BU269" s="54">
        <f>SUM(PlanIndicativo[[#This Row],[Ingresos Corrientes de Libre Destinación - ICLD (2023)]:[Otros (2023)]])</f>
        <v>10000000</v>
      </c>
      <c r="BV269" s="21">
        <f>+PlanIndicativo[[#This Row],[Total (2020)]]+PlanIndicativo[[#This Row],[Total  (2021)]]+PlanIndicativo[[#This Row],[Total  (2022)]]+PlanIndicativo[[#This Row],[Total (2023)]]</f>
        <v>40000000</v>
      </c>
      <c r="BW269" s="22" t="s">
        <v>584</v>
      </c>
    </row>
    <row r="270" spans="1:75" ht="21" customHeight="1" thickTop="1" thickBot="1" x14ac:dyDescent="0.25">
      <c r="A270" s="55"/>
      <c r="B270" s="56"/>
      <c r="C270" s="56"/>
      <c r="D270" s="56"/>
      <c r="E270" s="56"/>
      <c r="F270" s="57"/>
      <c r="G270" s="56"/>
      <c r="H270" s="56"/>
      <c r="I270" s="56"/>
      <c r="J270" s="58"/>
      <c r="K270" s="58"/>
      <c r="L270" s="58"/>
      <c r="M270" s="58"/>
      <c r="N270" s="58"/>
      <c r="O270" s="58"/>
      <c r="P270" s="56"/>
      <c r="Q270" s="56"/>
      <c r="R270" s="56"/>
      <c r="S270" s="56"/>
      <c r="T270" s="59"/>
      <c r="U270" s="60"/>
      <c r="V270" s="61"/>
      <c r="W270" s="61"/>
      <c r="X270" s="61"/>
      <c r="Y270" s="61"/>
      <c r="Z270" s="62">
        <f>SUBTOTAL(109,PlanIndicativo[Ingresos Corrientes de Libre Destinación - ICLD (2020)])</f>
        <v>899109751.00000024</v>
      </c>
      <c r="AA270" s="62">
        <f>SUBTOTAL(109,PlanIndicativo[Ingresos Corrientes de Destinación Específica - ICDE (2020)])</f>
        <v>50000000.000000007</v>
      </c>
      <c r="AB270" s="62">
        <f>SUBTOTAL(109,PlanIndicativo[SGP Educación (2020)])</f>
        <v>172999140.12903219</v>
      </c>
      <c r="AC270" s="62">
        <f>SUBTOTAL(109,PlanIndicativo[SGP Salud (2020)])</f>
        <v>1257402562.9999995</v>
      </c>
      <c r="AD270" s="62">
        <f>SUBTOTAL(109,PlanIndicativo[SGP Agua Potable y Saneamiento Básico (2020)])</f>
        <v>454989395.00000006</v>
      </c>
      <c r="AE270" s="62">
        <f>SUBTOTAL(109,PlanIndicativo[SGP Propósito General (2020)])</f>
        <v>1233814510.454545</v>
      </c>
      <c r="AF270" s="62">
        <f>SUBTOTAL(109,PlanIndicativo[SGP Asignaciones Especiales (2020)])</f>
        <v>22687238</v>
      </c>
      <c r="AG270" s="62">
        <f>SUBTOTAL(109,PlanIndicativo[Sistema General de Regalías - SGR (2020)])</f>
        <v>248518857</v>
      </c>
      <c r="AH270" s="62">
        <f>SUBTOTAL(109,PlanIndicativo[Cofinanciación (2020)])</f>
        <v>267607446</v>
      </c>
      <c r="AI270" s="62">
        <f>SUBTOTAL(109,PlanIndicativo[Crédito (2020)])</f>
        <v>0</v>
      </c>
      <c r="AJ270" s="62">
        <f>SUBTOTAL(109,PlanIndicativo[Otros (2020)])</f>
        <v>1527094003.9999998</v>
      </c>
      <c r="AK270" s="63">
        <f>SUBTOTAL(109,PlanIndicativo[Total (2020)])</f>
        <v>6134222904.5835829</v>
      </c>
      <c r="AL270" s="64">
        <f>SUBTOTAL(109,PlanIndicativo[Ingresos Corrientes de Libre Destinación - ICLD (2021)])</f>
        <v>899109751.00000131</v>
      </c>
      <c r="AM270" s="64">
        <f>SUBTOTAL(109,PlanIndicativo[Ingresos Corrientes de Destinación Específica - ICDE (2021)])</f>
        <v>50000000.000000007</v>
      </c>
      <c r="AN270" s="64">
        <f>SUBTOTAL(109,PlanIndicativo[SGP Educación (2021)])</f>
        <v>172999140.12903219</v>
      </c>
      <c r="AO270" s="64">
        <f>SUBTOTAL(109,PlanIndicativo[SGP Salud (2021)])</f>
        <v>1257402562.9999995</v>
      </c>
      <c r="AP270" s="64">
        <f>SUBTOTAL(109,PlanIndicativo[SGP Agua Potable y Saneamiento Básico (2021)])</f>
        <v>454989395</v>
      </c>
      <c r="AQ270" s="64">
        <f>SUBTOTAL(109,PlanIndicativo[SGP Propósito General (2021)])</f>
        <v>1262385939.0259733</v>
      </c>
      <c r="AR270" s="65">
        <f>SUBTOTAL(109,PlanIndicativo[SGP Asignaciones Especiales  (2021)])</f>
        <v>22687238</v>
      </c>
      <c r="AS270" s="64">
        <f>SUBTOTAL(109,PlanIndicativo[Sistema General de Regalías - SGR (2021)])</f>
        <v>508454284</v>
      </c>
      <c r="AT270" s="66">
        <f>SUBTOTAL(109,PlanIndicativo[Cofinanciación  (2021)])</f>
        <v>267607446</v>
      </c>
      <c r="AU270" s="64">
        <f>SUBTOTAL(109,PlanIndicativo[Crédito (2021)])</f>
        <v>0</v>
      </c>
      <c r="AV270" s="64">
        <f>SUBTOTAL(109,PlanIndicativo[Otros  (2021)])</f>
        <v>1527094003.9999998</v>
      </c>
      <c r="AW270" s="64">
        <f>SUBTOTAL(109,PlanIndicativo[Total  (2021)])</f>
        <v>6422729760.1550131</v>
      </c>
      <c r="AX270" s="64">
        <f>SUBTOTAL(109,PlanIndicativo[Ingresos Corrientes de Libre Destinación - ICLD (2022)])</f>
        <v>899109751.0000025</v>
      </c>
      <c r="AY270" s="64">
        <f>SUBTOTAL(109,PlanIndicativo[Ingresos Corrientes de Destinación Específica - ICDE (2022)])</f>
        <v>50000000.000000015</v>
      </c>
      <c r="AZ270" s="65">
        <f>SUBTOTAL(109,PlanIndicativo[SGP Educación (2022)])</f>
        <v>167592916.99999991</v>
      </c>
      <c r="BA270" s="64">
        <f>SUBTOTAL(109,PlanIndicativo[SGP Salud (2022)])</f>
        <v>1257402562.9999998</v>
      </c>
      <c r="BB270" s="66">
        <f>SUBTOTAL(109,PlanIndicativo[SGP Agua Potable y Saneamiento Básico (2022)])</f>
        <v>454989394.99999988</v>
      </c>
      <c r="BC270" s="64">
        <f>SUBTOTAL(109,PlanIndicativo[SGP Propósito General (2022)])</f>
        <v>1233814510.4545453</v>
      </c>
      <c r="BD270" s="64">
        <f>SUBTOTAL(109,PlanIndicativo[SGP Asignaciones Especiales (2022)])</f>
        <v>22687238</v>
      </c>
      <c r="BE270" s="64">
        <f>SUBTOTAL(109,PlanIndicativo[Sistema General de Regalías - SGR (2022)])</f>
        <v>498260209</v>
      </c>
      <c r="BF270" s="64">
        <f>SUBTOTAL(109,PlanIndicativo[Cofinanciación (2022)])</f>
        <v>267607445.99999994</v>
      </c>
      <c r="BG270" s="64">
        <f>SUBTOTAL(109,PlanIndicativo[Crédito (2022)])</f>
        <v>0</v>
      </c>
      <c r="BH270" s="65">
        <f>SUBTOTAL(109,PlanIndicativo[Otros   (2022)])</f>
        <v>1527094003.9999995</v>
      </c>
      <c r="BI270" s="64">
        <f>SUBTOTAL(109,PlanIndicativo[Total  (2022)])</f>
        <v>6378558033.4545517</v>
      </c>
      <c r="BJ270" s="66">
        <f>SUBTOTAL(109,PlanIndicativo[Ingresos Corrientes de Libre Destinación - ICLD (2023)])</f>
        <v>899109751.0000025</v>
      </c>
      <c r="BK270" s="64">
        <f>SUBTOTAL(109,PlanIndicativo[Ingresos Corrientes de Destinación Específica - ICDE (2023)])</f>
        <v>50000000.000000015</v>
      </c>
      <c r="BL270" s="64">
        <f>SUBTOTAL(109,PlanIndicativo[SGP Educación (2023)])</f>
        <v>167592916.99999991</v>
      </c>
      <c r="BM270" s="64">
        <f>SUBTOTAL(109,PlanIndicativo[SGP Salud (2023)])</f>
        <v>1257402562.9999998</v>
      </c>
      <c r="BN270" s="64">
        <f>SUBTOTAL(109,PlanIndicativo[SGP Agua Potable y Saneamiento Básico (2023)])</f>
        <v>454989394.99999988</v>
      </c>
      <c r="BO270" s="64">
        <f>SUBTOTAL(109,PlanIndicativo[SGP Propósito General  (2023)])</f>
        <v>1233814510.4545453</v>
      </c>
      <c r="BP270" s="65">
        <f>SUBTOTAL(109,PlanIndicativo[SGP Asignaciones Especiales (2023)])</f>
        <v>22687238</v>
      </c>
      <c r="BQ270" s="65">
        <f>SUBTOTAL(109,PlanIndicativo[Sistema General de Regalías - SGR (2023)])</f>
        <v>521939480</v>
      </c>
      <c r="BR270" s="62">
        <f>SUBTOTAL(109,PlanIndicativo[Cofinanciación (2023)])</f>
        <v>267607445.99999994</v>
      </c>
      <c r="BS270" s="62">
        <f>SUBTOTAL(109,PlanIndicativo[Crédito (2023)])</f>
        <v>0</v>
      </c>
      <c r="BT270" s="62">
        <f>SUBTOTAL(109,PlanIndicativo[Otros (2023)])</f>
        <v>1527094003.9999995</v>
      </c>
      <c r="BU270" s="62">
        <f>SUBTOTAL(109,PlanIndicativo[Total (2023)])</f>
        <v>6402237304.4545517</v>
      </c>
      <c r="BV270" s="67">
        <f>SUBTOTAL(109,PlanIndicativo[TOTAL CUATRIENIO])</f>
        <v>25337748002.647667</v>
      </c>
      <c r="BW270" s="68"/>
    </row>
    <row r="271" spans="1:75" ht="21" customHeight="1" thickTop="1" x14ac:dyDescent="0.25"/>
    <row r="272" spans="1:75" ht="21" customHeight="1" x14ac:dyDescent="0.25">
      <c r="AE272" s="74"/>
    </row>
    <row r="273" spans="31:31" ht="21" customHeight="1" x14ac:dyDescent="0.25">
      <c r="AE273" s="74"/>
    </row>
  </sheetData>
  <dataConsolidate/>
  <pageMargins left="0.35433070866141736" right="0.35433070866141736" top="0.98425196850393704" bottom="0.98425196850393704" header="0.51181102362204722" footer="0.51181102362204722"/>
  <pageSetup scale="40" orientation="landscape" horizontalDpi="4294967292" verticalDpi="4294967292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PlanPlurianual de inversiones</vt:lpstr>
      <vt:lpstr>Programa</vt:lpstr>
      <vt:lpstr>Sector_PDM</vt:lpstr>
      <vt:lpstr>'PlanPlurianual de inversiones'!Títulos_a_imprimir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2021-05-07T14:30:44Z</dcterms:created>
  <dcterms:modified xsi:type="dcterms:W3CDTF">2021-05-07T14:30:53Z</dcterms:modified>
</cp:coreProperties>
</file>