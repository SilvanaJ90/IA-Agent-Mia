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2.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elipe\Desktop\TRABAJO\ANGELOPOLIS\2024\SISPT\SEGUIMIENTO PLAN DE DESARROLLO\2025\"/>
    </mc:Choice>
  </mc:AlternateContent>
  <bookViews>
    <workbookView xWindow="-120" yWindow="-120" windowWidth="29040" windowHeight="15840" tabRatio="594"/>
  </bookViews>
  <sheets>
    <sheet name="Hoja1" sheetId="1" r:id="rId1"/>
    <sheet name="estadisticas" sheetId="2" r:id="rId2"/>
    <sheet name="estadisticas (2)" sheetId="3" r:id="rId3"/>
    <sheet name="estadisticas 2025" sheetId="4" r:id="rId4"/>
  </sheets>
  <externalReferences>
    <externalReference r:id="rId5"/>
  </externalReferences>
  <definedNames>
    <definedName name="_xlnm._FilterDatabase" localSheetId="1" hidden="1">estadisticas!$A$2:$AC$104</definedName>
    <definedName name="_xlnm._FilterDatabase" localSheetId="2" hidden="1">'estadisticas (2)'!$A$2:$AC$104</definedName>
    <definedName name="_xlnm._FilterDatabase" localSheetId="3" hidden="1">'estadisticas 2025'!$A$2:$AI$184</definedName>
    <definedName name="_xlnm._FilterDatabase" localSheetId="0" hidden="1">Hoja1!$A$1:$CE$184</definedName>
    <definedName name="PROGRAMAS">'[1]Sectores, programas, subprogram'!$C$8:$D$181</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I167" i="4" l="1"/>
  <c r="AI161" i="4"/>
  <c r="AI119" i="4"/>
  <c r="AI4" i="4" l="1"/>
  <c r="AI5" i="4"/>
  <c r="AI6" i="4"/>
  <c r="AI7" i="4"/>
  <c r="AI8" i="4"/>
  <c r="AI9" i="4"/>
  <c r="AI10" i="4"/>
  <c r="AI11" i="4"/>
  <c r="AI12" i="4"/>
  <c r="AI13" i="4"/>
  <c r="AI14" i="4"/>
  <c r="AI15" i="4"/>
  <c r="AI16" i="4"/>
  <c r="AI17" i="4"/>
  <c r="AI18" i="4"/>
  <c r="AI19" i="4"/>
  <c r="AI20" i="4"/>
  <c r="AI21" i="4"/>
  <c r="AI22" i="4"/>
  <c r="AI23" i="4"/>
  <c r="AI24" i="4"/>
  <c r="AI25" i="4"/>
  <c r="AI26" i="4"/>
  <c r="AI27" i="4"/>
  <c r="AI28" i="4"/>
  <c r="AI29" i="4"/>
  <c r="AI30" i="4"/>
  <c r="AI31" i="4"/>
  <c r="AI32" i="4"/>
  <c r="AI33" i="4"/>
  <c r="AI34" i="4"/>
  <c r="AI35" i="4"/>
  <c r="AI36" i="4"/>
  <c r="AI37" i="4"/>
  <c r="AI38" i="4"/>
  <c r="AI39" i="4"/>
  <c r="AI40" i="4"/>
  <c r="AI41" i="4"/>
  <c r="AI42" i="4"/>
  <c r="AI43" i="4"/>
  <c r="AI44" i="4"/>
  <c r="AI45" i="4"/>
  <c r="AI46" i="4"/>
  <c r="AI47" i="4"/>
  <c r="AI48" i="4"/>
  <c r="AI49" i="4"/>
  <c r="AI50" i="4"/>
  <c r="AI51" i="4"/>
  <c r="AI52" i="4"/>
  <c r="AI53" i="4"/>
  <c r="AI54" i="4"/>
  <c r="AI55" i="4"/>
  <c r="AI56" i="4"/>
  <c r="AI57" i="4"/>
  <c r="AI58" i="4"/>
  <c r="AI59" i="4"/>
  <c r="AI60" i="4"/>
  <c r="AI61" i="4"/>
  <c r="AI62" i="4"/>
  <c r="AI63" i="4"/>
  <c r="AI64" i="4"/>
  <c r="AI65" i="4"/>
  <c r="AI66" i="4"/>
  <c r="AI67" i="4"/>
  <c r="AI68" i="4"/>
  <c r="AI69" i="4"/>
  <c r="AI70" i="4"/>
  <c r="AI71" i="4"/>
  <c r="AI72" i="4"/>
  <c r="AI73" i="4"/>
  <c r="AI74" i="4"/>
  <c r="AI75" i="4"/>
  <c r="AI76" i="4"/>
  <c r="AI77" i="4"/>
  <c r="AI78" i="4"/>
  <c r="AI79" i="4"/>
  <c r="AI80" i="4"/>
  <c r="AI81" i="4"/>
  <c r="AI82" i="4"/>
  <c r="AI83" i="4"/>
  <c r="AI84" i="4"/>
  <c r="AI85" i="4"/>
  <c r="AI86" i="4"/>
  <c r="AI87" i="4"/>
  <c r="AI88" i="4"/>
  <c r="AI89" i="4"/>
  <c r="AI90" i="4"/>
  <c r="AI91" i="4"/>
  <c r="AI92" i="4"/>
  <c r="AI93" i="4"/>
  <c r="AI94" i="4"/>
  <c r="AI95" i="4"/>
  <c r="AI96" i="4"/>
  <c r="AI97" i="4"/>
  <c r="AI98" i="4"/>
  <c r="AI99" i="4"/>
  <c r="AI100" i="4"/>
  <c r="AI101" i="4"/>
  <c r="AI102" i="4"/>
  <c r="AI103" i="4"/>
  <c r="AI104" i="4"/>
  <c r="AI105" i="4"/>
  <c r="AI106" i="4"/>
  <c r="AI107" i="4"/>
  <c r="AI108" i="4"/>
  <c r="AI109" i="4"/>
  <c r="AI110" i="4"/>
  <c r="AI111" i="4"/>
  <c r="AI112" i="4"/>
  <c r="AI113" i="4"/>
  <c r="AI114" i="4"/>
  <c r="AI115" i="4"/>
  <c r="AI116" i="4"/>
  <c r="AI117" i="4"/>
  <c r="AI118" i="4"/>
  <c r="AI120" i="4"/>
  <c r="AI121" i="4"/>
  <c r="AI122" i="4"/>
  <c r="AI123" i="4"/>
  <c r="AI124" i="4"/>
  <c r="AI125" i="4"/>
  <c r="AI126" i="4"/>
  <c r="AI127" i="4"/>
  <c r="AI128" i="4"/>
  <c r="AI129" i="4"/>
  <c r="AI130" i="4"/>
  <c r="AI131" i="4"/>
  <c r="AI132" i="4"/>
  <c r="AI133" i="4"/>
  <c r="AI134" i="4"/>
  <c r="AI135" i="4"/>
  <c r="AI136" i="4"/>
  <c r="AI137" i="4"/>
  <c r="AI138" i="4"/>
  <c r="AI139" i="4"/>
  <c r="AI140" i="4"/>
  <c r="AI141" i="4"/>
  <c r="AI142" i="4"/>
  <c r="AI143" i="4"/>
  <c r="AI144" i="4"/>
  <c r="AI145" i="4"/>
  <c r="AI146" i="4"/>
  <c r="AI147" i="4"/>
  <c r="AI148" i="4"/>
  <c r="AI149" i="4"/>
  <c r="AI150" i="4"/>
  <c r="AI151" i="4"/>
  <c r="AI152" i="4"/>
  <c r="AI153" i="4"/>
  <c r="AI154" i="4"/>
  <c r="AI155" i="4"/>
  <c r="AI156" i="4"/>
  <c r="AI157" i="4"/>
  <c r="AI158" i="4"/>
  <c r="AI159" i="4"/>
  <c r="AI160" i="4"/>
  <c r="AI162" i="4"/>
  <c r="AI163" i="4"/>
  <c r="AI164" i="4"/>
  <c r="AI165" i="4"/>
  <c r="AI166" i="4"/>
  <c r="AI168" i="4"/>
  <c r="AI169" i="4"/>
  <c r="AI170" i="4"/>
  <c r="AI171" i="4"/>
  <c r="AI172" i="4"/>
  <c r="AI173" i="4"/>
  <c r="AI174" i="4"/>
  <c r="AI175" i="4"/>
  <c r="AI176" i="4"/>
  <c r="AI177" i="4"/>
  <c r="AI178" i="4"/>
  <c r="AI179" i="4"/>
  <c r="AI180" i="4"/>
  <c r="AI181" i="4"/>
  <c r="AI182" i="4"/>
  <c r="AI183" i="4"/>
  <c r="AI184" i="4"/>
  <c r="AI3" i="4"/>
  <c r="AD184" i="4"/>
  <c r="AD183" i="4"/>
  <c r="AD182" i="4"/>
  <c r="AD181" i="4"/>
  <c r="AD180" i="4"/>
  <c r="AD179" i="4"/>
  <c r="AD178" i="4"/>
  <c r="AD177" i="4"/>
  <c r="AD176" i="4"/>
  <c r="AD175" i="4"/>
  <c r="AD174" i="4"/>
  <c r="AD173" i="4"/>
  <c r="AD172" i="4"/>
  <c r="AD171" i="4"/>
  <c r="AD170" i="4"/>
  <c r="AD169" i="4"/>
  <c r="AD168" i="4"/>
  <c r="AD167" i="4"/>
  <c r="AD166" i="4"/>
  <c r="AD165" i="4"/>
  <c r="AD164" i="4"/>
  <c r="AD163" i="4"/>
  <c r="AD162" i="4"/>
  <c r="AD161" i="4"/>
  <c r="AD160" i="4"/>
  <c r="AD159" i="4"/>
  <c r="AD158" i="4"/>
  <c r="AD157" i="4"/>
  <c r="AD156" i="4"/>
  <c r="AD155" i="4"/>
  <c r="AD154" i="4"/>
  <c r="AD153" i="4"/>
  <c r="AD152" i="4"/>
  <c r="AD151" i="4"/>
  <c r="AD150" i="4"/>
  <c r="AD149" i="4"/>
  <c r="AD148" i="4"/>
  <c r="AD147" i="4"/>
  <c r="AD146" i="4"/>
  <c r="AD145" i="4"/>
  <c r="AD144" i="4"/>
  <c r="AD143" i="4"/>
  <c r="AD142" i="4"/>
  <c r="AD141" i="4"/>
  <c r="AD140" i="4"/>
  <c r="AD139" i="4"/>
  <c r="AD138" i="4"/>
  <c r="AD137" i="4"/>
  <c r="AD136" i="4"/>
  <c r="AD135" i="4"/>
  <c r="AD134" i="4"/>
  <c r="AD133" i="4"/>
  <c r="AD132" i="4"/>
  <c r="AD131" i="4"/>
  <c r="AD130" i="4"/>
  <c r="AD129" i="4"/>
  <c r="AD128" i="4"/>
  <c r="AD127" i="4"/>
  <c r="AD126" i="4"/>
  <c r="AD125" i="4"/>
  <c r="AD124" i="4"/>
  <c r="AD123" i="4"/>
  <c r="AD122" i="4"/>
  <c r="AD121" i="4"/>
  <c r="AD120" i="4"/>
  <c r="AD119" i="4"/>
  <c r="AD118" i="4"/>
  <c r="AD117" i="4"/>
  <c r="AD116" i="4"/>
  <c r="AD115" i="4"/>
  <c r="AD114" i="4"/>
  <c r="AD113" i="4"/>
  <c r="AD112" i="4"/>
  <c r="AD111" i="4"/>
  <c r="AD110" i="4"/>
  <c r="AD109" i="4"/>
  <c r="AD108" i="4"/>
  <c r="AD107" i="4"/>
  <c r="AD106" i="4"/>
  <c r="AD105" i="4"/>
  <c r="AD104" i="4"/>
  <c r="AD103" i="4"/>
  <c r="AD102" i="4"/>
  <c r="AD101" i="4"/>
  <c r="AD100" i="4"/>
  <c r="AD99" i="4"/>
  <c r="AD98" i="4"/>
  <c r="AD97" i="4"/>
  <c r="AD96" i="4"/>
  <c r="AD95" i="4"/>
  <c r="AD94" i="4"/>
  <c r="AD93" i="4"/>
  <c r="AD92" i="4"/>
  <c r="AD91" i="4"/>
  <c r="AD90" i="4"/>
  <c r="AD89" i="4"/>
  <c r="AD88" i="4"/>
  <c r="AD87" i="4"/>
  <c r="AD86" i="4"/>
  <c r="AD85" i="4"/>
  <c r="AD84" i="4"/>
  <c r="AD83" i="4"/>
  <c r="AD82" i="4"/>
  <c r="AD81" i="4"/>
  <c r="AD80" i="4"/>
  <c r="AD79" i="4"/>
  <c r="AD78" i="4"/>
  <c r="AD77" i="4"/>
  <c r="AD76" i="4"/>
  <c r="AD75" i="4"/>
  <c r="AD74" i="4"/>
  <c r="AD73" i="4"/>
  <c r="AD72" i="4"/>
  <c r="AD71" i="4"/>
  <c r="AD70" i="4"/>
  <c r="AD69" i="4"/>
  <c r="AD68" i="4"/>
  <c r="AD67" i="4"/>
  <c r="AD66" i="4"/>
  <c r="AD65" i="4"/>
  <c r="AD64" i="4"/>
  <c r="AD63" i="4"/>
  <c r="AD62" i="4"/>
  <c r="AD61" i="4"/>
  <c r="AD60" i="4"/>
  <c r="AD59" i="4"/>
  <c r="AD58" i="4"/>
  <c r="AD57" i="4"/>
  <c r="AD56" i="4"/>
  <c r="AD55" i="4"/>
  <c r="AD54" i="4"/>
  <c r="AD53" i="4"/>
  <c r="AD52" i="4"/>
  <c r="AD51" i="4"/>
  <c r="AD50" i="4"/>
  <c r="AD49" i="4"/>
  <c r="AD48" i="4"/>
  <c r="AD47" i="4"/>
  <c r="AD46" i="4"/>
  <c r="AD45" i="4"/>
  <c r="AD44" i="4"/>
  <c r="AD43" i="4"/>
  <c r="AD42" i="4"/>
  <c r="AD41" i="4"/>
  <c r="AD40" i="4"/>
  <c r="AD39" i="4"/>
  <c r="AD38" i="4"/>
  <c r="AD37" i="4"/>
  <c r="AD36" i="4"/>
  <c r="AD35" i="4"/>
  <c r="AD34" i="4"/>
  <c r="AD33" i="4"/>
  <c r="AD32" i="4"/>
  <c r="AD31" i="4"/>
  <c r="AD30" i="4"/>
  <c r="AD29" i="4"/>
  <c r="AD28" i="4"/>
  <c r="AD27" i="4"/>
  <c r="AD26" i="4"/>
  <c r="AD25" i="4"/>
  <c r="AD24" i="4"/>
  <c r="AD23" i="4"/>
  <c r="AD22" i="4"/>
  <c r="AD21" i="4"/>
  <c r="AD20" i="4"/>
  <c r="AD19" i="4"/>
  <c r="AD18" i="4"/>
  <c r="AD17" i="4"/>
  <c r="AD16" i="4"/>
  <c r="AD15" i="4"/>
  <c r="AD14" i="4"/>
  <c r="AD13" i="4"/>
  <c r="AD12" i="4"/>
  <c r="AD11" i="4"/>
  <c r="AD10" i="4"/>
  <c r="AD9" i="4"/>
  <c r="AD8" i="4"/>
  <c r="AD7" i="4"/>
  <c r="AD6" i="4"/>
  <c r="AD5" i="4"/>
  <c r="AD4" i="4"/>
  <c r="AD3" i="4"/>
  <c r="AF43" i="1" l="1"/>
  <c r="AF4" i="1" l="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3" i="1"/>
  <c r="CD17" i="1" l="1"/>
  <c r="BR17" i="1"/>
  <c r="CD89" i="1" l="1"/>
  <c r="CE149" i="1" l="1"/>
  <c r="CE67" i="1" l="1"/>
  <c r="CE51" i="1"/>
  <c r="CE35" i="1"/>
  <c r="CE19" i="1"/>
  <c r="CE63" i="1"/>
  <c r="CE59" i="1"/>
  <c r="CE55" i="1"/>
  <c r="CE47" i="1"/>
  <c r="CE43" i="1"/>
  <c r="CE39" i="1"/>
  <c r="CE31" i="1"/>
  <c r="CE27" i="1"/>
  <c r="CE23" i="1"/>
  <c r="CE15" i="1"/>
  <c r="CE11" i="1"/>
  <c r="CE7" i="1"/>
  <c r="CE54" i="1"/>
  <c r="CE42" i="1"/>
  <c r="CE34" i="1"/>
  <c r="CE30" i="1"/>
  <c r="CE22" i="1"/>
  <c r="CE18" i="1"/>
  <c r="CE14" i="1"/>
  <c r="CE10" i="1"/>
  <c r="CE6" i="1"/>
  <c r="CE64" i="1"/>
  <c r="CE60" i="1"/>
  <c r="CE56" i="1"/>
  <c r="CE52" i="1"/>
  <c r="CE48" i="1"/>
  <c r="CE44" i="1"/>
  <c r="CE40" i="1"/>
  <c r="CE36" i="1"/>
  <c r="CE32" i="1"/>
  <c r="CE28" i="1"/>
  <c r="CE24" i="1"/>
  <c r="CE20" i="1"/>
  <c r="CE16" i="1"/>
  <c r="CE12" i="1"/>
  <c r="CE8" i="1"/>
  <c r="CE4" i="1"/>
  <c r="CE66" i="1"/>
  <c r="CE62" i="1"/>
  <c r="CE58" i="1"/>
  <c r="CE50" i="1"/>
  <c r="CE46" i="1"/>
  <c r="CE38" i="1"/>
  <c r="CE26" i="1"/>
  <c r="CE3" i="1"/>
  <c r="CE65" i="1"/>
  <c r="CE61" i="1"/>
  <c r="CE57" i="1"/>
  <c r="CE53" i="1"/>
  <c r="CE49" i="1"/>
  <c r="CE45" i="1"/>
  <c r="CE41" i="1"/>
  <c r="CE37" i="1"/>
  <c r="CE33" i="1"/>
  <c r="CE29" i="1"/>
  <c r="CE25" i="1"/>
  <c r="CE21" i="1"/>
  <c r="CE13" i="1"/>
  <c r="CE9" i="1"/>
  <c r="CE5" i="1"/>
  <c r="CE183" i="1"/>
  <c r="CE179" i="1"/>
  <c r="CE175" i="1"/>
  <c r="CE171" i="1"/>
  <c r="CE167" i="1"/>
  <c r="CE163" i="1"/>
  <c r="CE159" i="1"/>
  <c r="CE155" i="1"/>
  <c r="CE151" i="1"/>
  <c r="CE147" i="1"/>
  <c r="CE143" i="1"/>
  <c r="CE139" i="1"/>
  <c r="CE135" i="1"/>
  <c r="CE181" i="1"/>
  <c r="CE177" i="1"/>
  <c r="CE173" i="1"/>
  <c r="CE169" i="1"/>
  <c r="CE165" i="1"/>
  <c r="CE161" i="1"/>
  <c r="CE157" i="1"/>
  <c r="CE153" i="1"/>
  <c r="CE145" i="1"/>
  <c r="CE141" i="1"/>
  <c r="CE137" i="1"/>
  <c r="CE133" i="1"/>
  <c r="CE184" i="1"/>
  <c r="CE180" i="1"/>
  <c r="CE176" i="1"/>
  <c r="CE172" i="1"/>
  <c r="CE168" i="1"/>
  <c r="CE164" i="1"/>
  <c r="CE160" i="1"/>
  <c r="CE156" i="1"/>
  <c r="CE152" i="1"/>
  <c r="CE148" i="1"/>
  <c r="CE144" i="1"/>
  <c r="CE140" i="1"/>
  <c r="CE136" i="1"/>
  <c r="CE132" i="1"/>
  <c r="CE182" i="1"/>
  <c r="CE178" i="1"/>
  <c r="CE174" i="1"/>
  <c r="CE170" i="1"/>
  <c r="CE166" i="1"/>
  <c r="CE162" i="1"/>
  <c r="CE158" i="1"/>
  <c r="CE154" i="1"/>
  <c r="CE150" i="1"/>
  <c r="CE146" i="1"/>
  <c r="CE142" i="1"/>
  <c r="CE138" i="1"/>
  <c r="CE134" i="1"/>
  <c r="CE125" i="1"/>
  <c r="CE121" i="1"/>
  <c r="CE131" i="1"/>
  <c r="CE127" i="1"/>
  <c r="CE123" i="1"/>
  <c r="CE119" i="1"/>
  <c r="CE115" i="1"/>
  <c r="CE111" i="1"/>
  <c r="CE107" i="1"/>
  <c r="CE99" i="1"/>
  <c r="CE95" i="1"/>
  <c r="CE91" i="1"/>
  <c r="CE87" i="1"/>
  <c r="CE83" i="1"/>
  <c r="CE79" i="1"/>
  <c r="CE75" i="1"/>
  <c r="CE71" i="1"/>
  <c r="CE129" i="1"/>
  <c r="CE117" i="1"/>
  <c r="CE130" i="1"/>
  <c r="CE126" i="1"/>
  <c r="CE122" i="1"/>
  <c r="CE118" i="1"/>
  <c r="CE114" i="1"/>
  <c r="CE110" i="1"/>
  <c r="CE106" i="1"/>
  <c r="CE102" i="1"/>
  <c r="CE98" i="1"/>
  <c r="CE94" i="1"/>
  <c r="CE90" i="1"/>
  <c r="CE86" i="1"/>
  <c r="CE82" i="1"/>
  <c r="CE78" i="1"/>
  <c r="CE74" i="1"/>
  <c r="CE70" i="1"/>
  <c r="CE113" i="1"/>
  <c r="CE109" i="1"/>
  <c r="CE105" i="1"/>
  <c r="CE101" i="1"/>
  <c r="CE97" i="1"/>
  <c r="CE93" i="1"/>
  <c r="CE89" i="1"/>
  <c r="CE85" i="1"/>
  <c r="CE81" i="1"/>
  <c r="CE77" i="1"/>
  <c r="CE128" i="1"/>
  <c r="CE124" i="1"/>
  <c r="CE120" i="1"/>
  <c r="CE116" i="1"/>
  <c r="CE112" i="1"/>
  <c r="CE108" i="1"/>
  <c r="CE104" i="1"/>
  <c r="CE100" i="1"/>
  <c r="CE96" i="1"/>
  <c r="CE92" i="1"/>
  <c r="CE88" i="1"/>
  <c r="CE84" i="1"/>
  <c r="CE80" i="1"/>
  <c r="CE76" i="1"/>
  <c r="CE72" i="1"/>
  <c r="CE68" i="1"/>
  <c r="CE73" i="1"/>
  <c r="CE69" i="1"/>
  <c r="CE103" i="1"/>
  <c r="CE17" i="1"/>
</calcChain>
</file>

<file path=xl/sharedStrings.xml><?xml version="1.0" encoding="utf-8"?>
<sst xmlns="http://schemas.openxmlformats.org/spreadsheetml/2006/main" count="8304" uniqueCount="1137">
  <si>
    <t>Código Sector</t>
  </si>
  <si>
    <t xml:space="preserve">Nombre del sector </t>
  </si>
  <si>
    <t>Código programa</t>
  </si>
  <si>
    <t>Nombre del programa</t>
  </si>
  <si>
    <t>Código Producto</t>
  </si>
  <si>
    <t>Producto</t>
  </si>
  <si>
    <t>Descripción</t>
  </si>
  <si>
    <t>Medido a través de</t>
  </si>
  <si>
    <t xml:space="preserve">Código indicador </t>
  </si>
  <si>
    <t>Nombre del indicador</t>
  </si>
  <si>
    <t>Unidad de medida</t>
  </si>
  <si>
    <t>Responsable</t>
  </si>
  <si>
    <t>INCLUSIÓN SOCIAL Y RECONCILIACIÓN</t>
  </si>
  <si>
    <t>Desarrollo integral de la primera infancia a la juventud, y fortalecimiento de las capacidades de las familias de niñas, niños y adolescentes</t>
  </si>
  <si>
    <t>Servicio de atención integral a la primera infancia</t>
  </si>
  <si>
    <t>Servicio dispuestos para atender a los niños y niñas en primera infancia, con el fin de promover su desarrollo integral a través de la atención en educación inicial, cuidado calificado, salud, nutrición, protección y acompañamiento familiar.</t>
  </si>
  <si>
    <t>Número de niños y niñas</t>
  </si>
  <si>
    <t>Niños y niñas atendidos en Servicio integrales</t>
  </si>
  <si>
    <t>Número</t>
  </si>
  <si>
    <t>Secretaría General y de Gobierno</t>
  </si>
  <si>
    <t>Edificaciones de atención a la primera infancia restauradas</t>
  </si>
  <si>
    <t xml:space="preserve">Restauración de infraestructuras dirigidas  específicamente  a prestar Servicio de atención integral a la primera infancia.  </t>
  </si>
  <si>
    <t>Número de edificaciones</t>
  </si>
  <si>
    <t xml:space="preserve">Secretaría de planeación y desarrollo territorial </t>
  </si>
  <si>
    <t>Documentos de lineamientos técnicos</t>
  </si>
  <si>
    <t>Documentos cuyo objetivo es describir y explicar instrumentos, estándares, requisitos y condiciones necesarias para llevar a cabo un proceso o actividad</t>
  </si>
  <si>
    <t>Número de documentos</t>
  </si>
  <si>
    <t>Documentos de lineamientos técnicos en Política y Atención Integral de niños, niñas y adolescentes realizados</t>
  </si>
  <si>
    <t>Atención, asistencia  y reparación integral a las víctimas</t>
  </si>
  <si>
    <t>Servicio de asistencia técnica para la realización de iniciativas de memoria histórica</t>
  </si>
  <si>
    <t>Acompañamiento que se brinda a las iniciativas no oficiales de construcción de la verdad y la memoria histórica.</t>
  </si>
  <si>
    <t>Número de iniciativas</t>
  </si>
  <si>
    <t>Iniciativas de memoria histórica asistidas técnicamente</t>
  </si>
  <si>
    <t>Número de víctimas</t>
  </si>
  <si>
    <t>Servicio de orientación y comunicación a las víctimas</t>
  </si>
  <si>
    <t>Servicio desarrollados para brindar atención, comunicación y orientación a las víctimas a través de los diferentes canales que dispone la Unidad para la Atención a las victimas.</t>
  </si>
  <si>
    <t>Número de solicitudes</t>
  </si>
  <si>
    <t>Solicitudes tramitadas</t>
  </si>
  <si>
    <t>Servicio de ayuda y atención humanitaria</t>
  </si>
  <si>
    <t>Mediante los cuales se entrega ayuda y atención humanitaria a las víctimas del conflicto armado. La ayuda humanitaria se entrega a las víctimas de otros hechos diferentes al desplazamiento forzado y la atención humanitaria a víctimas de desplazamiento forzado.</t>
  </si>
  <si>
    <t>Número de personas</t>
  </si>
  <si>
    <t>Personas con asistencia humanitaria</t>
  </si>
  <si>
    <t>Número de hogares</t>
  </si>
  <si>
    <t>Servicio de asistencia técnica para la participación de las víctimas</t>
  </si>
  <si>
    <t>Orientados a generar mecanismos mediante los cuales las víctimas tengan participación conjunta y activa en la determinación de las medidas y programas que se desarrollan en su proceso de atención y reparación.</t>
  </si>
  <si>
    <t>Número de eventos</t>
  </si>
  <si>
    <t>Eventos de participación realizados</t>
  </si>
  <si>
    <t>SALUD Y PROTECCIÓN SOCIAL</t>
  </si>
  <si>
    <t>Inspección, vigilancia y control</t>
  </si>
  <si>
    <t>Servicio de promoción, prevención, vigilancia y control de vectores y zoonosis</t>
  </si>
  <si>
    <t>El Servicio de promoción, prevención, vigilancia  y control de vectores y zoonosis  permite a las entidades formular y ejecutar  efectivamente acciones para la atención del tema control de vectores y zoonosis.</t>
  </si>
  <si>
    <t>Número de municipios</t>
  </si>
  <si>
    <t>Municipios categorías 1,2 y 3 que formulen y ejecuten real y efectivamente acciones de promoción, prevención, vigilancia  y control de vectores y zoonosis realizados</t>
  </si>
  <si>
    <t>Servicio de asistencia técnica en inspección, vigilancia y control</t>
  </si>
  <si>
    <t>Este servicio permite ofrecer la asistencias técnica en Inspección, Vigilancia y Control</t>
  </si>
  <si>
    <t>Número de asistencias técnicas</t>
  </si>
  <si>
    <t>asistencias técnica en Inspección, Vigilancia y Control realizadas</t>
  </si>
  <si>
    <t>Servicio de información de vigilancia epidemiológica</t>
  </si>
  <si>
    <t>Informes de evento generados en la vigencia</t>
  </si>
  <si>
    <t>Número de informes</t>
  </si>
  <si>
    <t>Servicio de inspección, vigilancia y control</t>
  </si>
  <si>
    <t>El servicio de inspección, vigilancia y control permite mantener los estándares en las entidades del sector salud</t>
  </si>
  <si>
    <t>Número de visitas</t>
  </si>
  <si>
    <t>visitas realizadas</t>
  </si>
  <si>
    <t>MINAS Y ENERGÍA</t>
  </si>
  <si>
    <t>Consolidación productiva del sector de energía eléctrica</t>
  </si>
  <si>
    <t>Redes de alumbrado público ampliadas</t>
  </si>
  <si>
    <t>Ampliación de redes para brindar el servicio público no domiciliario de energía eléctrica para la iluminación de los bienes de uso público y demás espacios de libre circulación con tránsito vehicular o peatonal, dentro del perímetro urbano y rural un municipio o Distrito. Incluye luminarias, transformadores y equipos necesarios para el funcionamiento de la red.</t>
  </si>
  <si>
    <t>Metros de redes de alumbrado público</t>
  </si>
  <si>
    <t xml:space="preserve">Metros </t>
  </si>
  <si>
    <t>Redes de alumbrado público con mantenimiento</t>
  </si>
  <si>
    <t>Mantenimiento de redes para brindar el servicio público no domiciliario de energía eléctrica para la iluminación de los bienes de uso público y demás espacios de libre circulación con tránsito vehicular o peatonal, dentro del perímetro urbano y rural un municipio o Distrito. Incluye luminarias, transformadores y equipos necesarios para el funcionamiento de la red.</t>
  </si>
  <si>
    <t>Consolidación productiva del sector minero</t>
  </si>
  <si>
    <t>Servicio de inspección y control de la actividad minera</t>
  </si>
  <si>
    <t xml:space="preserve">Se realiza mediante visitas a las unidades de producción minera en las cuales se verifican las condiciones técnicas mínimas establecidas por Ley, en términos de operación, manejo ambiental, seguridad e higiene minera. </t>
  </si>
  <si>
    <t>Número de unidades de producción minera</t>
  </si>
  <si>
    <t>Unidades de producción minera caracterizadas</t>
  </si>
  <si>
    <t>Servicio de educación para el trabajo en actividades mineras</t>
  </si>
  <si>
    <t>Formación a mineros y autoridades en contenidos ambientales, sociales, normativos y empresariales. Incluye temas como seguridad en el trabajo, buenas prácticas,  normatividad y regulación minera, así como técnicas adecuadas para desempeñar las actividades de minería. Puede incluir temas de tecnologías limpias cuando corresponda a un componente de capacitación integral en temas de minería.</t>
  </si>
  <si>
    <t>Capacitaciones realizadas</t>
  </si>
  <si>
    <t>Servicio de asistencia técnica en actividades de explotación minera de pequeña y mediana escala</t>
  </si>
  <si>
    <t xml:space="preserve">Destinada a las unidades de producción minera  amparadas con títulos que requieren apoyo especializado en temas empresariales y técnicos mineros ambientales. </t>
  </si>
  <si>
    <t>Unidades de producción minera asistidas técnicamente</t>
  </si>
  <si>
    <t>CULTURA</t>
  </si>
  <si>
    <t>Promoción y acceso efectivo a procesos culturales y artísticos</t>
  </si>
  <si>
    <t>Servicio de mantenimiento de infraestructura cultural</t>
  </si>
  <si>
    <t>Ajuste o adaptación de una Infraestructura Cultural en la cual ya se estén desarrollando prácticas culturales, se busca garantizar la permanencia del inmueble original con las especificaciones requeridas. Este proceso puede o no tener reforzamiento estructural.</t>
  </si>
  <si>
    <t>Número de infraestructuras culturales</t>
  </si>
  <si>
    <t>Infraestructura cultural intervenida</t>
  </si>
  <si>
    <t>JUSTICIA Y DEL DERECHO</t>
  </si>
  <si>
    <t>Sistema penitenciario y carcelario en el marco de los derechos humanos</t>
  </si>
  <si>
    <t>Servicio de bienestar a la población privada de libertad</t>
  </si>
  <si>
    <t>Hace referencia a los diferentes Servicio de bienestar que reciben las personas privadas de la libertad</t>
  </si>
  <si>
    <t>EDUCACIÓN</t>
  </si>
  <si>
    <t>Calidad, cobertura y fortalecimiento de la educación inicial, prescolar, básica y media</t>
  </si>
  <si>
    <t>Documentos de planeación</t>
  </si>
  <si>
    <t>Incluyen los servicio de asesoría y orientación técnica prestados a las Secretarías de Educación o por estas en los temas relacionados con la política educativa y aquellos definidos para la educación inicial, preescolar, básica y media.</t>
  </si>
  <si>
    <t>Documentos de planeación para la educación inicial, preescolar, básica y media emitidos</t>
  </si>
  <si>
    <t>Servicio de educación informal en política educativa</t>
  </si>
  <si>
    <t>Incluye todo tipo de programas de educación informal para la apropiación social de la política educativa.</t>
  </si>
  <si>
    <t>Personas capacitadas</t>
  </si>
  <si>
    <t>Servicio de asistencia técnica en educación inicial, preescolar, básica y media</t>
  </si>
  <si>
    <t>Incluyen los servicio de asesoría y orientación técnica prestados a las Secretarías de Educación o por estas en los temas relacionados con la política educativa y aquellos definidos para la prestación del servicio educativo. Así mismo, incorpora acciones de  acompañamiento para la implementación de planes de mejoramiento en los establecimientos educativos  oficiales de preescolar, básica y medial.</t>
  </si>
  <si>
    <t>Número de entidades y organizaciones</t>
  </si>
  <si>
    <t>Establecimientos Educativos oficiales con acompañamiento en el marco de las estrategias de calidad educativa</t>
  </si>
  <si>
    <t>Servicio de información para la gestión de la educación inicial y preescolar en condiciones de calidad</t>
  </si>
  <si>
    <t>Incluye el desarrollo y operación de modelos, sistemas de información y herramientas de calidad de la educación que permitan: diagnosticar claramente la situación, comprender los problemas y sus causas y tener en cuenta las potencialidades para la  planificación y ejecución de estrategias para el logro de la calidad</t>
  </si>
  <si>
    <t>Número de sistemasde reporte de información</t>
  </si>
  <si>
    <t>Sistemas de reporte de información operando</t>
  </si>
  <si>
    <t>Infraestructura para educación inicial construida</t>
  </si>
  <si>
    <t>Contempla la construcción de aulas  de clase nuevas para la educación inicial de conformidad con lo establecido en las políticas, normatividad y lineamientos técnicos.</t>
  </si>
  <si>
    <t>Número de aulas</t>
  </si>
  <si>
    <t>Aulas nuevas para la educación inicial construidas</t>
  </si>
  <si>
    <t>Servicio de apoyo a la permanencia con alimentación escolar</t>
  </si>
  <si>
    <t>Incluye la implementación de estrategias de alimentación escolar para fortalecer las acciones de retención estudiantil.</t>
  </si>
  <si>
    <t>Número de raciones</t>
  </si>
  <si>
    <t>Raciones contratadas</t>
  </si>
  <si>
    <t>Servicio de apoyo a la permanencia con transporte escolar</t>
  </si>
  <si>
    <t>Incluye la implementación de estrategias de transporte escolar para fortalecer las acciones de retención estudiantil</t>
  </si>
  <si>
    <t>Número de beneficiarios</t>
  </si>
  <si>
    <t>Beneficiarios de transporte escolar</t>
  </si>
  <si>
    <t>Servicio educativos de promoción del bilingüismo</t>
  </si>
  <si>
    <t xml:space="preserve">Procesos de formación para el desarrollo de competencias en un segundo idioma </t>
  </si>
  <si>
    <t>Número de estudiantes</t>
  </si>
  <si>
    <t>Estudiantes beneficiados con estrategias de promoción del bilingüismo</t>
  </si>
  <si>
    <t>Calidad y fomento de la educación superior</t>
  </si>
  <si>
    <t>Servicio de fomento para el acceso a la educación superior o terciaria</t>
  </si>
  <si>
    <t>Incluye el desarrollo de estrategias diferentes a las de apoyo financiero para  ampliar la cobertura de la educación superior o terciaria</t>
  </si>
  <si>
    <t>Beneficiarios de estrategias o programas de  fomento para el acceso a la educación superior o terciaria</t>
  </si>
  <si>
    <t xml:space="preserve">Personas víctimas del conflicto armado beneficiarias de estrategias de acceso a programas de educación superior o terciaria </t>
  </si>
  <si>
    <t>TRANSPORTE</t>
  </si>
  <si>
    <t>Infraestructura red vial regional</t>
  </si>
  <si>
    <t>Vía terciaria construida</t>
  </si>
  <si>
    <t>Incluye la construcción de vías nuevas en zonas sin comunicación vial</t>
  </si>
  <si>
    <t>Kilómetros de vías terciaria</t>
  </si>
  <si>
    <t xml:space="preserve">Vía terciaria construida </t>
  </si>
  <si>
    <t>Kilómetros</t>
  </si>
  <si>
    <t>Vía terciaria mejorada</t>
  </si>
  <si>
    <t>Incluye la construcción de obras de infraestructura vial en vías de la red vial terciaria que mejoren la prestación del servicio, así como los cambios en una infraestructura de transporte con el propósito de mejorar sus especificaciones técnicas iniciales</t>
  </si>
  <si>
    <t>Placa huella construida</t>
  </si>
  <si>
    <t>Incluye construcción de vías terciarias con sistema de  Placa Huella</t>
  </si>
  <si>
    <t>Metros lineales de vías terciaria</t>
  </si>
  <si>
    <t>Metros lineales</t>
  </si>
  <si>
    <t>Puente construido en vía terciaria</t>
  </si>
  <si>
    <t>Incluye la construcción de puentes en la red vial terciaria existente para mejorar su capacidad</t>
  </si>
  <si>
    <t>Número de puentes</t>
  </si>
  <si>
    <t>Puente construido en vía terciaria existente</t>
  </si>
  <si>
    <t>Caminos ancestrales mejorados</t>
  </si>
  <si>
    <t>Kilómetros de caminos ancestrales</t>
  </si>
  <si>
    <t xml:space="preserve">Caminos ancestrales mejorados </t>
  </si>
  <si>
    <t>Andén de la red urbana habilitado</t>
  </si>
  <si>
    <t>Incluye la construcción de andenes así como la implementación de intervenciones para la normalización del tránsito peatonal</t>
  </si>
  <si>
    <t>Metros lineales de andenes</t>
  </si>
  <si>
    <t>Andén construido en vía urbana como obra complementaria de seguridad vial</t>
  </si>
  <si>
    <t>TRABAJO</t>
  </si>
  <si>
    <t>Derechos fundamentales del trabajo y fortalecimiento del diálogo social</t>
  </si>
  <si>
    <t>Servicio de educación informal para la protección del joven trabajador</t>
  </si>
  <si>
    <t>Jornadas de capacitación para dar a conocer los lineamientos, estrategias, rutas de atención y demás mecanismos para promover la protección al joven trabajador.</t>
  </si>
  <si>
    <t>DEPORTE Y RECREACIÓN</t>
  </si>
  <si>
    <t>Fomento a la recreación, la actividad física y el deporte</t>
  </si>
  <si>
    <t>Servicio de apoyo a la actividad física, la recreación y el deporte</t>
  </si>
  <si>
    <t>Dentro del marco de los planes, programas y proyectos de la entidad se entregan diferentes incentivos a los integrantes del sistema nacional deportes y a los participantes o deportistas éstos pueden ser artículos deportivos, artículos tecnológicos, ademas de apoyar financieramente la realización e implementación de los mismos.</t>
  </si>
  <si>
    <t>Personas beneficiadas</t>
  </si>
  <si>
    <t>Servicio de mantenimiento a la infraestructura deportiva</t>
  </si>
  <si>
    <t>Mantenimiento de la infraestructura deportiva competencia de las Entidades Territoriales.  Garantizar las condiciones de funcionalidad del escenario deportivo, mejoramiento en pintura recuperación de implementación deportiva, mejoramiento de condiciones de cerramiento, funcionalidad de los servicios públicos, recuperación de mobiliario, mantenimiento de las zonas de juego).</t>
  </si>
  <si>
    <t>Número de infraestructuras deportivas</t>
  </si>
  <si>
    <t>Infraestructura deportiva mantenida</t>
  </si>
  <si>
    <t>Servicio de Escuelas Deportivas</t>
  </si>
  <si>
    <t>Corresponde a los procesos de iniciación, fundamentación y perfeccionamiento deportivos a partir de  las clases donde se practica la actividad física, la recreación y/o el deporte.</t>
  </si>
  <si>
    <t>Número de niños, niñas, adolescentes y jóvenes</t>
  </si>
  <si>
    <t>Niños, niñas, adolescentes y jóvenes inscritos en Escuelas Deportivas</t>
  </si>
  <si>
    <t>Parques recreativos construidos y dotados</t>
  </si>
  <si>
    <t>Construcción y dotación de infraestructura parques recreativos para garantizar  la práctica de la actividad física, la recreación y el deporte.</t>
  </si>
  <si>
    <t>Número de parques</t>
  </si>
  <si>
    <t>Parques construidos y dotados</t>
  </si>
  <si>
    <t>Placa deportiva construida</t>
  </si>
  <si>
    <t>Construcción de  una placa polideportiva terminada en concreto, asfalto  o sintético, abierta por todos sus costados pero cubierta en teja generalmente metálica, soportada en pórticos habitualmente de estructura metálica con o sin iluminación y graderías, sin otros servicios conexos. Para realizar baloncesto, microfutbol, boleybol.</t>
  </si>
  <si>
    <t>Número de placas deportivas</t>
  </si>
  <si>
    <t>Placa polideportiva construida</t>
  </si>
  <si>
    <t>Gimnasios al aire libre estáticos</t>
  </si>
  <si>
    <t>Se realizan en el marco de la construcción de la modalidad de parques donde se habilita un sector para implementación de parques biosaludables  (mobiliario  para la practica de  ejercicios son estáticos)</t>
  </si>
  <si>
    <t>Número de gimnasios</t>
  </si>
  <si>
    <t>Gimnasios al aire libre construidos</t>
  </si>
  <si>
    <t>Formación y preparación de deportistas</t>
  </si>
  <si>
    <t>Gimnasios mantenidos</t>
  </si>
  <si>
    <t>Obras para mantener el inmueble en las debidas condiciones de higiene y ornato sin afectar su materia original, su estructura portante, su distribución interior y sus características funcionales Incluye obras de mantenimiento y reparación como limpieza, renovación de pintura, eliminación de goteras, remplazo de piezas en mal estado, obras de drenaje, control de humedades.</t>
  </si>
  <si>
    <t>Servicio de educación informal</t>
  </si>
  <si>
    <t>Capacitaciones en deporte, en hábitos de salud, en recreación, entre otros.</t>
  </si>
  <si>
    <t>Número de capacitaciones</t>
  </si>
  <si>
    <t>Capacitaciones realizada</t>
  </si>
  <si>
    <t>Servicio de apoyo financiero al sector artístico y cultural</t>
  </si>
  <si>
    <t>Corresponde a los estímulos económicos entregados a los actores del sector artístico y cultural, entre ellos el sector del teatro, del cine, de las artes, de la literatura y el libro, de la música y al programa de salas concertadas con el fin de dar un impulso a la práctica y circulación del trabajo del sector cultural, permitiendo fortalecer el desarrollo y acceso a la cultura al público en general.</t>
  </si>
  <si>
    <t>Número de estímulos</t>
  </si>
  <si>
    <t>Estímulos otorgados</t>
  </si>
  <si>
    <t>VIVIENDA, CIUDAD Y TERRITORIO</t>
  </si>
  <si>
    <t>Acceso a soluciones de vivienda</t>
  </si>
  <si>
    <t>Servicio de saneamiento y titulación de bienes fiscales</t>
  </si>
  <si>
    <t>Número de bienes fiscales</t>
  </si>
  <si>
    <t>Bienes fiscales saneados y titulados</t>
  </si>
  <si>
    <t>Ordenamiento territorial y desarrollo urbano</t>
  </si>
  <si>
    <t>Documentos cuyo objetivo es plasmar una visión de futuro a nivel país, entidad territorial, comunidad, sector, región, entidad o cualquier nivel de desagregación que se requiera. Incluye objetivos, estrategias, metas e indicadores</t>
  </si>
  <si>
    <t>Documentos de planeación en Ordenamiento Territorial implementados</t>
  </si>
  <si>
    <t>Acceso de la población a los servicios de agua potable y saneamiento básico</t>
  </si>
  <si>
    <t>Servicio de Aseo</t>
  </si>
  <si>
    <t>Es el servicio de recolección municipal de residuos, principalmente sólidos. También se aplicará este servicio a las actividades complementarias de transporte, tratamiento, aprovechamiento y disposición final de tales residuos.</t>
  </si>
  <si>
    <t>Número de usuarios</t>
  </si>
  <si>
    <t>Usuarios con acceso al servicio de aseo</t>
  </si>
  <si>
    <t>Unidad de servicios publicos</t>
  </si>
  <si>
    <t>AGRICULTURA Y DESARROLLO RURAL</t>
  </si>
  <si>
    <t>Inclusión productiva de pequeños productores rurales</t>
  </si>
  <si>
    <t>Umata</t>
  </si>
  <si>
    <t>Sanidad agropecuaria e inocuidad agroalimentaria</t>
  </si>
  <si>
    <t>Servicio de control a la movilización de animales</t>
  </si>
  <si>
    <t>El control sanitario de la movilización de animales de las diferentes especies y sus productos, incluyendo aquellas susceptibles a la Fiebre Aftosa, se encuentra regulada a través de disposiciones del ICA asociadas a aspectos como la Guía Sanitaria de Movilización, la inspección y vigilancia en puestos de control, el control de las concentraciones de animales, etc.</t>
  </si>
  <si>
    <t>Número de guías de movilización</t>
  </si>
  <si>
    <t>Guías de movilización expedidas</t>
  </si>
  <si>
    <t>AMBIENTE Y DESARROLLO SOSTENIBLE</t>
  </si>
  <si>
    <t>Conservación de la biodiversidad y sus servicios ecosistémicos</t>
  </si>
  <si>
    <t>Servicio de educación informal en el marco de la conservación de la biodiversidad y los Servicio ecostémicos</t>
  </si>
  <si>
    <t xml:space="preserve">Corresponde a las capacitaciones destinadas a los agentes ambientales en el marco de la conservación de la biodiversidad y los Servicio ecosistemicos.  </t>
  </si>
  <si>
    <t xml:space="preserve">Talleres realizados </t>
  </si>
  <si>
    <t>Fortalecimiento del desempeño ambiental de los sectores productivos</t>
  </si>
  <si>
    <t>Servicio de vigilancia de la calidad del aire</t>
  </si>
  <si>
    <t xml:space="preserve">Acciones orientadas a vigilar la cálida del aire de una zona determinada. </t>
  </si>
  <si>
    <t>Número de estaciones</t>
  </si>
  <si>
    <t>Campaña de monitoreo de calidad del aire realizadas</t>
  </si>
  <si>
    <t>Gestión del cambio climático para un desarrollo bajo en carbono y resiliente al clima</t>
  </si>
  <si>
    <t>Servicio de divulgación de la información en gestión del cambio climático para un desarrollo bajo en carbono y resiliente al clima</t>
  </si>
  <si>
    <t>Acciones orientadas a difundir la información en gestión del cambio climático para un desarrollo bajo en carbono y resiliente al clima</t>
  </si>
  <si>
    <t>Número de campañas</t>
  </si>
  <si>
    <t xml:space="preserve">Campañas de información en gestión de cambio climático realizadas </t>
  </si>
  <si>
    <t>Ciencia, tecnología e innovación agropecuaria</t>
  </si>
  <si>
    <t>Servicio de extensión agropecuaria</t>
  </si>
  <si>
    <t>Comprende acciones de acompañamiento integral orientadas a diagnosticar, recomendar, actualizar, formar, transferir, asistir, empoderar y generar capacidad en los productores agropecuarios para que estos incorporen en su actividad productiva prácticas, productos tecnológicos, tecnologías, conocimientos y comportamientos que beneficien su desempeño y mejoren su competitividad y sostenibilidad.</t>
  </si>
  <si>
    <t>Número de productores</t>
  </si>
  <si>
    <t>Productores atendidos con servicio de extensión agropecuaria</t>
  </si>
  <si>
    <t>Documentos de planeación para la conservación de la biodiversidad y sus servicios eco sistémicos</t>
  </si>
  <si>
    <t xml:space="preserve">Documentos de planeación realizados </t>
  </si>
  <si>
    <t>TECNOLOGÍAS DE LA INFORMACIÓN Y LAS COMUNICACIONES</t>
  </si>
  <si>
    <t>Facilitar el acceso y uso de las Tecnologías de la Información y las Comunicaciones en todo el territorio nacional</t>
  </si>
  <si>
    <t>Servicio de educación informal en tecnologías de la información y las comunicaciones.</t>
  </si>
  <si>
    <t>Capacitaciones en temas relacionados con las Tecnologías de la Información y las Comunicaciones, tales como uso de aplicaciones y herramientas web específicas, con el fin de profundizar conocimientos y finalmente potenciar su aprovechamiento.</t>
  </si>
  <si>
    <t>Personas capacitadas en tecnologías de la información y las comunicaciones</t>
  </si>
  <si>
    <t>COMERCIO, INDUSTRIA Y TURISMO</t>
  </si>
  <si>
    <t>Productividad y competitividad de las empresas colombianas</t>
  </si>
  <si>
    <t>Acueductos construidos</t>
  </si>
  <si>
    <t>Conjunto de acciones y obras para la implementación de sistemas de acueducto nuevos.</t>
  </si>
  <si>
    <t>Número de acueductos</t>
  </si>
  <si>
    <t>Acueductos ampliados</t>
  </si>
  <si>
    <t>Conjunto de acciones y obras requeridas para aumentar la capacidad del acueducto en una misma área de cobertura.</t>
  </si>
  <si>
    <t>Acueductos optimizados</t>
  </si>
  <si>
    <t>Conjunto de acciones encaminadas a mejorar la capacidad, eficiencia y eficacia de la infraestructura componente del sistema de acueducto mediante su intervención parcial o total.</t>
  </si>
  <si>
    <t>Alcantarillados construidos</t>
  </si>
  <si>
    <t>Conjunto de acciones y obras para la implementación de sistemas de alcantarillado nuevos.</t>
  </si>
  <si>
    <t>Número de alcantarillados</t>
  </si>
  <si>
    <t>Alcantarillados ampliados</t>
  </si>
  <si>
    <t>Conjunto de acciones y obras requeridas para aumentar la capacidad del alcantarillado en una misma área de cobertura.</t>
  </si>
  <si>
    <t>Red de alcantarillado ampliada</t>
  </si>
  <si>
    <t>Parques mantenidos</t>
  </si>
  <si>
    <t>Metros cuadrados de parques</t>
  </si>
  <si>
    <t>Metros cuadrados</t>
  </si>
  <si>
    <t>Servicio de asesoría para el fortalecimiento de la asociatividad</t>
  </si>
  <si>
    <t>Acompañamiento a asociaciones de productores ya conformadas o en proceso de conformación en temas administrativos y de organización.</t>
  </si>
  <si>
    <t>Número de asociaciones</t>
  </si>
  <si>
    <t>Asociaciones fortalecidas</t>
  </si>
  <si>
    <t>Ecoparque turístico construido</t>
  </si>
  <si>
    <t>Construcción de parque turístico con servicios complementarios tales como señalización, zona de comidas y servicios sanitarios.</t>
  </si>
  <si>
    <t>Número de ecoparques</t>
  </si>
  <si>
    <t>Servicio de educación informal en asuntos turísticos</t>
  </si>
  <si>
    <t>Consiste en la capacitación y entrenamiento a personas interesadas en trabajar en el sector turismo. Incluye fortalecimiento de atención al cliente, de conocimientos históricos, entre otros.</t>
  </si>
  <si>
    <t>Servicio de promoción turística</t>
  </si>
  <si>
    <t>Corresponde a campañas de divulgación y promoción de los atractivos turísticos de la zonas, así como las actividades para el posicionamiento de las regiones, departamentos y municipios como destinos turísticos.</t>
  </si>
  <si>
    <t>Campañas realizadas</t>
  </si>
  <si>
    <t>Espacio publico construido</t>
  </si>
  <si>
    <t>Construcción de obras de infraestructura que intervienen los elementos constitutivos y complementarios del espacio público contenidos en el Decreto 1504 de 1998</t>
  </si>
  <si>
    <t>Metros cuadrados de espacio publico</t>
  </si>
  <si>
    <t>Servicios de vacunación para especies animales de interés agropecuario</t>
  </si>
  <si>
    <t xml:space="preserve">Consiste en la aplicación de biológicos en prácticas de medicina preventiva y/o curativa con el objeto de proteger las especies animales frente a riesgos sanitarios </t>
  </si>
  <si>
    <t>Número de animales</t>
  </si>
  <si>
    <t>Animales vacunados</t>
  </si>
  <si>
    <t>Servicio de apoyo para el acceso a maquinaria y equipos</t>
  </si>
  <si>
    <t>Contempla el acceso de los pequeños productores a los bancos de maquinaria a partir de figuras como el arriendo, la adquisición, entre otros, entre otros</t>
  </si>
  <si>
    <t>Estudios y diseños de infraestructura educativa</t>
  </si>
  <si>
    <t>Corresponde a todos los productos relacionados a la etapa de preinversión en infraestructura, como son estudios de factibilidad, diseños arquitectónicos, planos, estudio de suelos y otros estudios y/o instrumentos similares.</t>
  </si>
  <si>
    <t>Número de estudios y diseños</t>
  </si>
  <si>
    <t>Estudios y diseños de infraestructura educativa elaborados</t>
  </si>
  <si>
    <t>Gestión integral del recurso hídrico</t>
  </si>
  <si>
    <t>Número de unidades</t>
  </si>
  <si>
    <t>Infraestructura ecoturística construida</t>
  </si>
  <si>
    <t>Incluye el diseño y construcción de la infraestructura para el ecoturismo</t>
  </si>
  <si>
    <t>Número de infraestructura</t>
  </si>
  <si>
    <t xml:space="preserve">Infraestructura ecoturística construida </t>
  </si>
  <si>
    <t>Estudios de pre inversión e inversión</t>
  </si>
  <si>
    <t>Incluye la realización de estudios de pre factibilidad, factibilidad o definitivos para la ejecución de proyectos</t>
  </si>
  <si>
    <t xml:space="preserve">Estudios o diseños realizados </t>
  </si>
  <si>
    <t>Servicio de recuperación de cuerpos de agua lénticos y lóticos</t>
  </si>
  <si>
    <t xml:space="preserve">Incluye las actividades para recuperar la capacidad hidráulica de cuerpos de agua con miras a recuperar sus servicios ecosistémicos, entre ellos, prevención de inudaciones, oferta de agua,  la capacidad de almacenamiento de agua, conectividad hidráulica, hábitat para especies acuáticas </t>
  </si>
  <si>
    <t>Hectáreas de cuerpos de agua</t>
  </si>
  <si>
    <t xml:space="preserve">Extensión de cuerpos de agua recuperados </t>
  </si>
  <si>
    <t>Hectáreas</t>
  </si>
  <si>
    <t>Servicio de producción de plántulas en viveros</t>
  </si>
  <si>
    <t>Acciones orientadas a producir plántulas en viveros que serán utilizadas en la recuperación de ecosistemas degradados</t>
  </si>
  <si>
    <t xml:space="preserve">Número de plántulas </t>
  </si>
  <si>
    <t>Plántulas producidas</t>
  </si>
  <si>
    <t>Generación y formalización del empleo</t>
  </si>
  <si>
    <t>Servicio de asistencia técnica para la generación y formalización de empresa</t>
  </si>
  <si>
    <t>Corresponde al servicio de asistencia brindado a los emprendedores Colombianos correspondiente al fortalecimiento de sus capacidades técnicas requeridas para formular un plan de negocio.</t>
  </si>
  <si>
    <t>Número de planes</t>
  </si>
  <si>
    <t>Emprendedores Orientados</t>
  </si>
  <si>
    <t>Estudios y diseños de infraestructura recreo-deportiva</t>
  </si>
  <si>
    <t>Corresponde a todos los productos relacionados a la etapa de preinversión en infraestructura recreo-deportiva, como son estudios de factibilidad, diseños arquitectónicos, planos, estudio de suelos y otros estudios y/o instrumentos similares.</t>
  </si>
  <si>
    <t>Estudios y diseños elaborados</t>
  </si>
  <si>
    <t>Servicio de apoyo en tecnologías de la información y las comunicaciones para la educación básica, primaria y secundaria</t>
  </si>
  <si>
    <t>Se presta el servicio a sedes educativas oficiales, bibliotecas y casas de la cultura municipales en cuanto al acceso de la comunidad educativa a terminales de cómputo y a contenidos digitales para la mejora de la calidad de la educación. Incluye el servicio técnico, la garantía y el mantenimiento necesarios para la continuidad del servicio.</t>
  </si>
  <si>
    <t>Estudiantes de sedes educativas oficiales beneficiados con el servicio de apoyo en tecnologías de la información y las comunicaciones para la educación</t>
  </si>
  <si>
    <t>Servicio de registro laboral</t>
  </si>
  <si>
    <t>Es la inscripción de hojas de vida de las personas en los centros de Atención, con la asistencia de un facilitador.</t>
  </si>
  <si>
    <t>Eventos realizados</t>
  </si>
  <si>
    <t>Número de sedes</t>
  </si>
  <si>
    <t xml:space="preserve">Sedes educativas nuevas construidas </t>
  </si>
  <si>
    <t>Infraestructura educativa mejorada</t>
  </si>
  <si>
    <t>Contempla los diferentes tipos de intervención por mejoramiento de la infraestructura escolar y de residencias escolares existente en las categorías de:1. Mejoramiento: Corresponden a intervenciones de obras menores o de mejoramiento de elementos constructivos, para el mejoramiento de las condiciones de uso y operación de la infraestructura frente a condiciones de riesgo o mantenimiento.2.Reforzamiento: Corresponde a las obras de rehabilitación de sistemas portantes, estructurales y demás elementos constructivos según la NSR 10. 3. Restauración: Hace referencia a la rehabilitación de elementos de carácter patrimonial, cultural o de conservación arquitectónica. 4. Ampliación o nuevas etapas: Corresponde a la ejecución de obras nuevas de ampliación o de nuevas etapas dentro de sedes existentes para complementar y MEJORAR las condiciones de operatividad de la infraestructura existente. Aquí se podrían llegar a generar nuevos cupos.5 Restitución o reubicación parcial en la sede existente: Se refiere a las obras de restitución de ambientes existentes que ya no son aptos o seguros para su uso, dentro de una institución educativa existente. 6. Obras de Emergencia: Corresponde a las obras de  mejoramientos derivadas de situaciones de emergencia o riesgo en la institución educativa.Con éstas intervenciones de mejoramiento de los ambientes pedagógicos básicos y complementarios definidos en la NTC 4595,  cuyo objetivo sea el de mejorar las condiciones de prestación del servicio educativo de la población matriculada.</t>
  </si>
  <si>
    <t>Vía urbana mejorada</t>
  </si>
  <si>
    <t>Incluye la construcción de obras de infraestructura vial en vías urbanas que mejoren la prestación del servicio, así como los cambios en una infraestructura de transporte con el propósito de mejorar sus especificaciones técnicas iniciales.</t>
  </si>
  <si>
    <t>Kilómetros de vías urbanas</t>
  </si>
  <si>
    <t xml:space="preserve">Vía urbana mejorada </t>
  </si>
  <si>
    <t>Servicio de prevencióndel trabajo infantil y protección del adolescente trabajador</t>
  </si>
  <si>
    <t>Servicio de capacitación que presta el Ministerio del Trabajo a nivel nacional y territorial para dar a conocer los lineamientos, estrategias, rutas de atención y demás mecanismos para promover la prevención y erradicación del trabajo infantil y protección del adolescente trabajador.</t>
  </si>
  <si>
    <t>Protección Social</t>
  </si>
  <si>
    <t>Servicio de apoyo financiero para el adulto mayor</t>
  </si>
  <si>
    <t>Corresponde a los Subsidios del Programa Colombia Mayor Entregados con los recursos que financia el Programa de Protección Social al Adulto Mayor, hoy Programa Colombia Mayor.</t>
  </si>
  <si>
    <t>Número de subsidios</t>
  </si>
  <si>
    <t>Subsidios del Programa Colombia Mayor entregados</t>
  </si>
  <si>
    <t xml:space="preserve"> Desarrollo ambiental sostenible del sector minero energético</t>
  </si>
  <si>
    <t>Servicio de asistencia técnica en el manejo socio ambiental en las actividades mineras</t>
  </si>
  <si>
    <t>Servicio mediante el cual se realiza acciones de acercamiento, comunicación, diálogo y asistencia técnica a los mineros y actores institucionales en el territorio nacional para la prevención y mitigación de los conflictos socio ambientales.</t>
  </si>
  <si>
    <t>Personas asistidas técnicamente</t>
  </si>
  <si>
    <t>Corresponde a documentos que contengan planes, estrategias, política públicas sobre asuntos del sector.</t>
  </si>
  <si>
    <t>Documentos de planeación elaborados</t>
  </si>
  <si>
    <t>Servicio de asistencia técnica para la regularización de las actividades mineras</t>
  </si>
  <si>
    <t>Corresponde a las acciones mediante las cuales se busca fortalecer la pequeña minería, eliminar el trabajo infantil de la actividad minera e incluir a los productores mineros en los programas de minería bien hecha (condiciones técnicas mínimas establecidas por Ley, en términos de operación, seguridad e higiene minera, seguridad industrial, entre otras).</t>
  </si>
  <si>
    <t>Número de unidades productivas mineras</t>
  </si>
  <si>
    <t>Trabajadores infantiles erradicados de la actividad minera</t>
  </si>
  <si>
    <t>Servicio de educación para el trabajo en oficios diferentes a la minería</t>
  </si>
  <si>
    <t>Se realiza para el desarrollo de habilidades en oficios diferentes a la minería en las zonas donde dicha actividad deje de ser una opción laboral, a través de la articulación con entidades educativas.</t>
  </si>
  <si>
    <t>Servicio de asistencia técnica a comunidades en temas de fortalecimiento del tejido social y construcción de escenarios comunitarios protectores de derechos</t>
  </si>
  <si>
    <t>Incluye el desarrollo de acciones de intervención comunitaria,  transmisión de saberes intergeneracionales y acciones de formación comunitaria con enfoque diferencial, que favorezcan la activación de redes sociales e institucionales de protección de derechos de los integrantes de las familias.</t>
  </si>
  <si>
    <t>Número de acciones</t>
  </si>
  <si>
    <t>Comunidades participantes</t>
  </si>
  <si>
    <t>Servicio de promoción de temas de dinámica relacional y desarrollo autónomo</t>
  </si>
  <si>
    <t>Incluye el desarrollo de acciones de asesoría, orientación y acompañamiento a las familias, que buscan  generar cultura en las familias y las comunidades sobre vínculos de cuidado mutuo en las situaciones de dinámica relacional o en aquellas que requieran apoyo ante situaciones de vulnerabilidad sociocultural o de garantía de derechos.</t>
  </si>
  <si>
    <t>Número de familias</t>
  </si>
  <si>
    <t>Niños, niñas y adolescentes atendidos</t>
  </si>
  <si>
    <t>Servicio de promoción de la actividad física, la recreación y el deporte</t>
  </si>
  <si>
    <t>Aprovechamiento del deporte, la recreación y la actividad física con fines de esparcimiento y desarrollo físico procurando la integración el descanso mediante la realización de actividades deportivas y la promoción de espacios con  la participación comunitaria. Incluye el programa Supérate con la promoción del deporte en niños adolescentes y jóvenes de  los 7 a los 28 años en el territorio nacional a través de competencias deportivas.</t>
  </si>
  <si>
    <t>Personas que acceden a servicios deportivos, recreativos y de actividad física</t>
  </si>
  <si>
    <t>Documentos cuyo objetivo es plasmar una visión de futuro a nivel país, entidad territorial, comunidad, sector, región, entidad o cualquier nivel de desagregación que se requiera. Incluye objetivos, estrategias, metas e indicadores.</t>
  </si>
  <si>
    <t>Servicio de apoyo financiero para subsidios al consumo en los servicios públicos domiciliarios</t>
  </si>
  <si>
    <t>Los subsidios al consumo están destinados a satisfacer necesidades básicas de los usuarios de los estratos 1, 2 y 3 en el servicio público domiciliario de acueducto, alcantarillado y aseo.</t>
  </si>
  <si>
    <t>Usuarios beneficiados con subsidios al consumo</t>
  </si>
  <si>
    <t>Corresponde a la oferta educativa informal como talleres, foros, capacitaciones presenciales o virtuales dirigida a los miembros de la comunidad educativa que tienen como objetivo brindar oportunidades para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</si>
  <si>
    <t>Foros educativos territoriales realizados</t>
  </si>
  <si>
    <t>Infraestructura educativa dotada</t>
  </si>
  <si>
    <t>Incluye la dotación básica escolar de mobiliario, material didáctico – pedagógico, implementos básicos para funcionamiento. (Manejo de Residuos del Establecimiento Educativo, Menaje y Equipos de Cocina, Enfermería, Equipos de Manejo de Emergencias y Equipo Básico de Mantenimiento.) y dispositivos electrónicos en el marco de los lineamientos establecidos por el Ministerio de Educación Nacional.</t>
  </si>
  <si>
    <t>Sedes dotadas</t>
  </si>
  <si>
    <t>Servicios bibliotecarios</t>
  </si>
  <si>
    <t>Conjunto de actividades desarrolladas en una biblioteca, con el fin de facilitar y promover la disponibilidad y el acceso a la información y a la cultura con estándares de calidad, pertinencia y oportunidad.   </t>
  </si>
  <si>
    <t>Número usuarios</t>
  </si>
  <si>
    <t>Usuarios atendidos</t>
  </si>
  <si>
    <t>Sedes educativas oficiales beneficiadas con acceso a internet</t>
  </si>
  <si>
    <t>Servicio de evaluación de la calidad de la educación inicial, preescolar, básica y media</t>
  </si>
  <si>
    <t>Incluye el diseño, desarrollo, sistematización, análisis, proyección de resultados y demás procesos que permitan la aplicación y análisis de las pruebas de medición de la calidad educativa. Así mismo, Incluye el diseño, aplicación, procesamiento y calificación de resultados de un examen de práctica o simulacro de evaluación de la educación en territorio, estas acciones no son financiables con recursos provenientes del Sistema General de Participaciones.</t>
  </si>
  <si>
    <t>Estudiantes de media evaluados con pruebas nacionales</t>
  </si>
  <si>
    <t>Servicio de promoción de actividades culturales</t>
  </si>
  <si>
    <t>Corresponde a la organización y desarrollo de  actividades culturales de carácter patrimonial, literario, artístico, musical, entre otros. También la realización de eventos y actividades con libreros y organizaciones responsables de ferias. Así como actividades culturales para el goce de los ciudadanos.</t>
  </si>
  <si>
    <t>Número de eventos de promoción</t>
  </si>
  <si>
    <t>Eventos de promoción de actividades culturales realizados</t>
  </si>
  <si>
    <t>Servicio de circulación artística y cultural</t>
  </si>
  <si>
    <t>Corresponde a la generación de condiciones para la creación, gestión, producción, difusión, circulación y apropiación de las prácticas artísticas y contenidos culturales mediáticos. Incluye la creación de obras, coproducciones y la producción y circulación de exhibiciones, de los agentes del sector artístico y cultural, así como la circulación de contenidos culturales mediáticos apoyados por el Ministerio de Cultura.</t>
  </si>
  <si>
    <t>Número de contenidos culturales</t>
  </si>
  <si>
    <t>Contenidos culturales  en circulación</t>
  </si>
  <si>
    <t>Servicio de apoyo al proceso de formación artística y cultural</t>
  </si>
  <si>
    <t xml:space="preserve">Este servicio está orientado apoyar el proceso de formación artística y cultural a través del equipamiento de instrumentos y elementos propios de cada área (música, teatro, danzas y/o artes plásticas y visuales). </t>
  </si>
  <si>
    <t>Número de procesos de formación</t>
  </si>
  <si>
    <t>Procesos de formación atendidos</t>
  </si>
  <si>
    <t xml:space="preserve">Educación ambiental </t>
  </si>
  <si>
    <t>Servicio de educación informal ambiental</t>
  </si>
  <si>
    <t>Acciones orientadas hacia el conocimiento de la biodiversidad y los ecosistemas para sensibilizar a la población despertar la conciencia ambiental.</t>
  </si>
  <si>
    <t>Vivienda de Interés Social construidas en sitio propio</t>
  </si>
  <si>
    <t>Corresponde a la solución de vivienda de interés social nueva construida en un lote de propiedad del hogar que puede ser un lote de terreno, una terraza o una cubierta de losa y que es entregada por el estado al hogar que le fue asignado el subsidio familiar de vivienda de interés social para la adquisición de una vivienda nueva construida en sitio propio.</t>
  </si>
  <si>
    <t>Número de viviendas</t>
  </si>
  <si>
    <t>Vivienda de Interés Social mejoradas</t>
  </si>
  <si>
    <t>Soluciones de vivienda para deficiencias en las condiciones sanitarias satisfactorias de espacio, servicios públicos y calidad de estructura de las viviendas de los hogares beneficiarios del subsidio. Intervenciones locativas asociadas, prioritariamente, a la habilitación o instalación de baños; lavaderos; cocinas; redes hidráulicas, sanitarias y eléctricas; cubiertas; pisos; reforzamiento estructural y otras condiciones relacionadas con el saneamiento y mejoramiento de la solución habitacional.</t>
  </si>
  <si>
    <t>GOBIERNO TERRITORIAL</t>
  </si>
  <si>
    <t>Fortalecimiento de la convivencia y la seguridad ciudadana</t>
  </si>
  <si>
    <t>Servicio de vigilancia a través de cámaras de seguridad</t>
  </si>
  <si>
    <t>Incluye la disposición tecnológica de cámaras de seguridad para la implementación de estrategias de convivencia y seguridad ciudadana.</t>
  </si>
  <si>
    <t>Número de cámaras de seguridad</t>
  </si>
  <si>
    <t>Cámaras de seguridad instaladas</t>
  </si>
  <si>
    <t>Fortalecimiento del buen gobierno para el respeto y garantía de los derechos humanos</t>
  </si>
  <si>
    <t>Servicio de promoción a la participación ciudadana</t>
  </si>
  <si>
    <t>Corresponde al diseño e implementación de acciones y estrategias que promuevan el ejercicio de la participación ciudadana.</t>
  </si>
  <si>
    <t>Rendicion de cuentas realizadas</t>
  </si>
  <si>
    <t>Salón comunal construido y dotado</t>
  </si>
  <si>
    <t xml:space="preserve">Incluye la construcción de Salones comunales en terrenos no construidos o cuya área esté libre por autorización de demolición total. A su vez, contiene la dotación a la infraestructura construida. </t>
  </si>
  <si>
    <t>Número de salones comunales</t>
  </si>
  <si>
    <t>Salones comunales construidos y dotados</t>
  </si>
  <si>
    <t>Salón comunal adecuado</t>
  </si>
  <si>
    <t xml:space="preserve">Acciones orientadas a  cambiar el uso de una edificación o parte de ella, garantizando la permanencia total o parcial del inmueble original de acuerdo con las necesidades focalizadas en materia del programa en las zonas rurales y urbanas. </t>
  </si>
  <si>
    <t>Salones comunales adecuados</t>
  </si>
  <si>
    <t>Salón comunal dotado</t>
  </si>
  <si>
    <t xml:space="preserve">Incluye la dotación a la infraestructura construida. </t>
  </si>
  <si>
    <t>Salones comunales dotados</t>
  </si>
  <si>
    <t>Gestión del riesgo de desastres y emergencias</t>
  </si>
  <si>
    <t>Servicio de atención a emergencias y desastres</t>
  </si>
  <si>
    <t>Acciones orientadas para dar respuesta a emergencias o desastres de origen natural o antrópico mediante la adquisición de equipos de atención de desastres, búsqueda y rescate, equipos de protección personal nucleares, biológicos, químicos, y radiológicos -NBQR-, equipos para el Manejo de inundaciones, control de incendios, sanidad veterinaria y equipos de alojamiento temporal.</t>
  </si>
  <si>
    <t>Número de emergencias</t>
  </si>
  <si>
    <t>Emergencias y desastres atendidas</t>
  </si>
  <si>
    <t>Servicio de monitoreo y seguimiento para la gestión del riesgo</t>
  </si>
  <si>
    <t>Acciones para generar datos e información sobre el comportamiento de los fenómenos amenazantes, la vulnerabilidad y la dinámica de las condiciones de riesgo en el territorio que orienten la toma de decisiones.</t>
  </si>
  <si>
    <t>Número de sistemas</t>
  </si>
  <si>
    <t>Sistemas de Alerta Temprana implementados</t>
  </si>
  <si>
    <t>Obras de infraestructura para la reducción del riesgo de desastres</t>
  </si>
  <si>
    <t>Intervenciones que buscan reducir el nivel de riesgo existente en un determinado sitio, mediante acciones de carácter estructural – físicas que conlleven a corregir o reducir las condiciones de amenaza, cuando esto sea posible, y/o la vulnerabilidad de los elementos expuestos.</t>
  </si>
  <si>
    <t>Número de obras</t>
  </si>
  <si>
    <t>Obras de infraestructura para la reducción del riesgo de desastres realizadas</t>
  </si>
  <si>
    <t>Plan de gestión del riesgo de desastres formulado</t>
  </si>
  <si>
    <t>Fortalecimiento a la gestión y dirección de la administración pública territorial</t>
  </si>
  <si>
    <t>Porcentaje</t>
  </si>
  <si>
    <t>Documento para la planeación estratégica en TI</t>
  </si>
  <si>
    <t xml:space="preserve">Consiste en la formulación de documento cuyo objetivo es definir el marco de referencia que alinea la gestión de tecnologías  de la información con las políticas de estado y sectoriales que se definan en la materia. </t>
  </si>
  <si>
    <t xml:space="preserve">Documentos para la planeación estratégica en TI </t>
  </si>
  <si>
    <t>Sedes construidas</t>
  </si>
  <si>
    <t>Corresponde a un inmueble resultado de obras de edificación en terrenos no construidos o cuya área esté libre por autorización de demolición total. No incluye la dotación del inmueble. (Corresponde a la licencia de construcción por obra nueva)</t>
  </si>
  <si>
    <t>Sedes adecuadas</t>
  </si>
  <si>
    <t>Corresponde a un inmueble sobre el cual se adelantan obras de edificación que cambian, de manera completa o parcial, el uso del inmueble, garantizando la permanencia Corresponde al proceso de ajuste o adaptación de un sitio, espacio o área de una edificación con las especificaciones técnicas requeridas para el desarrollo de las actividades definidas en dicho espacio, así mismo incluye acciones de remodelación o ampliación o modificación, entendidas como cambios de la infraestructura o arquitectura de una edificación.</t>
  </si>
  <si>
    <t>Servicio de gestión documental</t>
  </si>
  <si>
    <t>Conjunto de actividades administrativas y técnicas tendientes a la planificación, manejo y organización de la documentación producida y recibida por las entidades, desde su origen hasta su destino final, con el objeto de facilitar su utilización y conservación. (Ley 594 de 2000)</t>
  </si>
  <si>
    <t>Sistema de gestión documental implementado</t>
  </si>
  <si>
    <t>Servicio de Implementación Sistemas de Gestión</t>
  </si>
  <si>
    <t>Contempla actividades de apoyo, necesarias para el diseño e implementación de sistemas de gestión y de desempeño institucional en el marco del Modelo Integrado de Planeación y Gestión - MIPG y otros instrumentos de certificación de calidad a la gestion a generar capacidades instaladas en los servidores públicos en temas como: Fortalecimiento Institucional, Planeación Estratégica, simplificación de procesos, identificación y manejo de riesgos, controles, diseño e implementación de indicadores de gestión y gestión del conocimiento.</t>
  </si>
  <si>
    <t>Sistema de Gestión implementado</t>
  </si>
  <si>
    <t>Número de sistemas de información</t>
  </si>
  <si>
    <t>Servicios de apoyo para atención de  población afectada por situaciones de emergencia, desastre o declaratorias de calamidad pública</t>
  </si>
  <si>
    <t>Corresponde a la entrega de recursos en especie o monetarios dirigidos a la población afectada por situaciones  de emergencias sanitarias, naturales,  eventos catastróficos o calamidad pública declarada.</t>
  </si>
  <si>
    <t>Personas afectadas por situaciones de emergencia, desastre o declaratorias de calamidad pública apoyadas</t>
  </si>
  <si>
    <t>Servicio de apoyo para el acceso a la justicia policiva</t>
  </si>
  <si>
    <t>Comprende la estructuración , definición , implementacion y evaluación de estrategias que permitan garantizar el  efectivo cumplimiento de las normas para la prestación de los servicios de justicia policiva.</t>
  </si>
  <si>
    <t>Número de estrategias</t>
  </si>
  <si>
    <t>Estrategias implementadas</t>
  </si>
  <si>
    <t>Servicio de integración de la oferta pública</t>
  </si>
  <si>
    <t>Corresponde al diseño e implementación de espacios que articulen la oferta institucional para que los ciudadanos conozcan sus derechos y deberes y los mecanismos de acceso a la oferta publica.</t>
  </si>
  <si>
    <t>Número de espacios</t>
  </si>
  <si>
    <t>Espacios de integración de oferta pública generados</t>
  </si>
  <si>
    <t>Servicio de información para el registro administrativo de SISBEN</t>
  </si>
  <si>
    <t>Corresponde al desarrollo de acciones orientadas a la actualización y suministro de la información alimentada en la base de datos del Sisbén  bajo la modalidad de barrido, demanda y por acción de tutela, según las orientaciones del Departamento Nacional de Planeación (DNP) y del Comité Técnico del Sisbén.</t>
  </si>
  <si>
    <t>Hogares que realizaron la encuesta</t>
  </si>
  <si>
    <t>Servicio de apoyo a la comercialización</t>
  </si>
  <si>
    <t>Consiste en el acompañamiento para la  identificación de apoyos específicos, la adquisición de competencias comerciales y  en casos requeridos, la inserción o consolidación en  encadenamientos comerciales.</t>
  </si>
  <si>
    <t>Número de organizaciones</t>
  </si>
  <si>
    <t>Mercados campesinos realizados</t>
  </si>
  <si>
    <t>Servicio apoyo financiero para la implementación de esquemas de pago por Servicio ambientales</t>
  </si>
  <si>
    <t>Incluye el diseño y entrega de instrumentos económicos para dar incentivos a los usuarios del suelo, de manera que continúen ofreciendo un servicio ambiental (ecológico) que beneficia a la sociedad como un todo.</t>
  </si>
  <si>
    <t>Hectáreas de áreas</t>
  </si>
  <si>
    <t>Áreas con esquemas de Pago por Servicios Ambientales implementados</t>
  </si>
  <si>
    <t>INFORMACIÓN ESTADÍSTICA</t>
  </si>
  <si>
    <t>Generación de la información geográfica del territorio nacional</t>
  </si>
  <si>
    <t>Servicio de actualización catastral con enfoque multipropósito</t>
  </si>
  <si>
    <t>Acciones orientadas a renovar el inventario o censo predial en sus componentes físico, jurídico y económico con enfoque multipropósito, de acuerdo con los cambios experimentados por los inmuebles en cada uno de sus componentes. Entregable: base catastral actualizada.</t>
  </si>
  <si>
    <t>Hectáreas actualizadas catastralmente con enfoque multipropósito</t>
  </si>
  <si>
    <t>Predios catastralmente actualizados con enfoque multipropósito</t>
  </si>
  <si>
    <t>Servicio de orientación a casos de violencia de género</t>
  </si>
  <si>
    <t>Servicio enfocado a dar orientación en casos de cualquier acción o conducta que se desarrolle a partir de las relaciones de poder asimétricas basadas en el género, identidad sexual, sexo u orientación a través de líneas de atención.</t>
  </si>
  <si>
    <t>Número de casos</t>
  </si>
  <si>
    <t>Casos atendidos</t>
  </si>
  <si>
    <t xml:space="preserve"> Servicio de acceso zonas digitales</t>
  </si>
  <si>
    <t>Corresponde al montaje y puesta en servicio de la zona digital (wifi), medido a través de la cantidad de usuarios (dispositivos a la zona) y la asistencia personalizada y virtual a los mismos.</t>
  </si>
  <si>
    <t>Número de zonas digitales</t>
  </si>
  <si>
    <t>Zonas digitales instaladas</t>
  </si>
  <si>
    <t>Aseguramiento y prestación integral de servicios de salud</t>
  </si>
  <si>
    <t>Hospitales de primer nivel de atención adecuados</t>
  </si>
  <si>
    <t>Número de hospitales</t>
  </si>
  <si>
    <t>Atención integral de población en situación permanente de desprotección social y/o familiar</t>
  </si>
  <si>
    <t>Servicio de atención y protección integral al adulto mayor</t>
  </si>
  <si>
    <t>Servicios integrales que incluyen aspectos relacionados con protección a la salud y bienestar social, educación, cultura, recreación, entorno físico y social favorable, productividad para los adultos mayores.</t>
  </si>
  <si>
    <t>Número de adultos mayores</t>
  </si>
  <si>
    <t>Adultos mayores atendidos con servicios integrales</t>
  </si>
  <si>
    <t>Centros de protección social de día para el adulto mayor dotados</t>
  </si>
  <si>
    <t>Corresponde a la dotación destinada a brindar servicios diurnos para el cuidado, bienestar integral y asistencia social de los adultos mayores en condiciones de descuido, abandono o víctimas de violencia intrafamiliar.</t>
  </si>
  <si>
    <t>Número de centros</t>
  </si>
  <si>
    <t>Centros de día para el adulto mayor dotados</t>
  </si>
  <si>
    <t>Servicio de atención integral a población en condición de discapacidad</t>
  </si>
  <si>
    <t>Servicios integrales que incluyen aspectos relacionados con atención en salud, cuidado, alimentación, hospedaje, formación para el trabajo, inclusión productiva, recreación, entre otros, para población en condición de discapacidad.</t>
  </si>
  <si>
    <t>Personas con discapacidad atendidas con servicios integrales</t>
  </si>
  <si>
    <t>Servicio de atención integral al habitante de la calle</t>
  </si>
  <si>
    <t>Servicios integrales que incluyen aspectos relacionados con atención en salud, alimentación, hospedaje, formación para el trabajo, inclusión productiva, entre otros y que se ofrecen intra o extramuralmente para habitantes de la calle.</t>
  </si>
  <si>
    <t xml:space="preserve">Personas atendidas con servicios integrales </t>
  </si>
  <si>
    <t>Salud Pública</t>
  </si>
  <si>
    <t>Morgues construidas y dotadas</t>
  </si>
  <si>
    <t xml:space="preserve">Corresponde a la construcción y dotación de la morgue en las entidades de la red de salud pública. Morgue se define como el "lugar o espacio destinado a depositar temporalmente cadáveres, restos u órganos y/o partes humanas, con el fin de: determinar posibles causas de la muerte a través de necropsias, realizar la identificación del cadáver, realizar viscerotomias o para realizar procedimientos de tanatopraxia" (Resolución 1447 de 2009). </t>
  </si>
  <si>
    <t>Número de Morgues</t>
  </si>
  <si>
    <t>Servicio de gestión del riesgo en temas de consumo de sustancias psicoactivas</t>
  </si>
  <si>
    <t xml:space="preserve">Acciones mediante las cuales se previene el consumo de sustancias psicoactivas en la población. </t>
  </si>
  <si>
    <t>Campañas de gestión del riesgo en temas de consumo de sustancias psicoactivas implementadas</t>
  </si>
  <si>
    <t>Minutos</t>
  </si>
  <si>
    <t>Servicio de gestión del riesgo en temas de salud sexual y reproductiva</t>
  </si>
  <si>
    <t>Corresponde a las acciones relacionadas con la prevención y mitigación de riesgos que afectan la salud sexual y reproductiva de las personas en el curso de su vida desde un enfoque de derechos.</t>
  </si>
  <si>
    <t>Campañas de gestión del riesgo en temas de salud sexual y reproductiva implementadas</t>
  </si>
  <si>
    <t>Servicio de gestión del riesgo en temas de trastornos mentales</t>
  </si>
  <si>
    <t>Incluye acciones de prevención de los trastornos mentales asociados a factores sociales, psicológicos y biológicos, en los diferentes entornos en los que se desarrollan los individuos.</t>
  </si>
  <si>
    <t>Campañas de gestión del riesgo en temas de trastornos mentales implementadas</t>
  </si>
  <si>
    <t>Servicio de gestión del riesgo para abordar condiciones crónicas prevalentes</t>
  </si>
  <si>
    <t>Acciones para garantizar la prevención y el abordaje de enfermedades no transmisibles y de alteraciones de la salud bucal, visual y auditiva, gestión del riesgo disminución de la enfermedad y la discapacidad evitable.</t>
  </si>
  <si>
    <t>Campañas de gestión del riesgo para abordar condiciones crónicas prevalentes implementadas</t>
  </si>
  <si>
    <t>Servicio de gestión del riesgo para abordar situaciones de salud relacionadas con condiciones ambientales</t>
  </si>
  <si>
    <t>Incluye la gestión integral relacionada con la prevención de enfermedades generadas por sustancias químicas, por animales (zoonosis), vectores de contaminación en el aire y el agua, entre otros factores.</t>
  </si>
  <si>
    <t>Servicio de gestión del riesgo para abordar situaciones prevalentes de origen laboral</t>
  </si>
  <si>
    <t>Corresponde a las acciones que previenen la carga de la enfermedad relacionada con la salud y bienestar de todos los trabajadores derivados de la ocupación. Permite anticipar, conocer, evaluar y controlar los riesgos que pueden afectar la seguridad y salud en el trabajo.</t>
  </si>
  <si>
    <t>Campañas de gestión del riesgo para abordar situaciones prevalentes de origen laboral implementadas</t>
  </si>
  <si>
    <t>Servicio de gestión del riesgo para enfermedades inmunoprevenibles</t>
  </si>
  <si>
    <t>Corresponde a las acciones relacionadas con intervenciones sectoriales y comunitarias para la prevención, control, mitigación y minimización de los riesgos que propician la aparición de las enfermedades prevenibles por vacunas y sus consecuentes efectos negativos en la población. Incluye el plan ampliado de inmunizaciones.</t>
  </si>
  <si>
    <t>Campañas de gestión del riesgo para enfermedades inmunoprevenibles  implementadas</t>
  </si>
  <si>
    <t>Unidades móviles para la atención médica adquiridas y dotadas</t>
  </si>
  <si>
    <t>Vehículos que permiten desplazar el servicio de salud al lugar de demanda.</t>
  </si>
  <si>
    <t>Número de unidades móviles</t>
  </si>
  <si>
    <t>Servicio de promoción de la salud y prevención de riesgos asociados a condiciones no transmisibles</t>
  </si>
  <si>
    <t xml:space="preserve">Es el conjunto de acciones, procedimientos e intervenciones integrales, mediante los cuales se orienta a la población acerca de hábitos saludables que mejoran su condición de salud a través de la creación o adopción de modos, condiciones o estilos de vida saludables en los entornos cotidianos. </t>
  </si>
  <si>
    <t>Campañas de promoción de la salud  y prevención de riesgos asociados a condiciones no transmisibles implementadas</t>
  </si>
  <si>
    <t>Servicio de reforestación de ecosistemas</t>
  </si>
  <si>
    <t>Acciones orientadas a la siembra, mantenimiento y monitoreo de especies vegetales que cumplen una función especifica en el área, sin buscar el restablecimiento del ecosistema inicial. </t>
  </si>
  <si>
    <t>Hectáreas de plantaciones</t>
  </si>
  <si>
    <t>Árboles plantados</t>
  </si>
  <si>
    <t>Plan Integral de gestión de residuos sólidos (PGIRS) actualizado</t>
  </si>
  <si>
    <t>Estufa ecoeficiente fija</t>
  </si>
  <si>
    <t>Incluye la construcción e instalación de estufas artesanales fijas, que disminuye el consumo de leña y la emisión de gases de efecto invernadero - GEI</t>
  </si>
  <si>
    <t>Número de estufas</t>
  </si>
  <si>
    <t>Estufas ecoeficientes fijas construidas</t>
  </si>
  <si>
    <t>Incluye el proceso de identificación de necesidades de dotación administrativa, así como la adquisición e instalación de mobiliario y demás elementos no consumibles requeridos para apoyar la prestación de los servicios de la entidad.</t>
  </si>
  <si>
    <t>Servicio de divulgación de la información de la política nacional de educación ambiental y participación</t>
  </si>
  <si>
    <t xml:space="preserve">Acciones orientadas a difundir la información ambiental en el marco de la educación ambiental </t>
  </si>
  <si>
    <t>Publicaciones en temas ambientales divulgadas</t>
  </si>
  <si>
    <t>Servicio de rehabilitación psicosocial a víctimas del conflicto armado</t>
  </si>
  <si>
    <t xml:space="preserve">Corresponde a la implementación de la medida de rehabilitación psicosocial dentro del proceso de Reparación Integral a las victimas del conflicto armado, que contribuye a la mitigación del daño psicosocial y el sufrimiento emocional, mediante la aplicación de los protocolos del Ministerio de Salud. </t>
  </si>
  <si>
    <t>Víctimas con rehabilitación psicosocial</t>
  </si>
  <si>
    <t xml:space="preserve">Servicio de programación artística, cultural y académica </t>
  </si>
  <si>
    <t>Desarrollo de prácticas artísticas, culturales y pedagógicas basadas en la sensibilidad, emotividad y comprensión de los mensajes y acciones del Museo, orientadas a víctimas y públicos diversos. La práctica artística se refiere al ejercicio de la profesión del artista. La práctica cultural se refiere a la forma en que se manifiesta la cultura de un grupo o población. La práctica pedagógica se refiere a las estrategias para promover el aprendizaje.</t>
  </si>
  <si>
    <t>Número de prácticas</t>
  </si>
  <si>
    <t>Prácticas artísticas, culturales y pedagógicas implementadas</t>
  </si>
  <si>
    <t>Consiste en la formulación de documentos cuyo objetivo es plasmar una visión de futuro a nivel país, entidad territorial, comunidad, sector, región, entidad o cualquier nivel de desagregación que se requiera, plasmando elementos como objetivos, estrategias, metas e indicadores.</t>
  </si>
  <si>
    <t>Servicio de atención integral a la fauna</t>
  </si>
  <si>
    <t>Corresponde a la atención médica y de urgencias médico veterinarias para el bienestar animal para prevenir, diagnosticar y curar las enfermedades de los animales domésticos,  silvestres y  de producción recuperados por el ente territorial, que se encuentren en condición de abandono, pérdida, desatención estatal o de  tenencia irresponsable o en situación de vulnerabilidad y aprehendidos por la policía o en riesgo que ello suceda. Para tal efecto, incluye también los programas de adopción, custodia, atención del maltrato animal, comportamiento animal, registro e identificacion y las demas que garanticen la atención integral a la Fauna en el cumplimiento de la normatividad vigente</t>
  </si>
  <si>
    <t>Animales atendidos</t>
  </si>
  <si>
    <t>Documentos de planeación realizados</t>
  </si>
  <si>
    <t>Servicio de promoción de la participación social en salud</t>
  </si>
  <si>
    <t xml:space="preserve">Corresponde a las estrategias y acciones para la articulación de actores sociales, gubernamentales a nivel sectorial e intersectorial, entre otros, para generar mecanismos y espacios de participación, socialización y abogacía, para la participación en la planeación social, comunitaria y ciudadana en salud y la participación en la atención integral en salud, la salud pública, la gobernanza en salud y las intervenciones colectivas. </t>
  </si>
  <si>
    <t>Número de estatregias</t>
  </si>
  <si>
    <t>Estrategias de promoción de la participación social en salud implementadas</t>
  </si>
  <si>
    <t>Servicio de apoyo financiero para la atención en salud a la población</t>
  </si>
  <si>
    <t>Corresponde a la entrega de recursos monetarios a las empresas sociales del estado o a terceros que administran infraestructura pública para la atención en salud a la población.  Incluye a las empresas sociales del estado o a terceros que administran infraestructura pública ubicada en zonas alejadas o de difícil acceso que sean monopolio en servicios trazadores y no sostenibles por venta de servicios para la operación de la prestación de los servicios y tecnologías en salud.</t>
  </si>
  <si>
    <t>Número de instituciones</t>
  </si>
  <si>
    <t>Instituciones financiadas para la atención en salud a la población</t>
  </si>
  <si>
    <t>Servicios de información actualizados</t>
  </si>
  <si>
    <t>Corresponde al proceso que mejora en la disposición de la información para asegurar que sea accesible, confiable y oportuna.</t>
  </si>
  <si>
    <t>Sistemas de información actualizados</t>
  </si>
  <si>
    <t>Servicio de afiliaciones al régimen subsidiado del Sistema General de Seguridad Social</t>
  </si>
  <si>
    <t xml:space="preserve">Este servicio permite a las entidades territoriales realizar la afiliación de la población al régimen subsidiado conforme a las condiciones del Sistema General de Seguridad Social; incluye el registro, reporte, sistematización y seguimiento de afiliados en los sistemas de información correspondientes. </t>
  </si>
  <si>
    <t>Personas afiliadas al régimen subsidiado</t>
  </si>
  <si>
    <t>Comandos  de policía construidas y dotadas</t>
  </si>
  <si>
    <t>Corresponde a un inmueble resultado de obras de edificación en terrenos no construidos o cuya área esté libre por autorización de demolición total, en áreas priorizadas por la Policía Nacional de acuerdo con las necesidades focalizadas en materia de convivencia y seguridad ciudadana. Incluye la dotación</t>
  </si>
  <si>
    <t>Número de comandos</t>
  </si>
  <si>
    <t>Comandos de policía construidos y dotadas</t>
  </si>
  <si>
    <t>Servicio de protección integral a niños, niñas, adolescentes y jóvenes</t>
  </si>
  <si>
    <t>Servicios enfocados a garantizar los derechos fundamentales , la prevención de amenazas o vulneración y restablecimiento de derechos.</t>
  </si>
  <si>
    <t>Niños, niñas, adolescentes y jóvenes beneficiados</t>
  </si>
  <si>
    <t>Servicio de apoyo financiero para el fortalecimiento del talento humano</t>
  </si>
  <si>
    <t>Corresponde al apoyo financiero para la realización de programas educativos, dirigidos a servidores públicos con el fin de contribuir a la formación del talento humano orientado al fortalecimiento de la capacidad institucional.</t>
  </si>
  <si>
    <t>Número de funcionarios</t>
  </si>
  <si>
    <t>Funcionarios apoyados</t>
  </si>
  <si>
    <t>Soluciones alternativas para acceso al agua para consumo humano</t>
  </si>
  <si>
    <t>Infraestructura de aprovisionamiento con soluciones alternativas como filtros, pilas públicas, entre otros, que permite acceder al agua en zonas rurales empleando opciones técnicas, operativas y de gestión que no reúnen las condiciones convencionales de los servicios públicos domiciliarios de acueducto.</t>
  </si>
  <si>
    <t>Número de soluciones</t>
  </si>
  <si>
    <t>Soluciones alternativas para acceso al agua para consumo humano implementadas</t>
  </si>
  <si>
    <t>Estufa ecoeficiente móvil</t>
  </si>
  <si>
    <t>Incluye el montaje e instalación de estufas artesanales móviles, que disminuyen el consumo de leña contribuyendo a la conservación de la biodiversidad y sus servicios ecosistémicos.</t>
  </si>
  <si>
    <t>Estufas ecoeficientes móviles instaladas</t>
  </si>
  <si>
    <t>Asistencias técnicas realizadas</t>
  </si>
  <si>
    <t>11.b</t>
  </si>
  <si>
    <t>4.b</t>
  </si>
  <si>
    <t>2.a</t>
  </si>
  <si>
    <t>9.c</t>
  </si>
  <si>
    <t>4.a</t>
  </si>
  <si>
    <t>Campañas de divulgación ejecutadas</t>
  </si>
  <si>
    <t>Comandos de policía adecuados y dotados</t>
  </si>
  <si>
    <t>Unidades dotadas</t>
  </si>
  <si>
    <t>3.d</t>
  </si>
  <si>
    <t>Predios formalizados o regularizados para el desarrollo rural</t>
  </si>
  <si>
    <t>2.c</t>
  </si>
  <si>
    <t>Productores agropecuarios apoyados</t>
  </si>
  <si>
    <t>3.c</t>
  </si>
  <si>
    <t>Hospitales de primer nivel de atención dotados</t>
  </si>
  <si>
    <t>7.b</t>
  </si>
  <si>
    <t>Unidades de generación fotovoltaica de energía eléctrica instaladas</t>
  </si>
  <si>
    <t xml:space="preserve">Sedes educativas mejoradas </t>
  </si>
  <si>
    <t>13.b</t>
  </si>
  <si>
    <t>15.b</t>
  </si>
  <si>
    <t>Alcantarillados optimizados</t>
  </si>
  <si>
    <t>Puntaje</t>
  </si>
  <si>
    <t>Soluciones de disposición final de residuos solidos construidas</t>
  </si>
  <si>
    <t>Plan de Gestión Integral de Residuos Solidos implementado</t>
  </si>
  <si>
    <t>Estaciones de clasificación y aprovechamiento de residuos sólidos construidas</t>
  </si>
  <si>
    <t>Edificaciones  de atención a la primera infancia dotadas</t>
  </si>
  <si>
    <t>Centros de protección social para el adulto mayor construidos</t>
  </si>
  <si>
    <t>Linea estrategica</t>
  </si>
  <si>
    <t>Indicadores de resultado</t>
  </si>
  <si>
    <t>Código Indicador de resultado</t>
  </si>
  <si>
    <t>Meta 2025</t>
  </si>
  <si>
    <t>Meta 2026</t>
  </si>
  <si>
    <t>Meta 2027</t>
  </si>
  <si>
    <t>Meta del cuatrenio 2024 -2027</t>
  </si>
  <si>
    <t>TOTAL 2024 - 2027</t>
  </si>
  <si>
    <t>ICLD</t>
  </si>
  <si>
    <t>ICDE</t>
  </si>
  <si>
    <t>SGP Educación</t>
  </si>
  <si>
    <t>SGP Salud</t>
  </si>
  <si>
    <t>SGP APSB</t>
  </si>
  <si>
    <t>SGP Propósito General</t>
  </si>
  <si>
    <t>SGP Asignaciones Especiales</t>
  </si>
  <si>
    <t>Sistema General de Regalías - SGR</t>
  </si>
  <si>
    <t>Cofinanciación</t>
  </si>
  <si>
    <t>Crédito</t>
  </si>
  <si>
    <t>Otros</t>
  </si>
  <si>
    <t>TOTAL 2024</t>
  </si>
  <si>
    <t>TOTAL 2025</t>
  </si>
  <si>
    <t>TOTAL 2026</t>
  </si>
  <si>
    <t>TOTAL 2027</t>
  </si>
  <si>
    <t>Linea base Indicador de producto</t>
  </si>
  <si>
    <t>s/d</t>
  </si>
  <si>
    <t>Maquinaria y equipos entregados</t>
  </si>
  <si>
    <t xml:space="preserve"> Promoción al acceso a la justicia</t>
  </si>
  <si>
    <t>Personas privadas de la libertad (PPL) con servicio de alimentación</t>
  </si>
  <si>
    <t>Servicio de educación informal en resolución de conflictos</t>
  </si>
  <si>
    <t>Contempla la definición, diseño, construcción y actualización de los contenidos del material pedagógico a utilizar en los eventos de educación informal, tales como los procesos que se adelantan para la implementación de la conciliación en equidad a través del MICE "Marco para la Implementación de la Conciliación en Equidad”, el desarrollo de los procesos de capacitación que fortalecen las competencias, habilidades y técnicas de negociación en resolución de conflictos de conciliadores en equidad nombrados y el desarrollo, seguimiento y evaluación de los procesos de formación y fortalecimiento dirigidos a los operadores de justicia, notarios, conciliadores en derecho y servidores públicos habilitados para conciliar.</t>
  </si>
  <si>
    <t>Procesos de formación en resolución de conflictos realizados</t>
  </si>
  <si>
    <t>Servicio de divulgación para promover el acceso a la Justicia</t>
  </si>
  <si>
    <t>Hace referencia al desarrollo de campañas de difusión para promover el acceso a la justicia.</t>
  </si>
  <si>
    <t>Servicio de asistencia técnica en la promoción y articulación de los servicios de justicia</t>
  </si>
  <si>
    <t>Comprende el acompañamiento institucional para el diagnóstico, revisión, ajuste, promoción y articulación de herramientas para la prestación de servicios de justicia.</t>
  </si>
  <si>
    <t>Servicio de asistencia técnica para la implementación de los métodos de solución de conflictos</t>
  </si>
  <si>
    <t>Corresponde al acompañamiento técnico y  profesional que se brinda para atender la operación de los procesos de implementación y fortalecimiento de la conciliación en equidad, el apoyo en la creación de los centros gratuitos de conciliación, arbitraje y amigable composición, incluyendo el procedimiento de insolvencia de persona natural no comerciante y los procesos de inspección control y vigilancia de los centros de conciliación, arbitraje y amigable composición.</t>
  </si>
  <si>
    <t>Documentos Planeacion</t>
  </si>
  <si>
    <t>Documentos cuyo objetivo es plasmar una visión de futuro a anivel de entidad territorial, comunidad, sector, región, entidad o cualquier nivel de desagregación que se requiera. Incluye objetivos, estrategias, metas e indicadores.</t>
  </si>
  <si>
    <t>Planes Integrales de Seguridad y Convivencia -PISCC con enfoque de género elaborados</t>
  </si>
  <si>
    <t>Servicio de dotación para la movilidad operacional y el apoyo logístico</t>
  </si>
  <si>
    <t>Corresponde a los medios de transporte terrestre, fluvial y marítimo  que apoyan el desarrollo de las operaciones militares.</t>
  </si>
  <si>
    <t>Corresponde a los medios de transporte terrestre y fluvial que apoyan el desarrollo de las operaciones de policia.</t>
  </si>
  <si>
    <t xml:space="preserve"> Promoción de los métodos de resolución de conflictos</t>
  </si>
  <si>
    <t>Conjunto de acciones encaminadas a mejorar la capacidad, eficiencia y eficacia de la infraestructura componente del sistema de alcantarillado mediante su intervención parcial o total.</t>
  </si>
  <si>
    <t>Plantas de tratamiento de aguas residuales optimizadas</t>
  </si>
  <si>
    <t>Servicios de implementación del Plan de Gestión Integral de Residuos Solidos PGIRS</t>
  </si>
  <si>
    <t>Contempla acciones realizadas para implementar el Plan de Gestión Integral de Residuos Solidos </t>
  </si>
  <si>
    <t>Estación de clasificación y aprovechamiento de residuos sólidos construida</t>
  </si>
  <si>
    <t>Corresponde a la infraestructura diseñada para el pesaje, clasificación, recuperación y tratamiento de los residuos sólidos  aprovechables, mediante procesos manuales, mecánicos o mixtos y que cuenten con las autorizaciones ambientales a que haya lugar.</t>
  </si>
  <si>
    <t>Servicio de regulación en Agua Potable y Saneamiento Básico</t>
  </si>
  <si>
    <t>Es el conjunto de actividades que permiten la expedición de la regulación de carácter general y particular en agua potable y saneamiento básico, basado en el conocimiento jurídico y técnico de la entidad.</t>
  </si>
  <si>
    <t>Número de resoluciones</t>
  </si>
  <si>
    <t xml:space="preserve">Estudios realizados </t>
  </si>
  <si>
    <t>Documentos de planeación en políticas de Agua Potable y Saneamiento Básico elaborados</t>
  </si>
  <si>
    <t>Sitios dispuestos para disponer los residuos solidos recolectados en una zona</t>
  </si>
  <si>
    <t>Servicio de implementación de herramientas nacionales de comunicación, divulgación y cualificación de actores</t>
  </si>
  <si>
    <t>Iniciativas  nacionales de comunicación, divulgación y cualificación de actores implementadas</t>
  </si>
  <si>
    <t>Planes, programas y acciones orientados al desarrollo de capacidades de formación, campañas de  comunicación, sensibilización y educativas acerca de la gestión integral del recurso hídrico para los actores  y usuarios del recurso hídrico.</t>
  </si>
  <si>
    <t>Vivienda y acceso a servicios públicos - Cobertura de acueducto (Censo)</t>
  </si>
  <si>
    <t>Vivienda y acceso a servicios públicos - Cobertura de alcantarillado (Censo)</t>
  </si>
  <si>
    <t>Vivienda y acceso a servicios públicos - Déficit cualitativo de vivienda (Censo)</t>
  </si>
  <si>
    <t>Vivienda y acceso a servicios públicos - Déficit cuantitativo de vivienda (Censo)</t>
  </si>
  <si>
    <t>Vivienda y acceso a servicios públicos - Cobertura de aseo (Censo)</t>
  </si>
  <si>
    <t>Educación - Cobertura bruta en educación - Total</t>
  </si>
  <si>
    <t>Educación - Tasa de tránsito inmediato a la educación superior</t>
  </si>
  <si>
    <t>Economía - Porcentaje de UPA con acceso a asistencia técnica</t>
  </si>
  <si>
    <t>Porcentaje (el valor está multiplicado por 100)</t>
  </si>
  <si>
    <t>Economía - Total de UPAs</t>
  </si>
  <si>
    <t xml:space="preserve"> Inclusión productiva de pequeños productores rurales</t>
  </si>
  <si>
    <t>Servicio de apoyo para el fomento organizativo de la Agricultura Campesina, Familiar y Comunitaria</t>
  </si>
  <si>
    <t>Este servicio pretende apoyar acciones enmarcadas en Agricultura Campesina, Familiar y Comunitaria para el fomento organizativo a través de estrategias que permitan realizar un análisis diagnóstico de la situación en la que los productores agropecuarios desarrollan sus procesos productivos.</t>
  </si>
  <si>
    <t>Número de productores agropecuarios</t>
  </si>
  <si>
    <t xml:space="preserve"> Ordenamiento social y uso productivo del territorio rural</t>
  </si>
  <si>
    <t>Servicio de apoyo financiero para la formalización de la propiedad</t>
  </si>
  <si>
    <t>Apoyar las gestiones tendientes a formalizar el derecho de dominio de predios rurales, el saneamiento de títulos que conlleven la falsa tradición y para acompañar a los interesados en la realización de trámites administrativos, notariales y registrales no cumplidos oportunamente (incluye clarificación de linderos , entre otros)</t>
  </si>
  <si>
    <t>Número de predios</t>
  </si>
  <si>
    <t xml:space="preserve"> Calidad, cobertura y fortalecimiento de la educación inicial, prescolar, básica y media</t>
  </si>
  <si>
    <t>Infraestructura educativa construida</t>
  </si>
  <si>
    <t xml:space="preserve">Contempla la construcción de nueva infraestructura educativa a partir de: 1. La construcción de sedes nuevas e infraestructura para residencias escolares, en nuevos lotes: corresponde a la creación de una sede nueva con DANE nuevo en un nuevo lote, se caracteriza por ampliar la capacidad instalada para atender nuevos cupos escolares por demanda de servicio 2. La construcción de nuevas sedes por restitución total o reubicación total de la sede existente: Corresponde a la construcción de nuevas sedes derivadas de procesos de restitución total en el mismo lote o reubicación total en lote nuevo, se caracteriza por ser construcciones completamente nuevas que garantizan capacidad instalada para jornada única o nueva matricula la mayoría derivada de condiciones de riesgo o vulnerabilidad. Estas sedes nuevas cubren ciclos educativos completos de manera integral y autónoma de acuerdo a los ambientes pedagógicos básicos y complementarios  definidos en la NTC 4595,  que permitan garantizar capacidad instalada y con ello implementar jornada única o ampliar cobertura para el acceso de población no cubierta. </t>
  </si>
  <si>
    <t>Cartografía ambiental temática</t>
  </si>
  <si>
    <t xml:space="preserve">Incluye las acciones orientadas al estudio y a la elaboración de mapas a diferentes escalas sobre temáticas ambientales </t>
  </si>
  <si>
    <t>Número de mapas</t>
  </si>
  <si>
    <t>Mapa de oferta hídrica realizado</t>
  </si>
  <si>
    <t xml:space="preserve"> Acceso de la población a los servicios de agua potable y saneamiento básico</t>
  </si>
  <si>
    <t>Unidades sanitarias con saneamiento básico construidas</t>
  </si>
  <si>
    <t xml:space="preserve">Unidades sanitarias con saneamiento básico construidas para vivienda Rural </t>
  </si>
  <si>
    <t xml:space="preserve"> Desarrollo integral de la primera infancia a la juventud, y fortalecimiento de las capacidades de las familias de niñas, niños y adolescentes</t>
  </si>
  <si>
    <t>Edificaciones de atención a la primera infancia dotadas</t>
  </si>
  <si>
    <t xml:space="preserve">Dotación de infraestructuras dirigidas  específicamente  a prestar Servicio de atención integral a la primera infancia.  </t>
  </si>
  <si>
    <t xml:space="preserve"> Atención integral de población en situación permanente de desprotección social y/o familiar</t>
  </si>
  <si>
    <t>Corresponde a la construcción de infraestructura destinada al ofrecimiento de servicios de hospedaje, bienestar social y cuidado integral de manera permanente o temporal a los adultos mayores en condicionesde descuido, abandono o víctimas de violencia intrafamiliar.</t>
  </si>
  <si>
    <t xml:space="preserve"> Fortalecimiento de la convivencia y la seguridad ciudadana</t>
  </si>
  <si>
    <t>Acciones orientadas a  cambiar el uso de una edificación o parte de ella, garantizando la permanencia total o parcial del inmueble original de acuerdo con las necesidades focalizadas en materia de convivencia y seguridad ciudadana en la zona urbana. Incluye la dotación.</t>
  </si>
  <si>
    <t>Ordenamiento Territorial - Total de predios</t>
  </si>
  <si>
    <t>Millones de pesos corrientes</t>
  </si>
  <si>
    <t>Salud - Cobertura del régimen subsidiado</t>
  </si>
  <si>
    <t>Pobreza - Índice de pobreza multidimensional - IPM</t>
  </si>
  <si>
    <t>Paz y víctimas - Iniciativas y acciones de memoria histórica</t>
  </si>
  <si>
    <t>Paz y víctimas - Víctimas que superaron la situación de vulnerabilidad (con una nueva medición)</t>
  </si>
  <si>
    <t>NA</t>
  </si>
  <si>
    <t>Ambiente - Áreas en proceso de restauración, recuperación y rehabilitación de ecosistemas degradados</t>
  </si>
  <si>
    <t>Ambiente - Acuerdos territoriales para el ordenamiento alrededor del agua</t>
  </si>
  <si>
    <t xml:space="preserve">Número de acuerdos territoriales para el ordenamiento alrededor del agua </t>
  </si>
  <si>
    <t>Ambiente - Porcentaje de estaciones de calidad del aire que registran concentraciones anuales por debajo de 25 µg/m3 de partí­culas inferiores a 2.5 micras (pm2.5)</t>
  </si>
  <si>
    <t xml:space="preserve">Mercado laboral - Tasa de trabajo infantil </t>
  </si>
  <si>
    <t>Ambiente - índice de vulnerabilidad y riesgo por cambio climático</t>
  </si>
  <si>
    <t>Puntos</t>
  </si>
  <si>
    <t>Pobreza - Porcentaje de niñas, niños y adolescentes en pobreza (proxy)</t>
  </si>
  <si>
    <t>Ciencia, Tecnología e Innovación - Índice de gobierno digital en entidades del orden territorial</t>
  </si>
  <si>
    <t>Cultura - Beneficiarios participantes en deporte, recreación, actividad física y jornada escolar complementaria.</t>
  </si>
  <si>
    <t>Medición de desempeño municipal - MDM</t>
  </si>
  <si>
    <t>Convivencia y seguridad ciudadana - Tasa de homicidios por cada 100.000 habitantes</t>
  </si>
  <si>
    <t>Tasa por cada 100.000 habitantes</t>
  </si>
  <si>
    <t>Convivencia y seguridad ciudadana - Tasa de homicidios en mujeres por cada 100.000 habitantes</t>
  </si>
  <si>
    <t>Convivencia y seguridad ciudadana - Tasa de hurto a personas por cada 100.000 habitantes</t>
  </si>
  <si>
    <t>Ordenamiento Territorial - Estado del catastro urbano</t>
  </si>
  <si>
    <t>Texto</t>
  </si>
  <si>
    <t>Mercado laboral - Participación de las mujeres en los cargos del nivel directivo en las  entidades públicas de la rama ejecutiva del nacional, Alcaldías y Gobernaciones.</t>
  </si>
  <si>
    <t>Ambiente - Inversión en adaptación al cambio climático</t>
  </si>
  <si>
    <t>Pesos corrientes</t>
  </si>
  <si>
    <t>Ambiente - Reducción del riesgo</t>
  </si>
  <si>
    <t>Miles de pesos constantes</t>
  </si>
  <si>
    <t>Vivienda y acceso a servicios públicos - Tiempos de traslado de los hogares  a un  espacio deportivo (cancha, pista, coliseo) (urbano)</t>
  </si>
  <si>
    <t>Ordenamiento Territorial - Índice de informalidad de la tierra</t>
  </si>
  <si>
    <t>Mercado laboral - Personas ocupadas en actividades asociadas a turismo</t>
  </si>
  <si>
    <t>Infraestructura hospitalaria de primer nivel de atención dotada con equipos y mobiliario, para la prestación de servicios de salud a la población. Incluye centros de salud, puestos de salud e infraestructura local de prestación de servicios.</t>
  </si>
  <si>
    <t>Infraestructura hospitalaria de primer nivel de atención adecuada, para la prestación de servicios de salud a la población. Incluye centros de salud, puestos de salud e infraestructura local de prestación de servicios.</t>
  </si>
  <si>
    <t>Unidades de generación de energía eléctrica instaladas individualmente, mediante las cuales se realiza la transformación de energía solar. Compuesta por celdas fotovoltaicas regulador de carga, inversor, baterías (sistema de almacenamiento), accesorios de conexión, puesta a tierra, y la estructura de soporte que se compone de poste galvanizado, base y cimentación en concreto.</t>
  </si>
  <si>
    <t xml:space="preserve">LÍNEA 1: UNIDOS POR ANGELÓPOLIS SOCIAL, EQUITATIVO Y DIVERSO  </t>
  </si>
  <si>
    <t xml:space="preserve">LÍNEA 2: UNIDOS POR ANGELÓPOLIS  CON ECONOMÍA PRODUCTIVA Y PRÓSPERA
</t>
  </si>
  <si>
    <t>LÍNEA 3:UNIDOS POR ANGELÓPOLIS ECO TURÍSTICO Y PROTEGIDO</t>
  </si>
  <si>
    <t>LÍNEA 4: UNIDOS POR ANGELÓPOLIS CON INFRAESTRUCTURA  PARA EL DESARROLLO TERRITORIAL</t>
  </si>
  <si>
    <t>LÍNEA 5: UNIDOS POR UN ANGELÓPOLIS CON UN GOBIERNO CERCANO Y TRANSFORMADOR</t>
  </si>
  <si>
    <t>Salud - Incidencia del dengue</t>
  </si>
  <si>
    <t>Casos por cada 100.000 habitantes en riesgo</t>
  </si>
  <si>
    <t>Salud - Tasa de fecundidad en mujeres entre 15 y 19 años</t>
  </si>
  <si>
    <t>Nacidos vivos por cada 1.000 mujeres entre 15 y 19 años</t>
  </si>
  <si>
    <t>Salud - Tasa ajustada de mortalidad por lesiones autoinfligidas intencionalmente (suicidios)</t>
  </si>
  <si>
    <t>Defunciones por cada 100.000 habitantes</t>
  </si>
  <si>
    <t>Medición de desempeño municipal - Salud</t>
  </si>
  <si>
    <t>Salud - Tasa de mortalidad (x cada 1.000 habitantes)</t>
  </si>
  <si>
    <t>Casos por cada 1.000 habitantes</t>
  </si>
  <si>
    <t>Justicia y derecho - Asistentes a actividades pedagógicas de las Jornadas móviles de justica</t>
  </si>
  <si>
    <t>Personas</t>
  </si>
  <si>
    <t>Justicia y derecho - Otros - Derecho de familia</t>
  </si>
  <si>
    <t>Puntos porcentuales (Escala de 0 a 100)</t>
  </si>
  <si>
    <t>Cultura - Infraestructuras de uso cultural</t>
  </si>
  <si>
    <t>Cultura - Tasa de cobertura municipal con beneficiarios de convocatorias públicas de las culturas, las artes y los saberes</t>
  </si>
  <si>
    <t>Justicia y derecho - Barrera de acceso a la justicia 1 SLJ</t>
  </si>
  <si>
    <t>N.A</t>
  </si>
  <si>
    <t>Demografía y población - Índice Multidimensional de Integración - IMI</t>
  </si>
  <si>
    <t>Ambiente - Vulnerabilidad y riesgo por cambio climático - Sensibilidad</t>
  </si>
  <si>
    <t xml:space="preserve"> Promoción, protección y defensa de los Derechos Humanos y el Derecho Internacional Humanitario</t>
  </si>
  <si>
    <t>Servicio de educación informal en materia de Derechos Humanos y Derecho Internacional Humanitario</t>
  </si>
  <si>
    <t>Desarrollo de actividades educativas orientadas al conocimiento y  ejercicio de los DDHH y el DIH</t>
  </si>
  <si>
    <t>Justicia y derecho - Acuerdo - Todas las ramas del derecho</t>
  </si>
  <si>
    <t>ORGANISMOS DE CONTROL</t>
  </si>
  <si>
    <t>Secretaría de salud y Bienestar Social</t>
  </si>
  <si>
    <t>Fuente</t>
  </si>
  <si>
    <t>Linea base</t>
  </si>
  <si>
    <t>Año linea base</t>
  </si>
  <si>
    <t>DANE</t>
  </si>
  <si>
    <t>Centro Nacional de Memoria Histórica</t>
  </si>
  <si>
    <t>Sistema Nacional de Vigilancia en Salud Pública - SIVIGILA</t>
  </si>
  <si>
    <t>DNP - SPT</t>
  </si>
  <si>
    <t>Ministerio de Educación Nacional</t>
  </si>
  <si>
    <t>Ministerio de Educación Nacional (MEN)</t>
  </si>
  <si>
    <t xml:space="preserve">DNP y Observatorio Colombiano de Migración desde Venezuela </t>
  </si>
  <si>
    <t>Ministerio de Salud y Protección Social</t>
  </si>
  <si>
    <t>Ministerio de Salud y Protección Social - MSPS</t>
  </si>
  <si>
    <t>IDEAM</t>
  </si>
  <si>
    <t>Censo Nacional Agropecuario, DANE</t>
  </si>
  <si>
    <t>SINERGIA</t>
  </si>
  <si>
    <t>DNP con información del FUT</t>
  </si>
  <si>
    <t>IGAC</t>
  </si>
  <si>
    <t>Ministerio de Cultura</t>
  </si>
  <si>
    <t>UPRA</t>
  </si>
  <si>
    <t>DANE - ECV</t>
  </si>
  <si>
    <t>DNP a partir de información del FUT</t>
  </si>
  <si>
    <t>DNP, con datos de MinDefensa y DANE</t>
  </si>
  <si>
    <t>FURAG</t>
  </si>
  <si>
    <t>Ministerio de Justicia y el Derecho</t>
  </si>
  <si>
    <t>Metas de los ODS</t>
  </si>
  <si>
    <t>Meta cuatrenio</t>
  </si>
  <si>
    <t>Numero</t>
  </si>
  <si>
    <t>Alcaldia municipal</t>
  </si>
  <si>
    <t>porcentaje</t>
  </si>
  <si>
    <t>SD</t>
  </si>
  <si>
    <t>hectareas</t>
  </si>
  <si>
    <t xml:space="preserve">Corporación autónoma regional </t>
  </si>
  <si>
    <t>sd</t>
  </si>
  <si>
    <t>Unidad nacional de victimas</t>
  </si>
  <si>
    <t>Campañas de gestión del riesgo para abordar situaciones de salud relacionadas con condiciones ambientales implementadas</t>
  </si>
  <si>
    <t>Observaciones</t>
  </si>
  <si>
    <t>Política publica de infancia y adolescencia</t>
  </si>
  <si>
    <t>sivigila</t>
  </si>
  <si>
    <t>PEM</t>
  </si>
  <si>
    <t>Acompañamiento a las IE</t>
  </si>
  <si>
    <t>simat</t>
  </si>
  <si>
    <t>Convenios con el sena</t>
  </si>
  <si>
    <t>Centros de iniciación deportiva</t>
  </si>
  <si>
    <t>Iniciativa propuesta por el CTP</t>
  </si>
  <si>
    <t>Torneos, encuentros, festivales en diferentes modalidades deportivas</t>
  </si>
  <si>
    <t>icfes</t>
  </si>
  <si>
    <t>Encuentros culturales dentro y fuera de del municipio</t>
  </si>
  <si>
    <t xml:space="preserve">programas culturales ofertados por la administración </t>
  </si>
  <si>
    <t>Oferta cultura</t>
  </si>
  <si>
    <t xml:space="preserve">Planes y programas de la secretaria de salud </t>
  </si>
  <si>
    <t xml:space="preserve">Sistema de seguridad y salud en el trabajo administración municipal </t>
  </si>
  <si>
    <t>elaboración plan decenal de cultura</t>
  </si>
  <si>
    <t xml:space="preserve">Mejoramiento de la calidad de los servicios prestados </t>
  </si>
  <si>
    <t>restablecimientos de derechos (Comisaria de familia)</t>
  </si>
  <si>
    <t>Cursos con el SENA</t>
  </si>
  <si>
    <t>Campañas turísticas</t>
  </si>
  <si>
    <t>Registros de hojas de vida en cajas compensación</t>
  </si>
  <si>
    <t>elaboración plan de turismo</t>
  </si>
  <si>
    <t>planes ambientales</t>
  </si>
  <si>
    <t>Fortalecimiento de las asociaciones agrícola</t>
  </si>
  <si>
    <t>Dotación de maquinaria y kit de trabajo</t>
  </si>
  <si>
    <t>vivero municipal</t>
  </si>
  <si>
    <t>Legacion de predios</t>
  </si>
  <si>
    <t>Actualización estudio tarifario</t>
  </si>
  <si>
    <t>Actualización del PSMV</t>
  </si>
  <si>
    <t>CDI</t>
  </si>
  <si>
    <t xml:space="preserve">Mejoramiento casa de la cultura </t>
  </si>
  <si>
    <t>Placas polideportivas, canchas de futbol, gimnasios ETC</t>
  </si>
  <si>
    <t>Parque recreativos (Proyectos tipo)</t>
  </si>
  <si>
    <t>La clara y el romeral</t>
  </si>
  <si>
    <t>Apertura de vías teciarias moto via san isidro</t>
  </si>
  <si>
    <t>Andenes del parque</t>
  </si>
  <si>
    <t>Titulacion de bienes publicos</t>
  </si>
  <si>
    <t>Actualización del esquema de ordenamiento territorial</t>
  </si>
  <si>
    <t>Acuducto urbano</t>
  </si>
  <si>
    <t>Matedero y hospital</t>
  </si>
  <si>
    <t xml:space="preserve">Proyecto de urbanismo planteado por el alcalde </t>
  </si>
  <si>
    <t>Construcción del palacio municipal</t>
  </si>
  <si>
    <t>Mejoramiento del actual centro administrativo</t>
  </si>
  <si>
    <t xml:space="preserve">Construcción de nueva etapa relleno sanitario </t>
  </si>
  <si>
    <t xml:space="preserve">Construccion colegio corregimiento en la estacin </t>
  </si>
  <si>
    <t>Dotaciones para la ludoteca</t>
  </si>
  <si>
    <t>Centro dia corregimiento la estacion</t>
  </si>
  <si>
    <t>Dotacion comando de policia</t>
  </si>
  <si>
    <t>Dotaciones  equipos de computo</t>
  </si>
  <si>
    <t>Conexión a internet</t>
  </si>
  <si>
    <t>Rendición publica de cuentas</t>
  </si>
  <si>
    <t>Peti</t>
  </si>
  <si>
    <t>Implementación del lay de archivo nacional</t>
  </si>
  <si>
    <t>MIPG</t>
  </si>
  <si>
    <t>Encuentros con la policía</t>
  </si>
  <si>
    <t>Descentralizaciones de la administración municipal</t>
  </si>
  <si>
    <t xml:space="preserve">Atencion a casos de violencia de genero </t>
  </si>
  <si>
    <t>Dotaciones de equipos tecnológicos y mobiliarios</t>
  </si>
  <si>
    <t>Veterinarios</t>
  </si>
  <si>
    <t>Alimentación de detenidos</t>
  </si>
  <si>
    <t>Planes Integrales de Seguridad y Convivencia -PISCC</t>
  </si>
  <si>
    <t>Apoyo al ejercito</t>
  </si>
  <si>
    <t>Apoyo a la policía</t>
  </si>
  <si>
    <t xml:space="preserve">SUMINISTRO DE AYUDA HUMANITARIA SEGÚN CODIGO BPIN 2024050360015
</t>
  </si>
  <si>
    <t>CPS-012-2024
CPS-067-2024</t>
  </si>
  <si>
    <t>Mesa municipal de victimas</t>
  </si>
  <si>
    <t>Actas de las reuniones y registro fotografico</t>
  </si>
  <si>
    <t>CPS-030-2024
CPS-032-2024</t>
  </si>
  <si>
    <t>Documento Plan desenal de salud publica 
Plan de accion 2024</t>
  </si>
  <si>
    <t>Compra de insumos veterio - acompañamiento todo el año de personal calificado (veterinario)</t>
  </si>
  <si>
    <t xml:space="preserve">Informes y registro fotografico 
CMC-028-2024
CPS-026-2024
CPS-074-2024
</t>
  </si>
  <si>
    <t>Verificar con los monitores</t>
  </si>
  <si>
    <t>Informes de Actividades, Listas de asistencia, registro fotografico
CPS-073-2024
CPS-034-2024
CPS-037-2024
CMC-034-2024
CPS-036-2024</t>
  </si>
  <si>
    <t>se va a contratar unu profesioinal para el tema</t>
  </si>
  <si>
    <t>Actividades realizadas pendientes de verificar</t>
  </si>
  <si>
    <t>Planillas de entrega y registro fotografico
CMC-037-2024
CMC-010-2024
CMC-011-2024</t>
  </si>
  <si>
    <t xml:space="preserve">listado de guias generada por el sisitema </t>
  </si>
  <si>
    <t xml:space="preserve">Expedicion de guias de movilidad </t>
  </si>
  <si>
    <t>Listados de asistencia y registro fotografico</t>
  </si>
  <si>
    <t>Sencibilizaciones en las instituciones educativas - cenzivilizaciones puerta puerta</t>
  </si>
  <si>
    <t>Hoja de asistencia tecnica y registro fotografico</t>
  </si>
  <si>
    <t>Acompañamimiento directo por personal de la UMATA directamente en las fincas de los usuarios</t>
  </si>
  <si>
    <t xml:space="preserve">Registo fotografico </t>
  </si>
  <si>
    <t>Feria raiz en el marco del parque principal, mes a mes</t>
  </si>
  <si>
    <t>Vacunaciones con fedegan</t>
  </si>
  <si>
    <t xml:space="preserve">Pantallazos del sisitema de fedegan </t>
  </si>
  <si>
    <t>Sembraton en ojo de agua vereda el remoral sector el alto</t>
  </si>
  <si>
    <t>Registro fografico</t>
  </si>
  <si>
    <t>Plan formulado</t>
  </si>
  <si>
    <t xml:space="preserve">Registro fotografico </t>
  </si>
  <si>
    <t>Festival Cafestival jerico junio 15 y 16 - colombia expotravel septiembre 14 15 16- cafes de altura Concordia diciembre 01 - Campaña Angelopolis destino ecoturisto Registro audivisual</t>
  </si>
  <si>
    <t>Listado de asistencia - registro fotografico</t>
  </si>
  <si>
    <t xml:space="preserve">capacitacion registro gastrovares 09 de julio - Capacitacion en gestion del turismo sostenible y turismo responsable 24 de junio  </t>
  </si>
  <si>
    <t>Actualizacion del PGIRS</t>
  </si>
  <si>
    <t xml:space="preserve">Ya se suscriobio cntrato pendiente de ejecucion </t>
  </si>
  <si>
    <t xml:space="preserve">Mapeo de rutas de reciclaje - censo de recicladores - Actividades de reciclaje (Gran reciclaton) - campañas de sencivilizacion  con estudiantes y comerciantes - Sencivilizacion con comerciantes en el acuerdo municipal N 003 de plasticos de un solo uso - Presentacion de acuerdo municipal para el uso de plasticos de un un solo uso - </t>
  </si>
  <si>
    <t xml:space="preserve">Se esta pendiente de suscribir contrato ya se tiene el recurso </t>
  </si>
  <si>
    <t>Comprovantes de egreso de los pagos realizados</t>
  </si>
  <si>
    <t xml:space="preserve">Cubrimiento de los estractactos 1, 2 y 3 </t>
  </si>
  <si>
    <t>Servicio de recoleccion de residuos solidos con las siguientes caracteristicas 
7:00 a 7:40 am Sector La Balastrera, Bellavista
8: 30 a 10: 30 am Matadero y/o horizontes, parque principal 
11:00 am I.E San José, Arenales, María Auxiliadora, La Miranda.
12:00 Vereda Santa Rita, Santa Barbara
Corregimiento La Estación. 
12:00 Pajonal C/da 15 días 
12:00 San Isidro, Cieneguita C/ 30 días</t>
  </si>
  <si>
    <t xml:space="preserve">Pautas publicitarias </t>
  </si>
  <si>
    <t>Registo audiovisual y listas de asistencia</t>
  </si>
  <si>
    <t>Listados de asisitencia - registro fotografico</t>
  </si>
  <si>
    <t xml:space="preserve">Acompañamiento por personal de la alcaldia municipal y apertura permanente de la biblioteca municipal - club de lectura - Tertulias literarias - recitales de posesia - talleres de refrzamiento en lectura </t>
  </si>
  <si>
    <t xml:space="preserve">Registro fografico y listado de entrega de material vegetal - convenio comité de cafeteros </t>
  </si>
  <si>
    <t xml:space="preserve">Curso de emprendimiento empresarial realizado con el SENA Y la institucion educativo san jose y  grupo vereda la cascajala </t>
  </si>
  <si>
    <t>Capacitaciones por parte de personal de la UMATA - ganaderos</t>
  </si>
  <si>
    <t>Acta de reuniones, listados de asistencia y registro fotografico - asociacion de ganderos y trucheras</t>
  </si>
  <si>
    <t>Programada para el  30 de diciembre</t>
  </si>
  <si>
    <t>Suministro de combustible</t>
  </si>
  <si>
    <t>Contrato CMC-020-2024</t>
  </si>
  <si>
    <t>Elaboracion del PISC</t>
  </si>
  <si>
    <t xml:space="preserve">plan de tratamiento de riesgos de seguridad y privacidad de la informacion - PETI </t>
  </si>
  <si>
    <t xml:space="preserve">Elaboracion del plan de tratamiento de riesgos de seguridad y privacidad de la informacion - PETI </t>
  </si>
  <si>
    <t xml:space="preserve">Entrergas de materia primaria y vegetal convenio con cafeteros </t>
  </si>
  <si>
    <t xml:space="preserve">Contratos de sui y pgirs y el contrato de yuliana que es de umata y servicios publicos - lista de asistencia - registo fotografico </t>
  </si>
  <si>
    <t>Saneamiento fiscal del hospital con 500 millones</t>
  </si>
  <si>
    <t>resolucion min salud y registro fotorgrafico</t>
  </si>
  <si>
    <t>Adecuaciones de las intalaciones del comando de policia</t>
  </si>
  <si>
    <t>Contrato cmc-042-2024</t>
  </si>
  <si>
    <t>Mejoramiento de las instalaciones fisicas del gym urbano</t>
  </si>
  <si>
    <t xml:space="preserve">Registro fotografico - contrato de adquisicion de materiales para la antencion de emergencias </t>
  </si>
  <si>
    <t>Actencion de emergencias como incendios forestales, incendio comando de policia.</t>
  </si>
  <si>
    <t>Entrfega de recions alimenticas industrulizadas y preparadas</t>
  </si>
  <si>
    <t>contratos sa-001 - sa-004 - cmc-003 - cmc-031  - registro fotografico</t>
  </si>
  <si>
    <t xml:space="preserve">contratos ejecutados CMC-025-2024 CMC-036-2024 CMC-025-2024 CMC-025-2024 CMC-044-2024 CMC-035-2024 registro fotografico </t>
  </si>
  <si>
    <t xml:space="preserve">Transporte escolar </t>
  </si>
  <si>
    <t xml:space="preserve">convenio con el fondo gilverto echeverri mejia </t>
  </si>
  <si>
    <t>conveni con PROEDU actividades realizadas los fines de semana</t>
  </si>
  <si>
    <t xml:space="preserve">Se articula con la corporación GILBERTO ECHEVERRI MEJIA, para acceder a 30 cupos en el programa semestre cero con preicfes en la Institución educativa San José, </t>
  </si>
  <si>
    <t xml:space="preserve">registro fotografico </t>
  </si>
  <si>
    <t>Informes de auditorias</t>
  </si>
  <si>
    <t>Auditorias en el cumplimiento de la normatividad vigente</t>
  </si>
  <si>
    <t>registro de reporte en es simat</t>
  </si>
  <si>
    <t>Acompañamiento en el reporte de informacion en el SIMAT</t>
  </si>
  <si>
    <t>Registro fotografico y listados de asistencia</t>
  </si>
  <si>
    <t>Registro de asistencia y registro fotografico</t>
  </si>
  <si>
    <t xml:space="preserve">Torneos de futbol, micro boleivol, deportes individuales, encuentros en diferentes veredas y municipios en diferentes categorias tanto femenino como masculino </t>
  </si>
  <si>
    <t>Planillas de asistencia y registro fotografico</t>
  </si>
  <si>
    <t xml:space="preserve">escuela de musica, danzas, biblioteca municipal, escuela de canto, </t>
  </si>
  <si>
    <t>registro fotografico y listados de asistencia</t>
  </si>
  <si>
    <t>Campañas en compañía de la policia nacional y comisaria de familia en las instituciones educativas sobre temas de prevencion del bulyin, acoso sexual y violencia de general - celebracion del mes de la niñez en la zona urbana y rural del municipio</t>
  </si>
  <si>
    <t xml:space="preserve">celebracion del dia de las victimas - Día Nacional de la Memoria y Solidaridad con las Víctimas del Conflicto Armado se realizó el 13 de abril </t>
  </si>
  <si>
    <t>COORDINAR LOS PROGRAMAS Y PROYECTOS DIRIGIDOS A LA POBLACIÓN OBJETO DE ATENCIÓN COMO ENLACE DE VICTIMAS SEGÚN CODIGO BPIN 2024050360015 - jornadas de atencion de victimas con la unidad nacional de victimas</t>
  </si>
  <si>
    <t>CMC-016-2024
Acompañamiento por el enlace muicipal de victimas - registro fotografico</t>
  </si>
  <si>
    <t>listados de asistencia</t>
  </si>
  <si>
    <t>Acompañamienos psicologia con personal calificado de la administracion municipal</t>
  </si>
  <si>
    <t>plan de accion de victimas y plan de atencion</t>
  </si>
  <si>
    <t xml:space="preserve">Se envio persenos a centro de rehabilitcion </t>
  </si>
  <si>
    <t>pedagogia con el sector minero - con personas de la comunidad y las instituciones educativas actividad realizada con la personeria y la inspeccion</t>
  </si>
  <si>
    <t>docuementos del proceso reposan en comisaria</t>
  </si>
  <si>
    <t>restablecimiento de derechos realizados por la comisaria municipal</t>
  </si>
  <si>
    <t xml:space="preserve">talleres y acompañamiento por parte de la comisaria municipal </t>
  </si>
  <si>
    <t>Registro fotografico y listas de asistencia</t>
  </si>
  <si>
    <t>Tarreles realizados con personal calidicado de la administracion municipal en las instituciones educativas urbanas y rurales</t>
  </si>
  <si>
    <t>Compra de equipos tecnologicos para las dependencias de la alcaldia municipal</t>
  </si>
  <si>
    <t>Contratos suscritos</t>
  </si>
  <si>
    <t>desplazamiento de los funcionarios de la adminstracion municipal a la zona rural para ofrecer servicos de forma directa a la comunidad</t>
  </si>
  <si>
    <t>Camas instaladasmediante convenio con la gobernacion de antioquia</t>
  </si>
  <si>
    <t>Instalacion de camaras de seguridad en el zona urbana del municipio</t>
  </si>
  <si>
    <t>registro fotografico</t>
  </si>
  <si>
    <t>acompañamiento permanente con la policia nacional en la presentacion de redadas y vigilancia continua en zonas estrategicas del municipio como lo es la via principal</t>
  </si>
  <si>
    <t>Archivos de la comisaria de familia</t>
  </si>
  <si>
    <t>atencion integral a las denuncias realizadas</t>
  </si>
  <si>
    <t>registro fotografico y listas de asistencia</t>
  </si>
  <si>
    <t>revento realizado con la caja de compensacion para el registro de hojas de vida</t>
  </si>
  <si>
    <t>registro fotografico - informes de seguimiento a los contragtos suscritos</t>
  </si>
  <si>
    <t xml:space="preserve">Atencion integral con alimentacion, atencion medica, entrega de kit de aseo y traslado a centros de reclusion </t>
  </si>
  <si>
    <t>Contratos realizados</t>
  </si>
  <si>
    <t>atencion integral con personal calificado de la administracion municipal - paseo de integracion al municipio de guatape - entrega de mercados kit de aseo</t>
  </si>
  <si>
    <t>Registro fotografico</t>
  </si>
  <si>
    <t xml:space="preserve">Entrega de kit de aseo y paquetes alimentarios - registro de discpacidad ante la gobernacion </t>
  </si>
  <si>
    <t>entregas realizadas</t>
  </si>
  <si>
    <t>entrega de subsidios a traves del programa colombia mayor</t>
  </si>
  <si>
    <t xml:space="preserve">Cumplimiento de la nirmatividad vigente con personal calificado </t>
  </si>
  <si>
    <t>Fichas del sisben</t>
  </si>
  <si>
    <t>Acompañamiento por personal calificado de la adminstracion en el registro de hogares en el sisben IV</t>
  </si>
  <si>
    <t>vinculacion de la poblacion victima del conflicto en las actividades culturales adelantadas por la adminstraicon municipal</t>
  </si>
  <si>
    <t>Vía de la Verede El Nudillo 
Vía de la vereda Cascajala - apertura y recuperación de vía
Vías  urbanas - Acceso al Centro Vida Día - Sector horizontes - Bellavista 
Angelópolis - Amagá 
⁠Vía la Truchera 
Vía vereda San Isidro 
Vía principal Angelopolis - Caldas</t>
  </si>
  <si>
    <t>Registro fotografico y informe de actividades</t>
  </si>
  <si>
    <t>Coliceo urbana y placa escuela primaria</t>
  </si>
  <si>
    <t>Meta programada 2024</t>
  </si>
  <si>
    <t xml:space="preserve">Encuentro con los usuarios del acueducto santa rita santa barbara enfocada a la calidad del suministro de agua potable - Encuentro con los usuarios del acueducto en temas de usu eficientes y ahorro del agua, capacitaciones con hogares beneficiarios del acuducto el nudillo para el correcto funcionamiento del acueducto </t>
  </si>
  <si>
    <t xml:space="preserve">dos con propyecto que ejecuta el colegio 1 con el oficial de la alcaldia </t>
  </si>
  <si>
    <t>Pago del servicio de internet a las 7 instituciones educativas</t>
  </si>
  <si>
    <t>ejecutado 2024</t>
  </si>
  <si>
    <t>potcentaje Ejecutado 2024</t>
  </si>
  <si>
    <t>Línea estratégica</t>
  </si>
  <si>
    <t xml:space="preserve">N° metas programadas </t>
  </si>
  <si>
    <t>N° de metas cumplidas</t>
  </si>
  <si>
    <t>N° de metas cumplidas parcialmente</t>
  </si>
  <si>
    <t>% de cumplimiento</t>
  </si>
  <si>
    <t>N° de metas no cumplidas</t>
  </si>
  <si>
    <t>LÍNEA 2: UNIDOS POR ANGELÓPOLIS  CON ECONOMÍA PRODUCTIVA Y PRÓSPERA</t>
  </si>
  <si>
    <t>Ejecutado 2024</t>
  </si>
  <si>
    <t>Sector</t>
  </si>
  <si>
    <t>Dependencia</t>
  </si>
  <si>
    <t>Evidencia 2024</t>
  </si>
  <si>
    <t>Actividades realizadas - o objeto de contrato 2024</t>
  </si>
  <si>
    <t>Actividades realizadas - o objeto de contrato 2025</t>
  </si>
  <si>
    <t>Campaña de concientizacion a los turistas que visitan la reserva, atencion en la via y kioscos</t>
  </si>
  <si>
    <t>se elaboro en el año 2024</t>
  </si>
  <si>
    <t xml:space="preserve">Guias para la movilizacion de ganado </t>
  </si>
  <si>
    <t>Charlas dictadas en las instituciones educativas en la zona urbana y rural del municipio 4 en total y 2 con poblacion general en la zona urbana del municipio</t>
  </si>
  <si>
    <t>Acompañamiento en veredascon las juntas de accion comunal y visita a predios de productores</t>
  </si>
  <si>
    <t>Acompñamiento en la creacion de asociacon de discapacitados para la inclusion social - Acompañamiento a la asociacion de agromangel productores agropecurarios en asoseria tecnica  - acompañamiento de asgang en la renovacion de comodato de predios en la clara para la tenencia de animales - acompañamiento de asaman en asesoria tecnica con personal califido</t>
  </si>
  <si>
    <t>Acompañamiento en convenio convenio con el ICA</t>
  </si>
  <si>
    <t>ejecutado 2025</t>
  </si>
  <si>
    <t>Campañas en las intituciones eductivas en la zona urbana y rural del municipio - camapañas puerta a puerta - con las comunidades en las zona urbana y rural</t>
  </si>
  <si>
    <t>Mercados campesinos</t>
  </si>
  <si>
    <t xml:space="preserve">Atencion vetrinaria para animales domesticos y de produccion agropecuaria realizada mediante pedido por la comunidad </t>
  </si>
  <si>
    <t>Centros de inicacion de deportiva en futbol, futbol sala, valoncesto</t>
  </si>
  <si>
    <t>Tornes dee futbol sala, futbol de salon, voleybol y valoncesto realizados en el cprregimiento de la estacion, veredda santa rita y zona urbana</t>
  </si>
  <si>
    <t xml:space="preserve">Centro de promosion de la salis (gym) se han atendido 290 personas - centro de promocion de la saluids corregimiento la estacion donde se atienden 80 personas de difentes edades - desde actividad sifica se tiene ciclovias atencion a 60 personas - caminatas ecologicas se atienden 60 personas - rumba aerobica se atienden 30 perosonas - atencion en diciplinas deportivas de valoncesto donde se atienden 50 personas, voleobol se atienden 80 personas, futbol sala donde se atienden 85 personas, futbol de salon donde se atienden 80 personas, futbol donde se atienden 40 personas - Recreacion se adelantan jornadas en las instituciones educativas en zona urbana y rural donde se atienden al rededor de 400 personas </t>
  </si>
  <si>
    <t xml:space="preserve">Articulación del CBF  con el Municipio de Angelópolis,   para la atención  intregral de los niños, niñas y adolescentes  a traves de las siguientes modalidades:
-Centro Desarrollo Infantil=45 niños atendidos
-Hogares Comunitarios=91
-Modalidad Familiar=147
De igual manera a traves de la comisaria de familia se ha  impartido diferentes talleres a los niños, niñas, adolescentes y sus familias, con temas tales  como: prevención de violencia de genero, crianza positiva, resolución de conflictos
 </t>
  </si>
  <si>
    <t>A traves de las diferentes mesas: primera infancia, infancia, adolescencia y fortalecimiento familiar se ha desarrollo el plan de accion y sus respectivos seguimientos, el cual se establece como documento base  para el cumplimiento de acciones de prevención y promoción establecidas en la politica pública.</t>
  </si>
  <si>
    <t>A la fecha la Comisaria de familia ha acompañado un promedio de 24 procesos de restrablecimiento de derechos, donde lo que se busca es garantizar los derechos de los niños, niñas, adolescentes y sus familias; de igual manera se continua con el acompañamiento constante a traves de procesos educativos de promoción y prevención, asesoria constante a las familias</t>
  </si>
  <si>
    <t xml:space="preserve">Se viene planeando una jornada de atención integral a los habitantes de calle, para lo cual se dispuso de un recursos y se esta en  la fase del proceso contractual </t>
  </si>
  <si>
    <t>Plan de contingencia aprobado vigencia 2025</t>
  </si>
  <si>
    <t xml:space="preserve">A la fecha se  realizó el proceso de contratación de apoyo al area minera donde: se han realizado a la fecha cinco visitas a unidades mineras, en el marco del proceso de caracterización y asesoria. </t>
  </si>
  <si>
    <t xml:space="preserve">A la fecha se ha realizado dos acompañamientos a mineros tradicionales donde se  viene realizando verificaciones en cuanto  areas libres,  y cumplimiento de  características exigidas por la Agencia Nacional de Minería para iniciar  procesos de formalización como  Áreas de Reservas Especial ARE.
</t>
  </si>
  <si>
    <t xml:space="preserve">Se ha realizando orientació a  mineros tradicionales en cuanto al proceso de extracción que vienen realizando,dado que, en el marco de este ejericio se identifioc que vienen realizando la actividad en el marco de un titulo minero </t>
  </si>
  <si>
    <t>A la fecha se ha llevado  una jornada de empleo, gestionada con la caja de compensación Comfama, la cual se realizó el dia 05 de Mayo de 2025</t>
  </si>
  <si>
    <t xml:space="preserve">Para este año 2025 se realizó la gestión ante al Gobernación de Antioquia para la ampliación del sistema de camaras, solicitud que fue aprobada y en curso se encuentra  el contrato 222-2025,  liderado por la Gobernación de Antioquia,  por un valor para el municipio de Angelopolis de $110.000.000, cofinanciado en la totalidad por la Gobernación, para la instalación  de camaras LPR y cambio de camaras analogas  </t>
  </si>
  <si>
    <t xml:space="preserve">Documento realizado a 30 de Enero de 2025, PETI: Plan estrategico de las tecnologias de la información </t>
  </si>
  <si>
    <t>programadas para mes de diciembre</t>
  </si>
  <si>
    <t xml:space="preserve">A traves de la emisora comunitaria  municipal se vienen realizando programas radiales enfocados al cumplimiento de normas de policia y convivencia </t>
  </si>
  <si>
    <t xml:space="preserve">La oferta institucional se promueve a traves de los canales de comunicación con que cuenta la administracion municipal, como: pagina web, redes sociales, emisora comunitaria, grupos de difusión, tableros informativos, y articulación con Juntas de Acción Comunal </t>
  </si>
  <si>
    <t>A la fecha se han atendido 9 casos</t>
  </si>
  <si>
    <t xml:space="preserve">Se destinaron recursos  para la dotación de equipos tecnologicos y mobiliarios, proceso que se encuentra en la fase precontractual </t>
  </si>
  <si>
    <t>A la fecha se han realizados dos espacios para los funcionarios de la administracion municipal, uno con  temas relacionados con las condiciones laborales especialmente en el area de seguridad y salud en el trabajo, y el segundo fue relacionado  en el cuanto a espacios de  sano esparcimiento donde  se llevo a cabo una jornada con comfenalco realizada el dia 23 de Abril de 2025</t>
  </si>
  <si>
    <t>A la fecha se suscribio el contrato N°017-2025 para el suministro de alimentación para las personas privadas de la libertad</t>
  </si>
  <si>
    <t xml:space="preserve">A la fecha se  han suscrito los contratos N°CMC-013-2025 y CMC-012-2025 los cuales permiten tener las condiciones de transporte adecuado para la fuerza pública </t>
  </si>
  <si>
    <t xml:space="preserve">A la fecha se  ha suscrito el contratos N°CMC-010-2025 el cual permite tener las herramientas para una  operacionalidad de la fuerza pública y se encuentran otros en fase  precontractual </t>
  </si>
  <si>
    <t xml:space="preserve">Se ha realizado capacitación a diferentes grupos poblacionales, en los cuales se hace énfasis en temas claves de sus áreas correspondientes , como a comerciantes, con una capacitación enfocada en el fortalecimiento de User Experience (UX) y WhatsApp Bussines, grupos de la administración Municipal con herramientas digitales para la mejora de procesos. A la fecha se ha capacitado un promedio de 35 personas. Asimismo por medio de la emisora comunitaria donde se abordan diferentes temas importantes de la era digital como prevención de estafas, divulgación de contenido inapropiado y contenido personal. </t>
  </si>
  <si>
    <t>Actualmente se adelanta la gestión para la dotación y adecuación de un aula TIC, que contará con computadores y conexión a internet para desarrollar programas de ciencia, tecnología e innovación.</t>
  </si>
  <si>
    <t>1,-En el marco de la conmemoración del 9 de abril, día nacional de solidaridad y memoria con las víctimas del conflicto armado, se realizó una eucaristía donde se realizaron algunas reflexiones que contribuyeron a la mitigación del daño emocional de las víctimas.                        
2-Si bien el municipio no  cuenta con un profesional en psicologia especializado en víctimas, desde la gobernación se tiene el apoyo de la psicologa del programa de dispositivos comunitarios que ha atendido a las víctimas de nuestro municipio contribuyendo con este objetivo.</t>
  </si>
  <si>
    <t>En el marco de la conmemoración del dia de las victimas se realizará un mural en la casa de la cultura como simbolo de iniciativa de la memoria historia, proceso que se encuentra en la fase precontractual</t>
  </si>
  <si>
    <t>Entre solicitudes de ayuda humanitaria, de indemnización de certificación RUV, de novedades de registro y de toda orientación relacionada con los procesos de la Unidad para las Víctimas e incluso con la Unidad de Restitución de Tierras hasta la fecha se han tramitado un aproximado de 115 solicitudes.</t>
  </si>
  <si>
    <t>La Ayudas Humanitarias Inmediatas están sujetas a la declaración que se realiza ante el ministerio público en este caso Personería Municipal y la solicitud de esta para entregarlas. A La fecha no se ha recibido ninguna solicitud  para la entrega de estas ayudas.</t>
  </si>
  <si>
    <t>Se ha acompañado a la mesa municipal de participación efectiva de víctimas técnicamente para la realización y ejecución de su plan de acción anual, el cual si bien está enfocado en víctimas algunas de sus acciones van dirigidas a la población en general y por tanto, favorece la activación de las redes protectoras.</t>
  </si>
  <si>
    <t>N/P</t>
  </si>
  <si>
    <t>Estudios y diseños de para el acuducto corregimiento la estacion</t>
  </si>
  <si>
    <t>Secretaria de salud</t>
  </si>
  <si>
    <t>Diligernciamiento del autodisagnostico del furag y de las politicas TIC - Personas calificado - estructuraccion de planes y programas requeridos por MIPG</t>
  </si>
  <si>
    <t>Secretaría de planeación y desarrollo territorial - Secretaría de hacienda</t>
  </si>
  <si>
    <t>En proceso de consecucion de recursos mediante emprestito para adelantar el proceso</t>
  </si>
  <si>
    <t>Se han tregado materiales de construccion, mercados, elementos para el hogar (Cobijas , sabadas, elementos de cocina etc)</t>
  </si>
  <si>
    <t>Caraoke al parque - cine en el parque - Chirimia de adultos mayores - celebracion de eventos culturales en escuelas cienaguita santa rita y san isidro</t>
  </si>
  <si>
    <t>Danzas, musica, coro infantil Angeles cantores y banda sinfinica infantil y banda de rock</t>
  </si>
  <si>
    <t>Aconpañamiento en la JUME junta municipal de educacion y Auditorias del simat</t>
  </si>
  <si>
    <t>Personal calificado del registro y actualizacion permanente del sistema</t>
  </si>
  <si>
    <t>Raciones industrializadas y preparadas en sitio en la vereda cienaguita</t>
  </si>
  <si>
    <t>Veredas cienaguita, san isidro y ell nudillo</t>
  </si>
  <si>
    <t>Realizado el dia 23 de mayo</t>
  </si>
  <si>
    <t xml:space="preserve">Semestre cero con el corporacion jilberto y los estudiantes de la zona urbana </t>
  </si>
  <si>
    <t xml:space="preserve">Progrmado para segundo semestre </t>
  </si>
  <si>
    <t xml:space="preserve">encuentros veredales cada 15 dias y urbanos 1 ves a la semana </t>
  </si>
  <si>
    <t xml:space="preserve">Pendiente certificados de discpacidad </t>
  </si>
  <si>
    <t xml:space="preserve">las mismas del pasado </t>
  </si>
  <si>
    <t>Pendiente de dato de jose de la dotacion que les van dar</t>
  </si>
  <si>
    <t>Acompañamiente desde la secretaria de salud y bienestar social social en el registro y actualizacion de las bases de datos para la entrega de subsidios.</t>
  </si>
  <si>
    <t>Realizado en la ciudadela educativa realizado en el mes de abril</t>
  </si>
  <si>
    <t xml:space="preserve">Dos realizadas al PAI programa ampliado de inmunizacion - una kit de profilasis - una en suero antiofidico en la ese la misericordia </t>
  </si>
  <si>
    <t>Pas y coai</t>
  </si>
  <si>
    <t>Adelanta desde dispositivos comunitarios y salud para el alma y el PIC</t>
  </si>
  <si>
    <t>PIC Y salud para el alma desde la gobernacion</t>
  </si>
  <si>
    <t>PIC</t>
  </si>
  <si>
    <t xml:space="preserve">Copaco, comité territorial de salud, alianza de usuarios </t>
  </si>
  <si>
    <t>Convenio de subsidio a la oferta cd-004-2025</t>
  </si>
  <si>
    <t>Reporte del bai busqueda activa institucional</t>
  </si>
  <si>
    <t>Reportes semanales del sivigila</t>
  </si>
  <si>
    <t>Atencion a emergencias que varian desde incendios en viviendas atencion acueducto urbano, vias terciarios</t>
  </si>
  <si>
    <t>Se inicio el convenio con el comité de cafeteros para la pavimentacion de la san isidro sienaguita el barro</t>
  </si>
  <si>
    <t>En ejecuion sana rita y placa polideportiva y santa barbara</t>
  </si>
  <si>
    <t>via san isidro el barro, via cascajala y via la estacion</t>
  </si>
  <si>
    <t>Procesos contratados alcantarillado carrera 9 y calle 8</t>
  </si>
  <si>
    <t xml:space="preserve">Regimen subsidiado </t>
  </si>
  <si>
    <t>Porcentaje 2025</t>
  </si>
  <si>
    <t>porcentaje 2024</t>
  </si>
  <si>
    <t xml:space="preserve">Unidos por el Cambio </t>
  </si>
  <si>
    <t>Plan de desarrollo</t>
  </si>
  <si>
    <t>Secretaria de planeacion y desarrollo territorial</t>
  </si>
  <si>
    <t>Secretaria de gobierno</t>
  </si>
  <si>
    <t>Secretaria de salud y bienestar social</t>
  </si>
  <si>
    <t>UMSP</t>
  </si>
  <si>
    <t>UMATA</t>
  </si>
  <si>
    <t>porcentaje ejecutado 2024</t>
  </si>
  <si>
    <t>porcentaje ejecutado 2025</t>
  </si>
  <si>
    <t>Nombre Proyecto</t>
  </si>
  <si>
    <t>Nuevo codigo</t>
  </si>
  <si>
    <t>Transformación  del Bienestar Integral de Niños, Niñas, Adolescentes y Jóvenes para Fomentar su Desarrollo Pleno en el Municipio de Angelópolis</t>
  </si>
  <si>
    <t>Apoyo Integral y Servicios de Rehabilitación a las Víctimas del Conflicto Armado para Facilitar su Recuperación y Reintegración en el Municipio de Angelópolis</t>
  </si>
  <si>
    <t>Fortalecimiento de lainspección, vigilancia y control en salud en el municipio de Angelopolis</t>
  </si>
  <si>
    <t>Mejoramiento de la Calidad Educativa para Asegurar Oportunidades Equitativas y el Éxito Académico en el Municipio de Angelópolis</t>
  </si>
  <si>
    <t>Fortalecimiento de la educación superior en el municipio de Angelopolis</t>
  </si>
  <si>
    <t>Desarrollo y Ampliación de los Programas Deportivos para Promover la Salud, el Deporte y la Cohesión Social en el Municipio de Angelópolis</t>
  </si>
  <si>
    <t>Fortalecimiento y preparación de deportistas en el municipio de Angelopolis</t>
  </si>
  <si>
    <t>Fortalecimiento a la Riqueza Artística, Creativa y Cultural para Enriquecer la Vida Comunitaria y Promover la Identidad Local en el Municipio de Angelópolis</t>
  </si>
  <si>
    <t>Fortalecimiento de los Programas de Atención Integral y Apoyo Dedicado para el Adulto Mayor, Mejorando su Calidad de Vida en el Municipio de Angelópolis</t>
  </si>
  <si>
    <t>Ampliación de la Cobertura de Aseguramiento para Garantizar el Acceso Universal a Servicios de Salud y Bienestar en el Municipio de Angelópolis</t>
  </si>
  <si>
    <t>Optimización de los Servicios de Salud Pública para Asegurar una Atención Eficiente, Accesible y de Alta Calidad en el Municipio de Angelópolis</t>
  </si>
  <si>
    <t xml:space="preserve"> Fortalecimiento integral del sector minero, para una explotación responsable en el municipio de   Angelópolis</t>
  </si>
  <si>
    <t>Fortalecimiento de los derechos fundamentales del trabajo y fortalecimiento del diálogo social en el municipio de Angelopolis</t>
  </si>
  <si>
    <t>Desarrollo del Turismo Sostenible para Generar Oportunidades Económicas y Promover el Patrimonio Cultural en el Municipio de Angelópolis</t>
  </si>
  <si>
    <t>Generación y formalización del empleo en el Municipio de Angelópolis</t>
  </si>
  <si>
    <t>Protección Social en el municipio de Angelopolis</t>
  </si>
  <si>
    <t>Desarrollo ambiental sostenible del sector minero energético en el municipio de Angelopolis</t>
  </si>
  <si>
    <t>Fortalecimiento a la sanidad agropecuaria e inocuidad agroalimentaria en el municipio de Angelopolis</t>
  </si>
  <si>
    <t>Fortaleciento del Sector Ambiental y el Ordenamiento Territorial para Garantizar un Desarrollo Urbano y Rural Sostenible y Equilibrado en el Municipio de Angelópolis</t>
  </si>
  <si>
    <t>no va en 2025</t>
  </si>
  <si>
    <t>Fortalecimiento del cambio climático para un desarrollo bajo en carbono y resiliente al clima en el municipio de Angelopolis</t>
  </si>
  <si>
    <t>Fortalecimiento de tecnología e innovación agropecuaria en el municipio de Angelopolis</t>
  </si>
  <si>
    <t>Fortalecimiento de la Inclusión Productiva y el Empoderamiento de Pequeños Productores Rurales para Promover el Desarrollo Sostenible en el Municipio de Angelópolis</t>
  </si>
  <si>
    <t>Fortalecimiento a la educación ambiental en el municipio de Angelopolis</t>
  </si>
  <si>
    <t>Actualización del Alumbrado Público y Expandir la Cobertura Eléctrica para Incrementar la Seguridad y la Calidad de Vida en el Municipio de Angelópolis</t>
  </si>
  <si>
    <t>Fortalecimiento del Suministro de Agua Potable y el Saneamiento Básico para Garantizar la Salud y el Bienestar Comunitario en el Municipio de Angelópolis</t>
  </si>
  <si>
    <t>Mejoramiento la Red Vial para Facilitar el Acceso y la Movilidad Eficiente, Fomentando el Desarrollo en el Municipio de Angelópolis</t>
  </si>
  <si>
    <t>Fortalecimiento del Sector Vivienda, Ciudad y Territorio para Crear Comunidades Inclusivas y Mejorar la Calidad de Vida en el Municipio de Angelópolis</t>
  </si>
  <si>
    <t xml:space="preserve">Mejoramiento del Espacio Publico en el Municipio de Angelópolis </t>
  </si>
  <si>
    <t>Fortalecimiento del buen gobierno para el respeto y garantía de los derechos humanos en el municipio de Angelopolis</t>
  </si>
  <si>
    <t>Implementación de Estrategias de Prevención y Mitigación de Riesgos para Asegurar la Protección y la Resiliencia Comunitaria en el Municipio de Angelópolis</t>
  </si>
  <si>
    <t>Fortalecimiento a las Capacidades Institucionales y la Gobernanza para Mejorar la Eficiencia y la Transparencia en el Municipio de Angelópolis</t>
  </si>
  <si>
    <t>Apoyo para el Acceso a la Justicia y la Protección de Derechos para Asegurar la Equidad y la Justicia Social en el Municipio de Angelópolis</t>
  </si>
  <si>
    <t>Apoyo para el acceso y uso de las Tecnologías de la Información y las Comunicaciones en el municipio de Angelópolis</t>
  </si>
  <si>
    <t>Generación de la información geográfica del territorio nacional en el municipio de Angelopolis</t>
  </si>
  <si>
    <t>Fortalecimiento del sistema penitenciario y carcelario en el marco de los derechos humanos en el municipio de Angelopolis</t>
  </si>
  <si>
    <t>Fortalecimiento a la promoción de los métodos de resolución de conflictos en el municipio de Angelopolis</t>
  </si>
  <si>
    <t>Fortalecimiento a la promoción al acceso a la justicia en el municipio de Angelopolis</t>
  </si>
  <si>
    <t>Protección y defensa de los Derechos Humanos y el Derecho Internacional Humanitario en el municipio de Angelopolis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</si>
</sst>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quot;#,##0_);[Red]\(&quot;$&quot;#,##0\)"/>
    <numFmt numFmtId="165" formatCode="_(* #,##0.00_);_(* \(#,##0.00\);_(* &quot;-&quot;??_);_(@_)"/>
    <numFmt numFmtId="166" formatCode="&quot;$&quot;#,##0.00"/>
    <numFmt numFmtId="167" formatCode="&quot;$&quot;#,##0"/>
    <numFmt numFmtId="168" formatCode="0.0"/>
  </numFmts>
  <fonts count="9" x14ac:knownFonts="1">
    <font>
      <sz val="11"/>
      <color theme="1"/>
      <name val="Calibri"/>
      <family val="2"/>
      <scheme val="minor"/>
    </font>
    <font>
      <sz val="11"/>
      <color theme="1"/>
      <name val="Calibri"/>
      <family val="2"/>
      <scheme val="minor"/>
    </font>
    <font>
      <b/>
      <sz val="11"/>
      <color theme="1"/>
      <name val="Calibri"/>
      <family val="2"/>
      <scheme val="minor"/>
    </font>
    <font>
      <b/>
      <sz val="11"/>
      <color rgb="FF1C2F33"/>
      <name val="Calibri"/>
      <family val="2"/>
      <scheme val="minor"/>
    </font>
    <font>
      <b/>
      <sz val="11"/>
      <name val="Calibri"/>
      <family val="2"/>
      <scheme val="minor"/>
    </font>
    <font>
      <sz val="11"/>
      <name val="Calibri"/>
      <family val="2"/>
      <scheme val="minor"/>
    </font>
    <font>
      <sz val="11"/>
      <name val="Calibri"/>
    </font>
    <font>
      <sz val="11"/>
      <name val="Calibri"/>
      <family val="2"/>
    </font>
    <font>
      <sz val="11"/>
      <color rgb="FF000000"/>
      <name val="Calibri"/>
      <family val="2"/>
      <scheme val="minor"/>
    </font>
  </fonts>
  <fills count="9">
    <fill>
      <patternFill patternType="none"/>
    </fill>
    <fill>
      <patternFill patternType="gray125"/>
    </fill>
    <fill>
      <patternFill patternType="solid">
        <fgColor rgb="FF6EBACC"/>
        <bgColor indexed="64"/>
      </patternFill>
    </fill>
    <fill>
      <patternFill patternType="solid">
        <fgColor theme="5" tint="0.79998168889431442"/>
        <bgColor indexed="64"/>
      </patternFill>
    </fill>
    <fill>
      <patternFill patternType="solid">
        <fgColor rgb="FFFF0000"/>
        <bgColor indexed="64"/>
      </patternFill>
    </fill>
    <fill>
      <patternFill patternType="solid">
        <fgColor theme="4" tint="-0.249977111117893"/>
        <bgColor indexed="64"/>
      </patternFill>
    </fill>
    <fill>
      <patternFill patternType="solid">
        <fgColor rgb="FF00B050"/>
        <bgColor indexed="64"/>
      </patternFill>
    </fill>
    <fill>
      <patternFill patternType="solid">
        <fgColor rgb="FFFFFF00"/>
        <bgColor indexed="64"/>
      </patternFill>
    </fill>
    <fill>
      <patternFill patternType="solid">
        <fgColor rgb="FFFFC0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rgb="FFECECEC"/>
      </left>
      <right style="thin">
        <color rgb="FFECECEC"/>
      </right>
      <top style="thin">
        <color rgb="FFECECEC"/>
      </top>
      <bottom style="thin">
        <color rgb="FFECECEC"/>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diagonal/>
    </border>
  </borders>
  <cellStyleXfs count="6">
    <xf numFmtId="0" fontId="0" fillId="0" borderId="0"/>
    <xf numFmtId="0" fontId="1" fillId="0" borderId="0"/>
    <xf numFmtId="0" fontId="3" fillId="2" borderId="2" applyAlignment="0">
      <alignment horizontal="center" vertical="center" wrapText="1"/>
    </xf>
    <xf numFmtId="0" fontId="6" fillId="0" borderId="0"/>
    <xf numFmtId="0" fontId="7" fillId="0" borderId="0"/>
    <xf numFmtId="165" fontId="1" fillId="0" borderId="0" applyFont="0" applyFill="0" applyBorder="0" applyAlignment="0" applyProtection="0"/>
  </cellStyleXfs>
  <cellXfs count="104">
    <xf numFmtId="0" fontId="0" fillId="0" borderId="0" xfId="0"/>
    <xf numFmtId="0" fontId="0" fillId="0" borderId="0" xfId="0" applyFill="1"/>
    <xf numFmtId="166" fontId="4" fillId="0" borderId="3" xfId="2" applyNumberFormat="1" applyFont="1" applyFill="1" applyBorder="1" applyAlignment="1">
      <alignment horizontal="center" vertical="center" wrapText="1"/>
    </xf>
    <xf numFmtId="0" fontId="2" fillId="0" borderId="0" xfId="0" applyFont="1" applyFill="1" applyAlignment="1">
      <alignment horizontal="center" vertical="center" wrapText="1"/>
    </xf>
    <xf numFmtId="167" fontId="0" fillId="0" borderId="0" xfId="0" applyNumberFormat="1" applyFill="1"/>
    <xf numFmtId="0" fontId="0" fillId="0" borderId="0" xfId="0" applyFill="1" applyAlignment="1"/>
    <xf numFmtId="0" fontId="0" fillId="0" borderId="0" xfId="0" applyFill="1" applyAlignment="1">
      <alignment horizontal="center" vertical="center"/>
    </xf>
    <xf numFmtId="0" fontId="0" fillId="0" borderId="0" xfId="0" applyFill="1" applyAlignment="1">
      <alignment horizontal="center"/>
    </xf>
    <xf numFmtId="166" fontId="0" fillId="0" borderId="0" xfId="0" applyNumberFormat="1" applyFill="1"/>
    <xf numFmtId="0" fontId="2" fillId="0" borderId="3" xfId="0" applyFont="1" applyFill="1" applyBorder="1" applyAlignment="1">
      <alignment vertical="center" wrapText="1"/>
    </xf>
    <xf numFmtId="0" fontId="2" fillId="0" borderId="3" xfId="0" applyFont="1" applyFill="1" applyBorder="1" applyAlignment="1">
      <alignment horizontal="center" vertical="center" wrapText="1"/>
    </xf>
    <xf numFmtId="1" fontId="0" fillId="0" borderId="0" xfId="0" applyNumberFormat="1" applyFill="1"/>
    <xf numFmtId="0" fontId="4" fillId="0" borderId="3" xfId="2" applyFont="1" applyFill="1" applyBorder="1" applyAlignment="1">
      <alignment horizontal="center" vertical="center" wrapText="1"/>
    </xf>
    <xf numFmtId="164" fontId="0" fillId="0" borderId="0" xfId="0" applyNumberFormat="1" applyFill="1"/>
    <xf numFmtId="167" fontId="4" fillId="0" borderId="6" xfId="2" applyNumberFormat="1" applyFont="1" applyFill="1" applyBorder="1" applyAlignment="1">
      <alignment horizontal="center" vertical="center" wrapText="1"/>
    </xf>
    <xf numFmtId="167" fontId="4" fillId="0" borderId="3" xfId="2" applyNumberFormat="1" applyFont="1" applyFill="1" applyBorder="1" applyAlignment="1">
      <alignment horizontal="center" vertical="center" wrapText="1"/>
    </xf>
    <xf numFmtId="0" fontId="5" fillId="0" borderId="1" xfId="0" applyFont="1" applyFill="1" applyBorder="1" applyAlignment="1">
      <alignment horizontal="left" vertical="top"/>
    </xf>
    <xf numFmtId="0" fontId="0" fillId="0" borderId="5" xfId="0" applyFont="1" applyFill="1" applyBorder="1" applyAlignment="1">
      <alignment horizontal="left" vertical="top"/>
    </xf>
    <xf numFmtId="0" fontId="5" fillId="0" borderId="5" xfId="3" applyFont="1" applyFill="1" applyBorder="1" applyAlignment="1">
      <alignment horizontal="left" vertical="top"/>
    </xf>
    <xf numFmtId="0" fontId="0" fillId="0" borderId="5" xfId="0" applyFont="1" applyFill="1" applyBorder="1" applyAlignment="1">
      <alignment horizontal="center"/>
    </xf>
    <xf numFmtId="0" fontId="0" fillId="0" borderId="1" xfId="0" applyFont="1" applyFill="1" applyBorder="1" applyAlignment="1">
      <alignment horizontal="left" vertical="top"/>
    </xf>
    <xf numFmtId="0" fontId="5" fillId="0" borderId="1" xfId="3" applyFont="1" applyFill="1" applyBorder="1" applyAlignment="1">
      <alignment horizontal="left" vertical="top"/>
    </xf>
    <xf numFmtId="0" fontId="0" fillId="0" borderId="1" xfId="0" applyFont="1" applyFill="1" applyBorder="1" applyAlignment="1">
      <alignment horizontal="center"/>
    </xf>
    <xf numFmtId="1" fontId="0" fillId="0" borderId="1" xfId="0" applyNumberFormat="1" applyFont="1" applyFill="1" applyBorder="1"/>
    <xf numFmtId="0" fontId="0" fillId="0" borderId="1" xfId="0" applyNumberFormat="1" applyFont="1" applyFill="1" applyBorder="1" applyAlignment="1">
      <alignment horizontal="left" vertical="top"/>
    </xf>
    <xf numFmtId="0" fontId="8" fillId="0" borderId="1" xfId="0" applyFont="1" applyFill="1" applyBorder="1" applyAlignment="1">
      <alignment horizontal="left" vertical="top"/>
    </xf>
    <xf numFmtId="0" fontId="8" fillId="0" borderId="1" xfId="0" applyFont="1" applyFill="1" applyBorder="1" applyAlignment="1">
      <alignment horizontal="left" vertical="top" wrapText="1"/>
    </xf>
    <xf numFmtId="1" fontId="0" fillId="0" borderId="5" xfId="0" applyNumberFormat="1" applyFont="1" applyFill="1" applyBorder="1" applyAlignment="1">
      <alignment horizontal="right" vertical="top"/>
    </xf>
    <xf numFmtId="0" fontId="0" fillId="0" borderId="5" xfId="0" applyFont="1" applyFill="1" applyBorder="1" applyAlignment="1">
      <alignment horizontal="right" vertical="top"/>
    </xf>
    <xf numFmtId="1" fontId="0" fillId="0" borderId="1" xfId="0" applyNumberFormat="1" applyFont="1" applyFill="1" applyBorder="1" applyAlignment="1">
      <alignment horizontal="right" vertical="top"/>
    </xf>
    <xf numFmtId="0" fontId="0" fillId="0" borderId="1" xfId="0" applyFont="1" applyFill="1" applyBorder="1" applyAlignment="1">
      <alignment horizontal="right" vertical="top"/>
    </xf>
    <xf numFmtId="0" fontId="0" fillId="0" borderId="1" xfId="0" applyNumberFormat="1" applyFont="1" applyFill="1" applyBorder="1" applyAlignment="1">
      <alignment horizontal="right" vertical="top"/>
    </xf>
    <xf numFmtId="0" fontId="8" fillId="0" borderId="1" xfId="0" applyFont="1" applyFill="1" applyBorder="1" applyAlignment="1">
      <alignment horizontal="right" vertical="top"/>
    </xf>
    <xf numFmtId="1" fontId="0" fillId="0" borderId="0" xfId="0" applyNumberFormat="1" applyFill="1" applyAlignment="1">
      <alignment horizontal="center"/>
    </xf>
    <xf numFmtId="1" fontId="0" fillId="0" borderId="5" xfId="0" applyNumberFormat="1" applyFont="1" applyFill="1" applyBorder="1" applyAlignment="1">
      <alignment horizontal="center"/>
    </xf>
    <xf numFmtId="0" fontId="0" fillId="0" borderId="1" xfId="0" applyFont="1" applyFill="1" applyBorder="1" applyAlignment="1">
      <alignment horizontal="left" vertical="top" wrapText="1"/>
    </xf>
    <xf numFmtId="1" fontId="0" fillId="0" borderId="1" xfId="0" applyNumberFormat="1" applyFont="1" applyFill="1" applyBorder="1" applyAlignment="1">
      <alignment horizontal="center"/>
    </xf>
    <xf numFmtId="1" fontId="0" fillId="0" borderId="1" xfId="0" applyNumberFormat="1" applyFont="1" applyFill="1" applyBorder="1" applyAlignment="1">
      <alignment horizontal="right" vertical="top" wrapText="1"/>
    </xf>
    <xf numFmtId="0" fontId="0" fillId="0" borderId="1" xfId="0" applyFont="1" applyFill="1" applyBorder="1" applyAlignment="1">
      <alignment horizontal="right" vertical="top" wrapText="1"/>
    </xf>
    <xf numFmtId="0" fontId="0" fillId="0" borderId="1" xfId="0" applyFont="1" applyFill="1" applyBorder="1" applyAlignment="1">
      <alignment horizontal="center" wrapText="1"/>
    </xf>
    <xf numFmtId="1" fontId="0" fillId="0" borderId="5" xfId="0" applyNumberFormat="1" applyFont="1" applyFill="1" applyBorder="1" applyAlignment="1">
      <alignment horizontal="center" wrapText="1"/>
    </xf>
    <xf numFmtId="0" fontId="0" fillId="0" borderId="0" xfId="0" applyFill="1" applyAlignment="1">
      <alignment wrapText="1"/>
    </xf>
    <xf numFmtId="1" fontId="0" fillId="0" borderId="1" xfId="0" applyNumberFormat="1" applyFont="1" applyFill="1" applyBorder="1" applyAlignment="1">
      <alignment horizontal="center" wrapText="1"/>
    </xf>
    <xf numFmtId="0" fontId="8" fillId="0" borderId="1" xfId="0" applyFont="1" applyFill="1" applyBorder="1" applyAlignment="1">
      <alignment horizontal="right" vertical="top" wrapText="1"/>
    </xf>
    <xf numFmtId="0" fontId="0" fillId="0" borderId="14" xfId="0" applyFill="1" applyBorder="1"/>
    <xf numFmtId="1" fontId="0" fillId="0" borderId="5" xfId="0" applyNumberFormat="1" applyFont="1" applyFill="1" applyBorder="1"/>
    <xf numFmtId="0" fontId="0" fillId="0" borderId="1" xfId="0" applyFill="1" applyBorder="1"/>
    <xf numFmtId="0" fontId="5" fillId="4" borderId="1" xfId="0" applyFont="1" applyFill="1" applyBorder="1" applyAlignment="1">
      <alignment horizontal="left" vertical="top"/>
    </xf>
    <xf numFmtId="0" fontId="5" fillId="4" borderId="1" xfId="0" applyFont="1" applyFill="1" applyBorder="1" applyAlignment="1">
      <alignment horizontal="right" vertical="top"/>
    </xf>
    <xf numFmtId="0" fontId="5" fillId="4" borderId="1" xfId="0" applyFont="1" applyFill="1" applyBorder="1" applyAlignment="1">
      <alignment horizontal="center"/>
    </xf>
    <xf numFmtId="0" fontId="0" fillId="5" borderId="1" xfId="0" applyFont="1" applyFill="1" applyBorder="1" applyAlignment="1">
      <alignment horizontal="center"/>
    </xf>
    <xf numFmtId="0" fontId="0" fillId="0" borderId="1" xfId="0" applyFont="1" applyFill="1" applyBorder="1" applyAlignment="1">
      <alignment horizontal="center" vertical="center"/>
    </xf>
    <xf numFmtId="0" fontId="0" fillId="0" borderId="1" xfId="0" applyFill="1" applyBorder="1" applyAlignment="1">
      <alignment vertical="top" wrapText="1"/>
    </xf>
    <xf numFmtId="0" fontId="0" fillId="0" borderId="1" xfId="0" applyFill="1" applyBorder="1" applyAlignment="1">
      <alignment wrapText="1"/>
    </xf>
    <xf numFmtId="0" fontId="0" fillId="6" borderId="1" xfId="0" applyFont="1" applyFill="1" applyBorder="1" applyAlignment="1">
      <alignment horizontal="center"/>
    </xf>
    <xf numFmtId="0" fontId="0" fillId="6" borderId="1" xfId="0" applyFill="1" applyBorder="1"/>
    <xf numFmtId="0" fontId="0" fillId="0" borderId="1" xfId="0" applyFill="1" applyBorder="1" applyAlignment="1">
      <alignment vertical="center" wrapText="1"/>
    </xf>
    <xf numFmtId="0" fontId="0" fillId="0" borderId="1" xfId="0" applyFill="1" applyBorder="1" applyAlignment="1">
      <alignment horizontal="center"/>
    </xf>
    <xf numFmtId="0" fontId="0" fillId="0" borderId="1" xfId="0" applyFill="1" applyBorder="1" applyAlignment="1">
      <alignment horizontal="left" wrapText="1"/>
    </xf>
    <xf numFmtId="0" fontId="0" fillId="7" borderId="1" xfId="0" applyFont="1" applyFill="1" applyBorder="1" applyAlignment="1">
      <alignment horizontal="center"/>
    </xf>
    <xf numFmtId="0" fontId="0" fillId="8" borderId="1" xfId="0" applyFont="1" applyFill="1" applyBorder="1" applyAlignment="1">
      <alignment horizontal="center"/>
    </xf>
    <xf numFmtId="0" fontId="2" fillId="0" borderId="1" xfId="0" applyFont="1" applyFill="1" applyBorder="1" applyAlignment="1">
      <alignment horizontal="center" vertical="center" wrapText="1"/>
    </xf>
    <xf numFmtId="0" fontId="0" fillId="0" borderId="1" xfId="0" applyBorder="1"/>
    <xf numFmtId="0" fontId="2" fillId="0" borderId="1" xfId="0" applyFont="1" applyFill="1" applyBorder="1" applyAlignment="1">
      <alignment vertical="center" wrapText="1"/>
    </xf>
    <xf numFmtId="0" fontId="0" fillId="0" borderId="1" xfId="0" applyFill="1" applyBorder="1" applyAlignment="1">
      <alignment horizontal="center" wrapText="1"/>
    </xf>
    <xf numFmtId="1" fontId="0" fillId="0" borderId="1" xfId="0" applyNumberFormat="1" applyBorder="1"/>
    <xf numFmtId="0" fontId="0" fillId="0" borderId="0" xfId="0" applyFill="1" applyBorder="1"/>
    <xf numFmtId="0" fontId="5" fillId="0" borderId="1" xfId="0" applyFont="1" applyFill="1" applyBorder="1" applyAlignment="1">
      <alignment horizontal="right" vertical="top"/>
    </xf>
    <xf numFmtId="0" fontId="5" fillId="0" borderId="1" xfId="0" applyFont="1" applyFill="1" applyBorder="1" applyAlignment="1">
      <alignment horizontal="center"/>
    </xf>
    <xf numFmtId="0" fontId="5" fillId="0" borderId="5" xfId="0" applyFont="1" applyFill="1" applyBorder="1" applyAlignment="1">
      <alignment horizontal="center"/>
    </xf>
    <xf numFmtId="1" fontId="5" fillId="0" borderId="1" xfId="0" applyNumberFormat="1" applyFont="1" applyFill="1" applyBorder="1"/>
    <xf numFmtId="0" fontId="5" fillId="0" borderId="0" xfId="0" applyFont="1" applyFill="1"/>
    <xf numFmtId="168" fontId="0" fillId="0" borderId="1" xfId="0" applyNumberFormat="1" applyFont="1" applyFill="1" applyBorder="1" applyAlignment="1">
      <alignment horizontal="center" vertical="center"/>
    </xf>
    <xf numFmtId="168" fontId="0" fillId="0" borderId="1" xfId="0" applyNumberFormat="1" applyFont="1" applyFill="1" applyBorder="1" applyAlignment="1">
      <alignment horizontal="center"/>
    </xf>
    <xf numFmtId="168" fontId="0" fillId="0" borderId="1" xfId="0" applyNumberFormat="1" applyFill="1" applyBorder="1" applyAlignment="1">
      <alignment horizontal="center"/>
    </xf>
    <xf numFmtId="168" fontId="0" fillId="0" borderId="1" xfId="0" applyNumberFormat="1" applyFont="1" applyFill="1" applyBorder="1" applyAlignment="1">
      <alignment horizontal="center" wrapText="1"/>
    </xf>
    <xf numFmtId="168" fontId="5" fillId="0" borderId="1" xfId="0" applyNumberFormat="1" applyFont="1" applyFill="1" applyBorder="1" applyAlignment="1">
      <alignment horizontal="center"/>
    </xf>
    <xf numFmtId="0" fontId="0" fillId="0" borderId="1" xfId="0" applyBorder="1" applyAlignment="1">
      <alignment horizontal="left" vertical="top"/>
    </xf>
    <xf numFmtId="1" fontId="0" fillId="0" borderId="5" xfId="0" applyNumberFormat="1" applyBorder="1" applyAlignment="1">
      <alignment horizontal="right" wrapText="1"/>
    </xf>
    <xf numFmtId="1" fontId="0" fillId="0" borderId="1" xfId="0" applyNumberFormat="1" applyBorder="1" applyAlignment="1">
      <alignment horizontal="right" wrapText="1"/>
    </xf>
    <xf numFmtId="0" fontId="0" fillId="0" borderId="1" xfId="0" applyBorder="1" applyAlignment="1">
      <alignment horizontal="left" vertical="top" wrapText="1"/>
    </xf>
    <xf numFmtId="0" fontId="0" fillId="0" borderId="5" xfId="0" applyBorder="1" applyAlignment="1">
      <alignment horizontal="left" vertical="top"/>
    </xf>
    <xf numFmtId="0" fontId="2" fillId="0" borderId="4" xfId="0" applyFont="1" applyFill="1" applyBorder="1" applyAlignment="1">
      <alignment horizontal="center" vertical="center" wrapText="1"/>
    </xf>
    <xf numFmtId="0" fontId="2" fillId="0" borderId="10"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9"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2" fillId="0" borderId="4" xfId="0" applyFont="1" applyFill="1" applyBorder="1" applyAlignment="1">
      <alignment horizontal="center" vertical="center"/>
    </xf>
    <xf numFmtId="0" fontId="2" fillId="0" borderId="10" xfId="0" applyFont="1" applyFill="1" applyBorder="1" applyAlignment="1">
      <alignment horizontal="center" vertical="center"/>
    </xf>
    <xf numFmtId="0" fontId="2" fillId="0" borderId="6"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2" fillId="0" borderId="12" xfId="0" applyFont="1" applyFill="1" applyBorder="1" applyAlignment="1">
      <alignment horizontal="center" vertical="center" wrapText="1"/>
    </xf>
    <xf numFmtId="0" fontId="2" fillId="0" borderId="13" xfId="0" applyFont="1" applyFill="1" applyBorder="1" applyAlignment="1">
      <alignment horizontal="center" vertical="center" wrapText="1"/>
    </xf>
    <xf numFmtId="167" fontId="4" fillId="0" borderId="4" xfId="2" applyNumberFormat="1" applyFont="1" applyFill="1" applyBorder="1" applyAlignment="1">
      <alignment horizontal="center" vertical="center" wrapText="1"/>
    </xf>
    <xf numFmtId="167" fontId="4" fillId="0" borderId="10" xfId="2" applyNumberFormat="1" applyFont="1" applyFill="1" applyBorder="1" applyAlignment="1">
      <alignment horizontal="center" vertical="center" wrapText="1"/>
    </xf>
    <xf numFmtId="1" fontId="2" fillId="0" borderId="4" xfId="0" applyNumberFormat="1" applyFont="1" applyFill="1" applyBorder="1" applyAlignment="1">
      <alignment horizontal="center" vertical="center" wrapText="1"/>
    </xf>
    <xf numFmtId="1" fontId="2" fillId="0" borderId="10"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5"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1" xfId="0" applyFont="1" applyFill="1" applyBorder="1" applyAlignment="1">
      <alignment horizontal="center" vertical="center"/>
    </xf>
    <xf numFmtId="0" fontId="2" fillId="3" borderId="1" xfId="0" applyFont="1" applyFill="1" applyBorder="1" applyAlignment="1">
      <alignment horizontal="center" vertical="center" wrapText="1"/>
    </xf>
  </cellXfs>
  <cellStyles count="6">
    <cellStyle name="KPT06_Main" xfId="2"/>
    <cellStyle name="Millares 2" xfId="5"/>
    <cellStyle name="Normal" xfId="0" builtinId="0"/>
    <cellStyle name="Normal 2" xfId="4"/>
    <cellStyle name="Normal 2 3 2 2" xfId="1"/>
    <cellStyle name="Normal 3"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'estadisticas (2)'!$AE$108</c:f>
              <c:strCache>
                <c:ptCount val="1"/>
                <c:pt idx="0">
                  <c:v>LÍNEA 1: UNIDOS POR ANGELÓPOLIS SOCIAL, EQUITATIVO Y DIVERSO  </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'estadisticas (2)'!$AF$107:$AJ$107</c:f>
              <c:strCache>
                <c:ptCount val="5"/>
                <c:pt idx="0">
                  <c:v>N° metas programadas </c:v>
                </c:pt>
                <c:pt idx="1">
                  <c:v>N° de metas cumplidas</c:v>
                </c:pt>
                <c:pt idx="2">
                  <c:v>N° de metas cumplidas parcialmente</c:v>
                </c:pt>
                <c:pt idx="3">
                  <c:v>N° de metas no cumplidas</c:v>
                </c:pt>
                <c:pt idx="4">
                  <c:v>% de cumplimiento</c:v>
                </c:pt>
              </c:strCache>
            </c:strRef>
          </c:cat>
          <c:val>
            <c:numRef>
              <c:f>'estadisticas (2)'!$AF$108:$AJ$108</c:f>
              <c:numCache>
                <c:formatCode>General</c:formatCode>
                <c:ptCount val="5"/>
                <c:pt idx="0">
                  <c:v>49</c:v>
                </c:pt>
                <c:pt idx="1">
                  <c:v>40</c:v>
                </c:pt>
                <c:pt idx="2">
                  <c:v>6</c:v>
                </c:pt>
                <c:pt idx="3">
                  <c:v>3</c:v>
                </c:pt>
                <c:pt idx="4">
                  <c:v>90</c:v>
                </c:pt>
              </c:numCache>
            </c:numRef>
          </c:val>
          <c:extLst xmlns:c16r2="http://schemas.microsoft.com/office/drawing/2015/06/chart">
            <c:ext xmlns:c16="http://schemas.microsoft.com/office/drawing/2014/chart" uri="{C3380CC4-5D6E-409C-BE32-E72D297353CC}">
              <c16:uniqueId val="{00000000-EA35-436C-8936-D4268887868D}"/>
            </c:ext>
          </c:extLst>
        </c:ser>
        <c:dLbls>
          <c:showLegendKey val="0"/>
          <c:showVal val="1"/>
          <c:showCatName val="0"/>
          <c:showSerName val="0"/>
          <c:showPercent val="0"/>
          <c:showBubbleSize val="0"/>
        </c:dLbls>
        <c:gapWidth val="150"/>
        <c:shape val="box"/>
        <c:axId val="503623456"/>
        <c:axId val="503625808"/>
        <c:axId val="0"/>
      </c:bar3DChart>
      <c:catAx>
        <c:axId val="503623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503625808"/>
        <c:crosses val="autoZero"/>
        <c:auto val="1"/>
        <c:lblAlgn val="ctr"/>
        <c:lblOffset val="100"/>
        <c:noMultiLvlLbl val="0"/>
      </c:catAx>
      <c:valAx>
        <c:axId val="50362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503623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'estadisticas (2)'!$AE$112</c:f>
              <c:strCache>
                <c:ptCount val="1"/>
                <c:pt idx="0">
                  <c:v>LÍNEA 2: UNIDOS POR ANGELÓPOLIS  CON ECONOMÍA PRODUCTIVA Y PRÓSPERA</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(2)'!$AF$111:$AJ$111</c:f>
              <c:strCache>
                <c:ptCount val="5"/>
                <c:pt idx="0">
                  <c:v>N° metas programadas </c:v>
                </c:pt>
                <c:pt idx="1">
                  <c:v>N° de metas cumplidas</c:v>
                </c:pt>
                <c:pt idx="2">
                  <c:v>N° de metas cumplidas parcialmente</c:v>
                </c:pt>
                <c:pt idx="3">
                  <c:v>N° de metas no cumplidas</c:v>
                </c:pt>
                <c:pt idx="4">
                  <c:v>% de cumplimiento</c:v>
                </c:pt>
              </c:strCache>
            </c:strRef>
          </c:cat>
          <c:val>
            <c:numRef>
              <c:f>'estadisticas (2)'!$AF$112:$AJ$112</c:f>
              <c:numCache>
                <c:formatCode>General</c:formatCode>
                <c:ptCount val="5"/>
                <c:pt idx="0">
                  <c:v>9</c:v>
                </c:pt>
                <c:pt idx="1">
                  <c:v>9</c:v>
                </c:pt>
                <c:pt idx="2">
                  <c:v>0</c:v>
                </c:pt>
                <c:pt idx="3">
                  <c:v>0</c:v>
                </c:pt>
                <c:pt idx="4">
                  <c:v>100</c:v>
                </c:pt>
              </c:numCache>
            </c:numRef>
          </c:val>
          <c:extLst xmlns:c16r2="http://schemas.microsoft.com/office/drawing/2015/06/chart">
            <c:ext xmlns:c16="http://schemas.microsoft.com/office/drawing/2014/chart" uri="{C3380CC4-5D6E-409C-BE32-E72D297353CC}">
              <c16:uniqueId val="{00000000-6036-464F-A1F5-6D8B558AD39D}"/>
            </c:ext>
          </c:extLst>
        </c:ser>
        <c:dLbls>
          <c:showLegendKey val="0"/>
          <c:showVal val="1"/>
          <c:showCatName val="0"/>
          <c:showSerName val="0"/>
          <c:showPercent val="0"/>
          <c:showBubbleSize val="0"/>
        </c:dLbls>
        <c:gapWidth val="150"/>
        <c:shape val="box"/>
        <c:axId val="503621104"/>
        <c:axId val="503627768"/>
        <c:axId val="0"/>
      </c:bar3DChart>
      <c:catAx>
        <c:axId val="503621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3627768"/>
        <c:crosses val="autoZero"/>
        <c:auto val="1"/>
        <c:lblAlgn val="ctr"/>
        <c:lblOffset val="100"/>
        <c:noMultiLvlLbl val="0"/>
      </c:catAx>
      <c:valAx>
        <c:axId val="503627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36211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'estadisticas (2)'!$AE$115</c:f>
              <c:strCache>
                <c:ptCount val="1"/>
                <c:pt idx="0">
                  <c:v>LÍNEA 3:UNIDOS POR ANGELÓPOLIS ECO TURÍSTICO Y PROTEGIDO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(2)'!$AF$114:$AJ$114</c:f>
              <c:strCache>
                <c:ptCount val="5"/>
                <c:pt idx="0">
                  <c:v>N° metas programadas </c:v>
                </c:pt>
                <c:pt idx="1">
                  <c:v>N° de metas cumplidas</c:v>
                </c:pt>
                <c:pt idx="2">
                  <c:v>N° de metas cumplidas parcialmente</c:v>
                </c:pt>
                <c:pt idx="3">
                  <c:v>N° de metas no cumplidas</c:v>
                </c:pt>
                <c:pt idx="4">
                  <c:v>% de cumplimiento</c:v>
                </c:pt>
              </c:strCache>
            </c:strRef>
          </c:cat>
          <c:val>
            <c:numRef>
              <c:f>'estadisticas (2)'!$AF$115:$AJ$115</c:f>
              <c:numCache>
                <c:formatCode>General</c:formatCode>
                <c:ptCount val="5"/>
                <c:pt idx="0">
                  <c:v>10</c:v>
                </c:pt>
                <c:pt idx="1">
                  <c:v>8</c:v>
                </c:pt>
                <c:pt idx="2">
                  <c:v>2</c:v>
                </c:pt>
                <c:pt idx="3">
                  <c:v>0</c:v>
                </c:pt>
                <c:pt idx="4">
                  <c:v>92</c:v>
                </c:pt>
              </c:numCache>
            </c:numRef>
          </c:val>
          <c:extLst xmlns:c16r2="http://schemas.microsoft.com/office/drawing/2015/06/chart">
            <c:ext xmlns:c16="http://schemas.microsoft.com/office/drawing/2014/chart" uri="{C3380CC4-5D6E-409C-BE32-E72D297353CC}">
              <c16:uniqueId val="{00000000-351C-4248-8583-B6C562998229}"/>
            </c:ext>
          </c:extLst>
        </c:ser>
        <c:dLbls>
          <c:showLegendKey val="0"/>
          <c:showVal val="1"/>
          <c:showCatName val="0"/>
          <c:showSerName val="0"/>
          <c:showPercent val="0"/>
          <c:showBubbleSize val="0"/>
        </c:dLbls>
        <c:gapWidth val="150"/>
        <c:shape val="box"/>
        <c:axId val="503625024"/>
        <c:axId val="503625416"/>
        <c:axId val="0"/>
      </c:bar3DChart>
      <c:catAx>
        <c:axId val="5036250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3625416"/>
        <c:crosses val="autoZero"/>
        <c:auto val="1"/>
        <c:lblAlgn val="ctr"/>
        <c:lblOffset val="100"/>
        <c:noMultiLvlLbl val="0"/>
      </c:catAx>
      <c:valAx>
        <c:axId val="503625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3625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'estadisticas (2)'!$AE$126</c:f>
              <c:strCache>
                <c:ptCount val="1"/>
                <c:pt idx="0">
                  <c:v>LÍNEA 4: UNIDOS POR ANGELÓPOLIS CON INFRAESTRUCTURA  PARA EL DESARROLLO TERRITORIAL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(2)'!$AF$125:$AJ$125</c:f>
              <c:strCache>
                <c:ptCount val="5"/>
                <c:pt idx="0">
                  <c:v>N° metas programadas </c:v>
                </c:pt>
                <c:pt idx="1">
                  <c:v>N° de metas cumplidas</c:v>
                </c:pt>
                <c:pt idx="2">
                  <c:v>N° de metas cumplidas parcialmente</c:v>
                </c:pt>
                <c:pt idx="3">
                  <c:v>N° de metas no cumplidas</c:v>
                </c:pt>
                <c:pt idx="4">
                  <c:v>% de cumplimiento</c:v>
                </c:pt>
              </c:strCache>
            </c:strRef>
          </c:cat>
          <c:val>
            <c:numRef>
              <c:f>'estadisticas (2)'!$AF$126:$AJ$126</c:f>
              <c:numCache>
                <c:formatCode>General</c:formatCode>
                <c:ptCount val="5"/>
                <c:pt idx="0">
                  <c:v>10</c:v>
                </c:pt>
                <c:pt idx="1">
                  <c:v>7</c:v>
                </c:pt>
                <c:pt idx="2">
                  <c:v>1</c:v>
                </c:pt>
                <c:pt idx="3">
                  <c:v>2</c:v>
                </c:pt>
                <c:pt idx="4">
                  <c:v>74</c:v>
                </c:pt>
              </c:numCache>
            </c:numRef>
          </c:val>
          <c:extLst xmlns:c16r2="http://schemas.microsoft.com/office/drawing/2015/06/chart">
            <c:ext xmlns:c16="http://schemas.microsoft.com/office/drawing/2014/chart" uri="{C3380CC4-5D6E-409C-BE32-E72D297353CC}">
              <c16:uniqueId val="{00000000-011B-4B6C-BB0A-AE9CD2694A07}"/>
            </c:ext>
          </c:extLst>
        </c:ser>
        <c:dLbls>
          <c:showLegendKey val="0"/>
          <c:showVal val="1"/>
          <c:showCatName val="0"/>
          <c:showSerName val="0"/>
          <c:showPercent val="0"/>
          <c:showBubbleSize val="0"/>
        </c:dLbls>
        <c:gapWidth val="150"/>
        <c:shape val="box"/>
        <c:axId val="503629336"/>
        <c:axId val="503626592"/>
        <c:axId val="0"/>
      </c:bar3DChart>
      <c:catAx>
        <c:axId val="503629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b"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3626592"/>
        <c:crosses val="autoZero"/>
        <c:auto val="1"/>
        <c:lblAlgn val="ctr"/>
        <c:lblOffset val="100"/>
        <c:noMultiLvlLbl val="0"/>
      </c:catAx>
      <c:valAx>
        <c:axId val="503626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36293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'estadisticas (2)'!$AE$130</c:f>
              <c:strCache>
                <c:ptCount val="1"/>
                <c:pt idx="0">
                  <c:v>LÍNEA 5: UNIDOS POR UN ANGELÓPOLIS CON UN GOBIERNO CERCANO Y TRANSFORMADOR</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(2)'!$AF$129:$AJ$129</c:f>
              <c:strCache>
                <c:ptCount val="5"/>
                <c:pt idx="0">
                  <c:v>N° metas programadas </c:v>
                </c:pt>
                <c:pt idx="1">
                  <c:v>N° de metas cumplidas</c:v>
                </c:pt>
                <c:pt idx="2">
                  <c:v>N° de metas cumplidas parcialmente</c:v>
                </c:pt>
                <c:pt idx="3">
                  <c:v>N° de metas no cumplidas</c:v>
                </c:pt>
                <c:pt idx="4">
                  <c:v>% de cumplimiento</c:v>
                </c:pt>
              </c:strCache>
            </c:strRef>
          </c:cat>
          <c:val>
            <c:numRef>
              <c:f>'estadisticas (2)'!$AF$130:$AJ$130</c:f>
              <c:numCache>
                <c:formatCode>General</c:formatCode>
                <c:ptCount val="5"/>
                <c:pt idx="0">
                  <c:v>18</c:v>
                </c:pt>
                <c:pt idx="1">
                  <c:v>18</c:v>
                </c:pt>
                <c:pt idx="2">
                  <c:v>0</c:v>
                </c:pt>
                <c:pt idx="3">
                  <c:v>0</c:v>
                </c:pt>
                <c:pt idx="4">
                  <c:v>100</c:v>
                </c:pt>
              </c:numCache>
            </c:numRef>
          </c:val>
          <c:extLst xmlns:c16r2="http://schemas.microsoft.com/office/drawing/2015/06/chart">
            <c:ext xmlns:c16="http://schemas.microsoft.com/office/drawing/2014/chart" uri="{C3380CC4-5D6E-409C-BE32-E72D297353CC}">
              <c16:uniqueId val="{00000000-9C6F-487C-9261-E4EB6AD9665C}"/>
            </c:ext>
          </c:extLst>
        </c:ser>
        <c:dLbls>
          <c:showLegendKey val="0"/>
          <c:showVal val="1"/>
          <c:showCatName val="0"/>
          <c:showSerName val="0"/>
          <c:showPercent val="0"/>
          <c:showBubbleSize val="0"/>
        </c:dLbls>
        <c:gapWidth val="150"/>
        <c:shape val="box"/>
        <c:axId val="503617968"/>
        <c:axId val="503626984"/>
        <c:axId val="0"/>
      </c:bar3DChart>
      <c:catAx>
        <c:axId val="503617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3626984"/>
        <c:crosses val="autoZero"/>
        <c:auto val="1"/>
        <c:lblAlgn val="ctr"/>
        <c:lblOffset val="100"/>
        <c:noMultiLvlLbl val="0"/>
      </c:catAx>
      <c:valAx>
        <c:axId val="503626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36179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'estadisticas (2)'!$W$109</c:f>
              <c:strCache>
                <c:ptCount val="1"/>
                <c:pt idx="0">
                  <c:v>AGRICULTURA Y DESARROLLO RURAL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(2)'!$X$108:$AB$108</c:f>
              <c:strCache>
                <c:ptCount val="5"/>
                <c:pt idx="0">
                  <c:v>N° metas programadas </c:v>
                </c:pt>
                <c:pt idx="1">
                  <c:v>N° de metas cumplidas</c:v>
                </c:pt>
                <c:pt idx="2">
                  <c:v>N° de metas cumplidas parcialmente</c:v>
                </c:pt>
                <c:pt idx="3">
                  <c:v>N° de metas no cumplidas</c:v>
                </c:pt>
                <c:pt idx="4">
                  <c:v>% de cumplimiento</c:v>
                </c:pt>
              </c:strCache>
            </c:strRef>
          </c:cat>
          <c:val>
            <c:numRef>
              <c:f>'estadisticas (2)'!$X$109:$AB$109</c:f>
              <c:numCache>
                <c:formatCode>General</c:formatCode>
                <c:ptCount val="5"/>
                <c:pt idx="0">
                  <c:v>6</c:v>
                </c:pt>
                <c:pt idx="1">
                  <c:v>4</c:v>
                </c:pt>
                <c:pt idx="2">
                  <c:v>2</c:v>
                </c:pt>
                <c:pt idx="3">
                  <c:v>2</c:v>
                </c:pt>
                <c:pt idx="4">
                  <c:v>87</c:v>
                </c:pt>
              </c:numCache>
            </c:numRef>
          </c:val>
          <c:extLst xmlns:c16r2="http://schemas.microsoft.com/office/drawing/2015/06/chart">
            <c:ext xmlns:c16="http://schemas.microsoft.com/office/drawing/2014/chart" uri="{C3380CC4-5D6E-409C-BE32-E72D297353CC}">
              <c16:uniqueId val="{00000000-5161-4ABD-B58B-16CE54138C5A}"/>
            </c:ext>
          </c:extLst>
        </c:ser>
        <c:dLbls>
          <c:showLegendKey val="0"/>
          <c:showVal val="1"/>
          <c:showCatName val="0"/>
          <c:showSerName val="0"/>
          <c:showPercent val="0"/>
          <c:showBubbleSize val="0"/>
        </c:dLbls>
        <c:gapWidth val="150"/>
        <c:shape val="box"/>
        <c:axId val="503621888"/>
        <c:axId val="503622672"/>
        <c:axId val="0"/>
      </c:bar3DChart>
      <c:catAx>
        <c:axId val="503621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3622672"/>
        <c:crosses val="autoZero"/>
        <c:auto val="1"/>
        <c:lblAlgn val="ctr"/>
        <c:lblOffset val="100"/>
        <c:noMultiLvlLbl val="0"/>
      </c:catAx>
      <c:valAx>
        <c:axId val="50362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3621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'estadisticas (2)'!$W$112</c:f>
              <c:strCache>
                <c:ptCount val="1"/>
                <c:pt idx="0">
                  <c:v>AMBIENTE Y DESARROLLO SOSTENIBLE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(2)'!$X$111:$AB$111</c:f>
              <c:strCache>
                <c:ptCount val="5"/>
                <c:pt idx="0">
                  <c:v>N° metas programadas </c:v>
                </c:pt>
                <c:pt idx="1">
                  <c:v>N° de metas cumplidas</c:v>
                </c:pt>
                <c:pt idx="2">
                  <c:v>N° de metas cumplidas parcialmente</c:v>
                </c:pt>
                <c:pt idx="3">
                  <c:v>N° de metas no cumplidas</c:v>
                </c:pt>
                <c:pt idx="4">
                  <c:v>% de cumplimiento</c:v>
                </c:pt>
              </c:strCache>
            </c:strRef>
          </c:cat>
          <c:val>
            <c:numRef>
              <c:f>'estadisticas (2)'!$X$112:$AB$112</c:f>
              <c:numCache>
                <c:formatCode>General</c:formatCode>
                <c:ptCount val="5"/>
                <c:pt idx="0">
                  <c:v>4</c:v>
                </c:pt>
                <c:pt idx="1">
                  <c:v>4</c:v>
                </c:pt>
                <c:pt idx="2">
                  <c:v>0</c:v>
                </c:pt>
                <c:pt idx="3">
                  <c:v>0</c:v>
                </c:pt>
                <c:pt idx="4">
                  <c:v>100</c:v>
                </c:pt>
              </c:numCache>
            </c:numRef>
          </c:val>
          <c:extLst xmlns:c16r2="http://schemas.microsoft.com/office/drawing/2015/06/chart">
            <c:ext xmlns:c16="http://schemas.microsoft.com/office/drawing/2014/chart" uri="{C3380CC4-5D6E-409C-BE32-E72D297353CC}">
              <c16:uniqueId val="{00000000-487A-4E72-8A4D-00E0A39F58DE}"/>
            </c:ext>
          </c:extLst>
        </c:ser>
        <c:dLbls>
          <c:showLegendKey val="0"/>
          <c:showVal val="1"/>
          <c:showCatName val="0"/>
          <c:showSerName val="0"/>
          <c:showPercent val="0"/>
          <c:showBubbleSize val="0"/>
        </c:dLbls>
        <c:gapWidth val="150"/>
        <c:shape val="box"/>
        <c:axId val="503631688"/>
        <c:axId val="503632080"/>
        <c:axId val="0"/>
      </c:bar3DChart>
      <c:catAx>
        <c:axId val="503631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3632080"/>
        <c:crosses val="autoZero"/>
        <c:auto val="1"/>
        <c:lblAlgn val="ctr"/>
        <c:lblOffset val="100"/>
        <c:noMultiLvlLbl val="0"/>
      </c:catAx>
      <c:valAx>
        <c:axId val="503632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36316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'estadisticas (2)'!$W$115</c:f>
              <c:strCache>
                <c:ptCount val="1"/>
                <c:pt idx="0">
                  <c:v>COMERCIO, INDUSTRIA Y TURISMO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(2)'!$X$114:$AB$114</c:f>
              <c:strCache>
                <c:ptCount val="5"/>
                <c:pt idx="0">
                  <c:v>N° metas programadas </c:v>
                </c:pt>
                <c:pt idx="1">
                  <c:v>N° de metas cumplidas</c:v>
                </c:pt>
                <c:pt idx="2">
                  <c:v>N° de metas cumplidas parcialmente</c:v>
                </c:pt>
                <c:pt idx="3">
                  <c:v>N° de metas no cumplidas</c:v>
                </c:pt>
                <c:pt idx="4">
                  <c:v>% de cumplimiento</c:v>
                </c:pt>
              </c:strCache>
            </c:strRef>
          </c:cat>
          <c:val>
            <c:numRef>
              <c:f>'estadisticas (2)'!$X$115:$AB$115</c:f>
              <c:numCache>
                <c:formatCode>General</c:formatCode>
                <c:ptCount val="5"/>
                <c:pt idx="0">
                  <c:v>2</c:v>
                </c:pt>
                <c:pt idx="1">
                  <c:v>2</c:v>
                </c:pt>
                <c:pt idx="2">
                  <c:v>0</c:v>
                </c:pt>
                <c:pt idx="3">
                  <c:v>0</c:v>
                </c:pt>
                <c:pt idx="4">
                  <c:v>100</c:v>
                </c:pt>
              </c:numCache>
            </c:numRef>
          </c:val>
          <c:extLst xmlns:c16r2="http://schemas.microsoft.com/office/drawing/2015/06/chart">
            <c:ext xmlns:c16="http://schemas.microsoft.com/office/drawing/2014/chart" uri="{C3380CC4-5D6E-409C-BE32-E72D297353CC}">
              <c16:uniqueId val="{00000000-7831-4615-B765-101DA3EF45C6}"/>
            </c:ext>
          </c:extLst>
        </c:ser>
        <c:dLbls>
          <c:showLegendKey val="0"/>
          <c:showVal val="1"/>
          <c:showCatName val="0"/>
          <c:showSerName val="0"/>
          <c:showPercent val="0"/>
          <c:showBubbleSize val="0"/>
        </c:dLbls>
        <c:gapWidth val="150"/>
        <c:shape val="box"/>
        <c:axId val="503632472"/>
        <c:axId val="503633256"/>
        <c:axId val="0"/>
      </c:bar3DChart>
      <c:catAx>
        <c:axId val="503632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3633256"/>
        <c:crosses val="autoZero"/>
        <c:auto val="1"/>
        <c:lblAlgn val="ctr"/>
        <c:lblOffset val="100"/>
        <c:noMultiLvlLbl val="0"/>
      </c:catAx>
      <c:valAx>
        <c:axId val="503633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36324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'estadisticas (2)'!$W$118</c:f>
              <c:strCache>
                <c:ptCount val="1"/>
                <c:pt idx="0">
                  <c:v>CULTURA</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(2)'!$X$117:$AB$117</c:f>
              <c:strCache>
                <c:ptCount val="5"/>
                <c:pt idx="0">
                  <c:v>N° metas programadas </c:v>
                </c:pt>
                <c:pt idx="1">
                  <c:v>N° de metas cumplidas</c:v>
                </c:pt>
                <c:pt idx="2">
                  <c:v>N° de metas cumplidas parcialmente</c:v>
                </c:pt>
                <c:pt idx="3">
                  <c:v>N° de metas no cumplidas</c:v>
                </c:pt>
                <c:pt idx="4">
                  <c:v>% de cumplimiento</c:v>
                </c:pt>
              </c:strCache>
            </c:strRef>
          </c:cat>
          <c:val>
            <c:numRef>
              <c:f>'estadisticas (2)'!$X$118:$AB$118</c:f>
              <c:numCache>
                <c:formatCode>General</c:formatCode>
                <c:ptCount val="5"/>
                <c:pt idx="0">
                  <c:v>4</c:v>
                </c:pt>
                <c:pt idx="1">
                  <c:v>4</c:v>
                </c:pt>
                <c:pt idx="2">
                  <c:v>0</c:v>
                </c:pt>
                <c:pt idx="3">
                  <c:v>0</c:v>
                </c:pt>
                <c:pt idx="4">
                  <c:v>100</c:v>
                </c:pt>
              </c:numCache>
            </c:numRef>
          </c:val>
          <c:extLst xmlns:c16r2="http://schemas.microsoft.com/office/drawing/2015/06/chart">
            <c:ext xmlns:c16="http://schemas.microsoft.com/office/drawing/2014/chart" uri="{C3380CC4-5D6E-409C-BE32-E72D297353CC}">
              <c16:uniqueId val="{00000000-BAB6-4BD2-8926-69C6E8ADF8D9}"/>
            </c:ext>
          </c:extLst>
        </c:ser>
        <c:dLbls>
          <c:showLegendKey val="0"/>
          <c:showVal val="1"/>
          <c:showCatName val="0"/>
          <c:showSerName val="0"/>
          <c:showPercent val="0"/>
          <c:showBubbleSize val="0"/>
        </c:dLbls>
        <c:gapWidth val="150"/>
        <c:shape val="box"/>
        <c:axId val="503630904"/>
        <c:axId val="503632864"/>
        <c:axId val="0"/>
      </c:bar3DChart>
      <c:catAx>
        <c:axId val="503630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3632864"/>
        <c:crosses val="autoZero"/>
        <c:auto val="1"/>
        <c:lblAlgn val="ctr"/>
        <c:lblOffset val="100"/>
        <c:noMultiLvlLbl val="0"/>
      </c:catAx>
      <c:valAx>
        <c:axId val="503632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36309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'estadisticas (2)'!$W$121</c:f>
              <c:strCache>
                <c:ptCount val="1"/>
                <c:pt idx="0">
                  <c:v>DEPORTE Y RECREACIÓN</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(2)'!$X$120:$AB$120</c:f>
              <c:strCache>
                <c:ptCount val="5"/>
                <c:pt idx="0">
                  <c:v>N° metas programadas </c:v>
                </c:pt>
                <c:pt idx="1">
                  <c:v>N° de metas cumplidas</c:v>
                </c:pt>
                <c:pt idx="2">
                  <c:v>N° de metas cumplidas parcialmente</c:v>
                </c:pt>
                <c:pt idx="3">
                  <c:v>N° de metas no cumplidas</c:v>
                </c:pt>
                <c:pt idx="4">
                  <c:v>% de cumplimiento</c:v>
                </c:pt>
              </c:strCache>
            </c:strRef>
          </c:cat>
          <c:val>
            <c:numRef>
              <c:f>'estadisticas (2)'!$X$121:$AB$121</c:f>
              <c:numCache>
                <c:formatCode>General</c:formatCode>
                <c:ptCount val="5"/>
                <c:pt idx="0">
                  <c:v>5</c:v>
                </c:pt>
                <c:pt idx="1">
                  <c:v>4</c:v>
                </c:pt>
                <c:pt idx="2">
                  <c:v>1</c:v>
                </c:pt>
                <c:pt idx="3">
                  <c:v>0</c:v>
                </c:pt>
                <c:pt idx="4">
                  <c:v>98</c:v>
                </c:pt>
              </c:numCache>
            </c:numRef>
          </c:val>
          <c:extLst xmlns:c16r2="http://schemas.microsoft.com/office/drawing/2015/06/chart">
            <c:ext xmlns:c16="http://schemas.microsoft.com/office/drawing/2014/chart" uri="{C3380CC4-5D6E-409C-BE32-E72D297353CC}">
              <c16:uniqueId val="{00000000-DE62-4D7F-8974-085D5A0AE1A3}"/>
            </c:ext>
          </c:extLst>
        </c:ser>
        <c:dLbls>
          <c:showLegendKey val="0"/>
          <c:showVal val="1"/>
          <c:showCatName val="0"/>
          <c:showSerName val="0"/>
          <c:showPercent val="0"/>
          <c:showBubbleSize val="0"/>
        </c:dLbls>
        <c:gapWidth val="150"/>
        <c:shape val="box"/>
        <c:axId val="532810600"/>
        <c:axId val="496521736"/>
        <c:axId val="0"/>
      </c:bar3DChart>
      <c:catAx>
        <c:axId val="532810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96521736"/>
        <c:crosses val="autoZero"/>
        <c:auto val="1"/>
        <c:lblAlgn val="ctr"/>
        <c:lblOffset val="100"/>
        <c:noMultiLvlLbl val="0"/>
      </c:catAx>
      <c:valAx>
        <c:axId val="496521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328106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'estadisticas (2)'!$W$125</c:f>
              <c:strCache>
                <c:ptCount val="1"/>
                <c:pt idx="0">
                  <c:v>EDUCACIÓN</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(2)'!$X$124:$AB$124</c:f>
              <c:strCache>
                <c:ptCount val="5"/>
                <c:pt idx="0">
                  <c:v>N° metas programadas </c:v>
                </c:pt>
                <c:pt idx="1">
                  <c:v>N° de metas cumplidas</c:v>
                </c:pt>
                <c:pt idx="2">
                  <c:v>N° de metas cumplidas parcialmente</c:v>
                </c:pt>
                <c:pt idx="3">
                  <c:v>N° de metas no cumplidas</c:v>
                </c:pt>
                <c:pt idx="4">
                  <c:v>% de cumplimiento</c:v>
                </c:pt>
              </c:strCache>
            </c:strRef>
          </c:cat>
          <c:val>
            <c:numRef>
              <c:f>'estadisticas (2)'!$X$125:$AB$125</c:f>
              <c:numCache>
                <c:formatCode>General</c:formatCode>
                <c:ptCount val="5"/>
                <c:pt idx="0">
                  <c:v>11</c:v>
                </c:pt>
                <c:pt idx="1">
                  <c:v>5</c:v>
                </c:pt>
                <c:pt idx="2">
                  <c:v>3</c:v>
                </c:pt>
                <c:pt idx="3">
                  <c:v>3</c:v>
                </c:pt>
                <c:pt idx="4">
                  <c:v>64</c:v>
                </c:pt>
              </c:numCache>
            </c:numRef>
          </c:val>
          <c:extLst xmlns:c16r2="http://schemas.microsoft.com/office/drawing/2015/06/chart">
            <c:ext xmlns:c16="http://schemas.microsoft.com/office/drawing/2014/chart" uri="{C3380CC4-5D6E-409C-BE32-E72D297353CC}">
              <c16:uniqueId val="{00000000-506D-4183-B212-2B6E8B85DE62}"/>
            </c:ext>
          </c:extLst>
        </c:ser>
        <c:dLbls>
          <c:showLegendKey val="0"/>
          <c:showVal val="1"/>
          <c:showCatName val="0"/>
          <c:showSerName val="0"/>
          <c:showPercent val="0"/>
          <c:showBubbleSize val="0"/>
        </c:dLbls>
        <c:gapWidth val="150"/>
        <c:shape val="box"/>
        <c:axId val="527192280"/>
        <c:axId val="527196200"/>
        <c:axId val="0"/>
      </c:bar3DChart>
      <c:catAx>
        <c:axId val="527192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196200"/>
        <c:crosses val="autoZero"/>
        <c:auto val="1"/>
        <c:lblAlgn val="ctr"/>
        <c:lblOffset val="100"/>
        <c:noMultiLvlLbl val="0"/>
      </c:catAx>
      <c:valAx>
        <c:axId val="527196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1922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'estadisticas (2)'!$W$128</c:f>
              <c:strCache>
                <c:ptCount val="1"/>
                <c:pt idx="0">
                  <c:v>GOBIERNO TERRITORIAL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(2)'!$X$127:$AB$127</c:f>
              <c:strCache>
                <c:ptCount val="5"/>
                <c:pt idx="0">
                  <c:v>N° metas programadas </c:v>
                </c:pt>
                <c:pt idx="1">
                  <c:v>N° de metas cumplidas</c:v>
                </c:pt>
                <c:pt idx="2">
                  <c:v>N° de metas cumplidas parcialmente</c:v>
                </c:pt>
                <c:pt idx="3">
                  <c:v>N° de metas no cumplidas</c:v>
                </c:pt>
                <c:pt idx="4">
                  <c:v>% de cumplimiento</c:v>
                </c:pt>
              </c:strCache>
            </c:strRef>
          </c:cat>
          <c:val>
            <c:numRef>
              <c:f>'estadisticas (2)'!$X$128:$AB$128</c:f>
              <c:numCache>
                <c:formatCode>General</c:formatCode>
                <c:ptCount val="5"/>
                <c:pt idx="0">
                  <c:v>16</c:v>
                </c:pt>
                <c:pt idx="1">
                  <c:v>16</c:v>
                </c:pt>
                <c:pt idx="2">
                  <c:v>0</c:v>
                </c:pt>
                <c:pt idx="3">
                  <c:v>0</c:v>
                </c:pt>
                <c:pt idx="4">
                  <c:v>100</c:v>
                </c:pt>
              </c:numCache>
            </c:numRef>
          </c:val>
          <c:extLst xmlns:c16r2="http://schemas.microsoft.com/office/drawing/2015/06/chart">
            <c:ext xmlns:c16="http://schemas.microsoft.com/office/drawing/2014/chart" uri="{C3380CC4-5D6E-409C-BE32-E72D297353CC}">
              <c16:uniqueId val="{00000000-A6D1-4A5E-9A91-8DCB3DADA50D}"/>
            </c:ext>
          </c:extLst>
        </c:ser>
        <c:dLbls>
          <c:showLegendKey val="0"/>
          <c:showVal val="1"/>
          <c:showCatName val="0"/>
          <c:showSerName val="0"/>
          <c:showPercent val="0"/>
          <c:showBubbleSize val="0"/>
        </c:dLbls>
        <c:gapWidth val="150"/>
        <c:shape val="box"/>
        <c:axId val="527198160"/>
        <c:axId val="527197376"/>
        <c:axId val="0"/>
      </c:bar3DChart>
      <c:catAx>
        <c:axId val="527198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197376"/>
        <c:crosses val="autoZero"/>
        <c:auto val="1"/>
        <c:lblAlgn val="ctr"/>
        <c:lblOffset val="100"/>
        <c:noMultiLvlLbl val="0"/>
      </c:catAx>
      <c:valAx>
        <c:axId val="527197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1981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'estadisticas (2)'!$W$131</c:f>
              <c:strCache>
                <c:ptCount val="1"/>
                <c:pt idx="0">
                  <c:v>INCLUSIÓN SOCIAL Y RECONCILIACIÓN</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(2)'!$X$130:$AB$130</c:f>
              <c:strCache>
                <c:ptCount val="5"/>
                <c:pt idx="0">
                  <c:v>N° metas programadas </c:v>
                </c:pt>
                <c:pt idx="1">
                  <c:v>N° de metas cumplidas</c:v>
                </c:pt>
                <c:pt idx="2">
                  <c:v>N° de metas cumplidas parcialmente</c:v>
                </c:pt>
                <c:pt idx="3">
                  <c:v>N° de metas no cumplidas</c:v>
                </c:pt>
                <c:pt idx="4">
                  <c:v>% de cumplimiento</c:v>
                </c:pt>
              </c:strCache>
            </c:strRef>
          </c:cat>
          <c:val>
            <c:numRef>
              <c:f>'estadisticas (2)'!$X$131:$AB$131</c:f>
              <c:numCache>
                <c:formatCode>General</c:formatCode>
                <c:ptCount val="5"/>
                <c:pt idx="0">
                  <c:v>14</c:v>
                </c:pt>
                <c:pt idx="1">
                  <c:v>12</c:v>
                </c:pt>
                <c:pt idx="2">
                  <c:v>2</c:v>
                </c:pt>
                <c:pt idx="3">
                  <c:v>0</c:v>
                </c:pt>
                <c:pt idx="4">
                  <c:v>91</c:v>
                </c:pt>
              </c:numCache>
            </c:numRef>
          </c:val>
          <c:extLst xmlns:c16r2="http://schemas.microsoft.com/office/drawing/2015/06/chart">
            <c:ext xmlns:c16="http://schemas.microsoft.com/office/drawing/2014/chart" uri="{C3380CC4-5D6E-409C-BE32-E72D297353CC}">
              <c16:uniqueId val="{00000000-ECFC-4230-AD0C-89CFEDDA7693}"/>
            </c:ext>
          </c:extLst>
        </c:ser>
        <c:dLbls>
          <c:showLegendKey val="0"/>
          <c:showVal val="1"/>
          <c:showCatName val="0"/>
          <c:showSerName val="0"/>
          <c:showPercent val="0"/>
          <c:showBubbleSize val="0"/>
        </c:dLbls>
        <c:gapWidth val="150"/>
        <c:shape val="box"/>
        <c:axId val="527195808"/>
        <c:axId val="527190712"/>
        <c:axId val="0"/>
      </c:bar3DChart>
      <c:catAx>
        <c:axId val="527195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190712"/>
        <c:crosses val="autoZero"/>
        <c:auto val="1"/>
        <c:lblAlgn val="ctr"/>
        <c:lblOffset val="100"/>
        <c:noMultiLvlLbl val="0"/>
      </c:catAx>
      <c:valAx>
        <c:axId val="527190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1958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'estadisticas (2)'!$W$134</c:f>
              <c:strCache>
                <c:ptCount val="1"/>
                <c:pt idx="0">
                  <c:v>JUSTICIA Y DEL DERECHO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(2)'!$X$133:$AB$133</c:f>
              <c:strCache>
                <c:ptCount val="5"/>
                <c:pt idx="0">
                  <c:v>N° metas programadas </c:v>
                </c:pt>
                <c:pt idx="1">
                  <c:v>N° de metas cumplidas</c:v>
                </c:pt>
                <c:pt idx="2">
                  <c:v>N° de metas cumplidas parcialmente</c:v>
                </c:pt>
                <c:pt idx="3">
                  <c:v>N° de metas no cumplidas</c:v>
                </c:pt>
                <c:pt idx="4">
                  <c:v>% de cumplimiento</c:v>
                </c:pt>
              </c:strCache>
            </c:strRef>
          </c:cat>
          <c:val>
            <c:numRef>
              <c:f>'estadisticas (2)'!$X$134:$AB$134</c:f>
              <c:numCache>
                <c:formatCode>General</c:formatCode>
                <c:ptCount val="5"/>
                <c:pt idx="0">
                  <c:v>1</c:v>
                </c:pt>
                <c:pt idx="1">
                  <c:v>1</c:v>
                </c:pt>
                <c:pt idx="2">
                  <c:v>0</c:v>
                </c:pt>
                <c:pt idx="3">
                  <c:v>0</c:v>
                </c:pt>
                <c:pt idx="4">
                  <c:v>100</c:v>
                </c:pt>
              </c:numCache>
            </c:numRef>
          </c:val>
          <c:extLst xmlns:c16r2="http://schemas.microsoft.com/office/drawing/2015/06/chart">
            <c:ext xmlns:c16="http://schemas.microsoft.com/office/drawing/2014/chart" uri="{C3380CC4-5D6E-409C-BE32-E72D297353CC}">
              <c16:uniqueId val="{00000000-A05E-4F28-ADCF-62ABDBE38042}"/>
            </c:ext>
          </c:extLst>
        </c:ser>
        <c:dLbls>
          <c:showLegendKey val="0"/>
          <c:showVal val="1"/>
          <c:showCatName val="0"/>
          <c:showSerName val="0"/>
          <c:showPercent val="0"/>
          <c:showBubbleSize val="0"/>
        </c:dLbls>
        <c:gapWidth val="150"/>
        <c:shape val="box"/>
        <c:axId val="527196592"/>
        <c:axId val="527193456"/>
        <c:axId val="0"/>
      </c:bar3DChart>
      <c:catAx>
        <c:axId val="527196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193456"/>
        <c:crosses val="autoZero"/>
        <c:auto val="1"/>
        <c:lblAlgn val="ctr"/>
        <c:lblOffset val="100"/>
        <c:noMultiLvlLbl val="0"/>
      </c:catAx>
      <c:valAx>
        <c:axId val="527193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196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'estadisticas (2)'!$W$137</c:f>
              <c:strCache>
                <c:ptCount val="1"/>
                <c:pt idx="0">
                  <c:v>MINAS Y ENERGÍA</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(2)'!$X$136:$AB$136</c:f>
              <c:strCache>
                <c:ptCount val="5"/>
                <c:pt idx="0">
                  <c:v>N° metas programadas </c:v>
                </c:pt>
                <c:pt idx="1">
                  <c:v>N° de metas cumplidas</c:v>
                </c:pt>
                <c:pt idx="2">
                  <c:v>N° de metas cumplidas parcialmente</c:v>
                </c:pt>
                <c:pt idx="3">
                  <c:v>N° de metas no cumplidas</c:v>
                </c:pt>
                <c:pt idx="4">
                  <c:v>% de cumplimiento</c:v>
                </c:pt>
              </c:strCache>
            </c:strRef>
          </c:cat>
          <c:val>
            <c:numRef>
              <c:f>'estadisticas (2)'!$X$137:$AB$137</c:f>
              <c:numCache>
                <c:formatCode>General</c:formatCode>
                <c:ptCount val="5"/>
                <c:pt idx="0">
                  <c:v>2</c:v>
                </c:pt>
                <c:pt idx="1">
                  <c:v>2</c:v>
                </c:pt>
                <c:pt idx="2">
                  <c:v>0</c:v>
                </c:pt>
                <c:pt idx="3">
                  <c:v>0</c:v>
                </c:pt>
                <c:pt idx="4">
                  <c:v>100</c:v>
                </c:pt>
              </c:numCache>
            </c:numRef>
          </c:val>
          <c:extLst xmlns:c16r2="http://schemas.microsoft.com/office/drawing/2015/06/chart">
            <c:ext xmlns:c16="http://schemas.microsoft.com/office/drawing/2014/chart" uri="{C3380CC4-5D6E-409C-BE32-E72D297353CC}">
              <c16:uniqueId val="{00000000-2E01-4DC9-BC35-8FAB021C461C}"/>
            </c:ext>
          </c:extLst>
        </c:ser>
        <c:dLbls>
          <c:showLegendKey val="0"/>
          <c:showVal val="1"/>
          <c:showCatName val="0"/>
          <c:showSerName val="0"/>
          <c:showPercent val="0"/>
          <c:showBubbleSize val="0"/>
        </c:dLbls>
        <c:gapWidth val="150"/>
        <c:shape val="box"/>
        <c:axId val="527191104"/>
        <c:axId val="527194632"/>
        <c:axId val="0"/>
      </c:bar3DChart>
      <c:catAx>
        <c:axId val="527191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194632"/>
        <c:crosses val="autoZero"/>
        <c:auto val="1"/>
        <c:lblAlgn val="ctr"/>
        <c:lblOffset val="100"/>
        <c:noMultiLvlLbl val="0"/>
      </c:catAx>
      <c:valAx>
        <c:axId val="527194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1911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'estadisticas (2)'!$W$140</c:f>
              <c:strCache>
                <c:ptCount val="1"/>
                <c:pt idx="0">
                  <c:v>SALUD Y PROTECCIÓN SOCIAL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(2)'!$X$139:$AB$139</c:f>
              <c:strCache>
                <c:ptCount val="5"/>
                <c:pt idx="0">
                  <c:v>N° metas programadas </c:v>
                </c:pt>
                <c:pt idx="1">
                  <c:v>N° de metas cumplidas</c:v>
                </c:pt>
                <c:pt idx="2">
                  <c:v>N° de metas cumplidas parcialmente</c:v>
                </c:pt>
                <c:pt idx="3">
                  <c:v>N° de metas no cumplidas</c:v>
                </c:pt>
                <c:pt idx="4">
                  <c:v>% de cumplimiento</c:v>
                </c:pt>
              </c:strCache>
            </c:strRef>
          </c:cat>
          <c:val>
            <c:numRef>
              <c:f>'estadisticas (2)'!$X$140:$AB$140</c:f>
              <c:numCache>
                <c:formatCode>General</c:formatCode>
                <c:ptCount val="5"/>
                <c:pt idx="0">
                  <c:v>17</c:v>
                </c:pt>
                <c:pt idx="1">
                  <c:v>17</c:v>
                </c:pt>
                <c:pt idx="2">
                  <c:v>0</c:v>
                </c:pt>
                <c:pt idx="3">
                  <c:v>0</c:v>
                </c:pt>
                <c:pt idx="4">
                  <c:v>100</c:v>
                </c:pt>
              </c:numCache>
            </c:numRef>
          </c:val>
          <c:extLst xmlns:c16r2="http://schemas.microsoft.com/office/drawing/2015/06/chart">
            <c:ext xmlns:c16="http://schemas.microsoft.com/office/drawing/2014/chart" uri="{C3380CC4-5D6E-409C-BE32-E72D297353CC}">
              <c16:uniqueId val="{00000000-27BB-4E51-BEC7-553DBD9B62A5}"/>
            </c:ext>
          </c:extLst>
        </c:ser>
        <c:dLbls>
          <c:showLegendKey val="0"/>
          <c:showVal val="1"/>
          <c:showCatName val="0"/>
          <c:showSerName val="0"/>
          <c:showPercent val="0"/>
          <c:showBubbleSize val="0"/>
        </c:dLbls>
        <c:gapWidth val="150"/>
        <c:shape val="box"/>
        <c:axId val="527195024"/>
        <c:axId val="527191496"/>
        <c:axId val="0"/>
      </c:bar3DChart>
      <c:catAx>
        <c:axId val="5271950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191496"/>
        <c:crosses val="autoZero"/>
        <c:auto val="1"/>
        <c:lblAlgn val="ctr"/>
        <c:lblOffset val="100"/>
        <c:noMultiLvlLbl val="0"/>
      </c:catAx>
      <c:valAx>
        <c:axId val="527191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195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'estadisticas (2)'!$W$143</c:f>
              <c:strCache>
                <c:ptCount val="1"/>
                <c:pt idx="0">
                  <c:v>TECNOLOGÍAS DE LA INFORMACIÓN Y LAS COMUNICACIONES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(2)'!$X$142:$AB$142</c:f>
              <c:strCache>
                <c:ptCount val="5"/>
                <c:pt idx="0">
                  <c:v>N° metas programadas </c:v>
                </c:pt>
                <c:pt idx="1">
                  <c:v>N° de metas cumplidas</c:v>
                </c:pt>
                <c:pt idx="2">
                  <c:v>N° de metas cumplidas parcialmente</c:v>
                </c:pt>
                <c:pt idx="3">
                  <c:v>N° de metas no cumplidas</c:v>
                </c:pt>
                <c:pt idx="4">
                  <c:v>% de cumplimiento</c:v>
                </c:pt>
              </c:strCache>
            </c:strRef>
          </c:cat>
          <c:val>
            <c:numRef>
              <c:f>'estadisticas (2)'!$X$143:$AB$143</c:f>
              <c:numCache>
                <c:formatCode>General</c:formatCode>
                <c:ptCount val="5"/>
                <c:pt idx="0">
                  <c:v>2</c:v>
                </c:pt>
                <c:pt idx="1">
                  <c:v>2</c:v>
                </c:pt>
                <c:pt idx="2">
                  <c:v>0</c:v>
                </c:pt>
                <c:pt idx="3">
                  <c:v>0</c:v>
                </c:pt>
                <c:pt idx="4">
                  <c:v>100</c:v>
                </c:pt>
              </c:numCache>
            </c:numRef>
          </c:val>
          <c:extLst xmlns:c16r2="http://schemas.microsoft.com/office/drawing/2015/06/chart">
            <c:ext xmlns:c16="http://schemas.microsoft.com/office/drawing/2014/chart" uri="{C3380CC4-5D6E-409C-BE32-E72D297353CC}">
              <c16:uniqueId val="{00000000-9D45-4DD3-A550-B44B31994A8A}"/>
            </c:ext>
          </c:extLst>
        </c:ser>
        <c:dLbls>
          <c:showLegendKey val="0"/>
          <c:showVal val="1"/>
          <c:showCatName val="0"/>
          <c:showSerName val="0"/>
          <c:showPercent val="0"/>
          <c:showBubbleSize val="0"/>
        </c:dLbls>
        <c:gapWidth val="150"/>
        <c:shape val="box"/>
        <c:axId val="527195416"/>
        <c:axId val="527559528"/>
        <c:axId val="0"/>
      </c:bar3DChart>
      <c:catAx>
        <c:axId val="5271954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559528"/>
        <c:crosses val="autoZero"/>
        <c:auto val="1"/>
        <c:lblAlgn val="ctr"/>
        <c:lblOffset val="100"/>
        <c:noMultiLvlLbl val="0"/>
      </c:catAx>
      <c:valAx>
        <c:axId val="527559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1954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'estadisticas (2)'!$W$146</c:f>
              <c:strCache>
                <c:ptCount val="1"/>
                <c:pt idx="0">
                  <c:v>TRABAJO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(2)'!$X$145:$AB$145</c:f>
              <c:strCache>
                <c:ptCount val="5"/>
                <c:pt idx="0">
                  <c:v>N° metas programadas </c:v>
                </c:pt>
                <c:pt idx="1">
                  <c:v>N° de metas cumplidas</c:v>
                </c:pt>
                <c:pt idx="2">
                  <c:v>N° de metas cumplidas parcialmente</c:v>
                </c:pt>
                <c:pt idx="3">
                  <c:v>N° de metas no cumplidas</c:v>
                </c:pt>
                <c:pt idx="4">
                  <c:v>% de cumplimiento</c:v>
                </c:pt>
              </c:strCache>
            </c:strRef>
          </c:cat>
          <c:val>
            <c:numRef>
              <c:f>'estadisticas (2)'!$X$146:$AB$146</c:f>
              <c:numCache>
                <c:formatCode>General</c:formatCode>
                <c:ptCount val="5"/>
                <c:pt idx="0">
                  <c:v>5</c:v>
                </c:pt>
                <c:pt idx="1">
                  <c:v>5</c:v>
                </c:pt>
                <c:pt idx="2">
                  <c:v>0</c:v>
                </c:pt>
                <c:pt idx="3">
                  <c:v>0</c:v>
                </c:pt>
                <c:pt idx="4">
                  <c:v>100</c:v>
                </c:pt>
              </c:numCache>
            </c:numRef>
          </c:val>
          <c:extLst xmlns:c16r2="http://schemas.microsoft.com/office/drawing/2015/06/chart">
            <c:ext xmlns:c16="http://schemas.microsoft.com/office/drawing/2014/chart" uri="{C3380CC4-5D6E-409C-BE32-E72D297353CC}">
              <c16:uniqueId val="{00000000-CD87-43E0-92E4-4248B8904DE6}"/>
            </c:ext>
          </c:extLst>
        </c:ser>
        <c:dLbls>
          <c:showLegendKey val="0"/>
          <c:showVal val="1"/>
          <c:showCatName val="0"/>
          <c:showSerName val="0"/>
          <c:showPercent val="0"/>
          <c:showBubbleSize val="0"/>
        </c:dLbls>
        <c:gapWidth val="150"/>
        <c:shape val="box"/>
        <c:axId val="527552864"/>
        <c:axId val="527550512"/>
        <c:axId val="0"/>
      </c:bar3DChart>
      <c:catAx>
        <c:axId val="527552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550512"/>
        <c:crosses val="autoZero"/>
        <c:auto val="1"/>
        <c:lblAlgn val="ctr"/>
        <c:lblOffset val="100"/>
        <c:noMultiLvlLbl val="0"/>
      </c:catAx>
      <c:valAx>
        <c:axId val="52755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552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'estadisticas (2)'!$W$149</c:f>
              <c:strCache>
                <c:ptCount val="1"/>
                <c:pt idx="0">
                  <c:v>TRANSPORTE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(2)'!$X$148:$AB$148</c:f>
              <c:strCache>
                <c:ptCount val="5"/>
                <c:pt idx="0">
                  <c:v>N° metas programadas </c:v>
                </c:pt>
                <c:pt idx="1">
                  <c:v>N° de metas cumplidas</c:v>
                </c:pt>
                <c:pt idx="2">
                  <c:v>N° de metas cumplidas parcialmente</c:v>
                </c:pt>
                <c:pt idx="3">
                  <c:v>N° de metas no cumplidas</c:v>
                </c:pt>
                <c:pt idx="4">
                  <c:v>% de cumplimiento</c:v>
                </c:pt>
              </c:strCache>
            </c:strRef>
          </c:cat>
          <c:val>
            <c:numRef>
              <c:f>'estadisticas (2)'!$X$149:$AB$149</c:f>
              <c:numCache>
                <c:formatCode>General</c:formatCode>
                <c:ptCount val="5"/>
                <c:pt idx="0">
                  <c:v>2</c:v>
                </c:pt>
                <c:pt idx="1">
                  <c:v>1</c:v>
                </c:pt>
                <c:pt idx="2">
                  <c:v>0</c:v>
                </c:pt>
                <c:pt idx="3">
                  <c:v>1</c:v>
                </c:pt>
                <c:pt idx="4">
                  <c:v>50</c:v>
                </c:pt>
              </c:numCache>
            </c:numRef>
          </c:val>
          <c:extLst xmlns:c16r2="http://schemas.microsoft.com/office/drawing/2015/06/chart">
            <c:ext xmlns:c16="http://schemas.microsoft.com/office/drawing/2014/chart" uri="{C3380CC4-5D6E-409C-BE32-E72D297353CC}">
              <c16:uniqueId val="{00000000-3098-4F94-A7CB-C83A08AC29AB}"/>
            </c:ext>
          </c:extLst>
        </c:ser>
        <c:dLbls>
          <c:showLegendKey val="0"/>
          <c:showVal val="1"/>
          <c:showCatName val="0"/>
          <c:showSerName val="0"/>
          <c:showPercent val="0"/>
          <c:showBubbleSize val="0"/>
        </c:dLbls>
        <c:gapWidth val="150"/>
        <c:shape val="box"/>
        <c:axId val="527554040"/>
        <c:axId val="527551296"/>
        <c:axId val="0"/>
      </c:bar3DChart>
      <c:catAx>
        <c:axId val="527554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551296"/>
        <c:crosses val="autoZero"/>
        <c:auto val="1"/>
        <c:lblAlgn val="ctr"/>
        <c:lblOffset val="100"/>
        <c:noMultiLvlLbl val="0"/>
      </c:catAx>
      <c:valAx>
        <c:axId val="527551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5540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'estadisticas (2)'!$W$152</c:f>
              <c:strCache>
                <c:ptCount val="1"/>
                <c:pt idx="0">
                  <c:v>VIVIENDA, CIUDAD Y TERRITORIO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(2)'!$X$151:$AB$151</c:f>
              <c:strCache>
                <c:ptCount val="5"/>
                <c:pt idx="0">
                  <c:v>N° metas programadas </c:v>
                </c:pt>
                <c:pt idx="1">
                  <c:v>N° de metas cumplidas</c:v>
                </c:pt>
                <c:pt idx="2">
                  <c:v>N° de metas cumplidas parcialmente</c:v>
                </c:pt>
                <c:pt idx="3">
                  <c:v>N° de metas no cumplidas</c:v>
                </c:pt>
                <c:pt idx="4">
                  <c:v>% de cumplimiento</c:v>
                </c:pt>
              </c:strCache>
            </c:strRef>
          </c:cat>
          <c:val>
            <c:numRef>
              <c:f>'estadisticas (2)'!$X$152:$AB$152</c:f>
              <c:numCache>
                <c:formatCode>General</c:formatCode>
                <c:ptCount val="5"/>
                <c:pt idx="0">
                  <c:v>4</c:v>
                </c:pt>
                <c:pt idx="1">
                  <c:v>3</c:v>
                </c:pt>
                <c:pt idx="2">
                  <c:v>0</c:v>
                </c:pt>
                <c:pt idx="3">
                  <c:v>4</c:v>
                </c:pt>
                <c:pt idx="4">
                  <c:v>75</c:v>
                </c:pt>
              </c:numCache>
            </c:numRef>
          </c:val>
          <c:extLst xmlns:c16r2="http://schemas.microsoft.com/office/drawing/2015/06/chart">
            <c:ext xmlns:c16="http://schemas.microsoft.com/office/drawing/2014/chart" uri="{C3380CC4-5D6E-409C-BE32-E72D297353CC}">
              <c16:uniqueId val="{00000000-6B6D-4A08-AD24-9C740548D25C}"/>
            </c:ext>
          </c:extLst>
        </c:ser>
        <c:dLbls>
          <c:showLegendKey val="0"/>
          <c:showVal val="1"/>
          <c:showCatName val="0"/>
          <c:showSerName val="0"/>
          <c:showPercent val="0"/>
          <c:showBubbleSize val="0"/>
        </c:dLbls>
        <c:gapWidth val="150"/>
        <c:shape val="box"/>
        <c:axId val="527549336"/>
        <c:axId val="527556392"/>
        <c:axId val="0"/>
      </c:bar3DChart>
      <c:catAx>
        <c:axId val="527549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556392"/>
        <c:crosses val="autoZero"/>
        <c:auto val="1"/>
        <c:lblAlgn val="ctr"/>
        <c:lblOffset val="100"/>
        <c:noMultiLvlLbl val="0"/>
      </c:catAx>
      <c:valAx>
        <c:axId val="527556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5493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'estadisticas (2)'!$W$155</c:f>
              <c:strCache>
                <c:ptCount val="1"/>
                <c:pt idx="0">
                  <c:v>Secretaría de planeación y desarrollo territorial </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(2)'!$X$154:$AB$154</c:f>
              <c:strCache>
                <c:ptCount val="5"/>
                <c:pt idx="0">
                  <c:v>N° metas programadas </c:v>
                </c:pt>
                <c:pt idx="1">
                  <c:v>N° de metas cumplidas</c:v>
                </c:pt>
                <c:pt idx="2">
                  <c:v>N° de metas cumplidas parcialmente</c:v>
                </c:pt>
                <c:pt idx="3">
                  <c:v>N° de metas no cumplidas</c:v>
                </c:pt>
                <c:pt idx="4">
                  <c:v>% de cumplimiento</c:v>
                </c:pt>
              </c:strCache>
            </c:strRef>
          </c:cat>
          <c:val>
            <c:numRef>
              <c:f>'estadisticas (2)'!$X$155:$AB$155</c:f>
              <c:numCache>
                <c:formatCode>General</c:formatCode>
                <c:ptCount val="5"/>
                <c:pt idx="0">
                  <c:v>11</c:v>
                </c:pt>
                <c:pt idx="1">
                  <c:v>8</c:v>
                </c:pt>
                <c:pt idx="2">
                  <c:v>1</c:v>
                </c:pt>
                <c:pt idx="3">
                  <c:v>2</c:v>
                </c:pt>
                <c:pt idx="4">
                  <c:v>77</c:v>
                </c:pt>
              </c:numCache>
            </c:numRef>
          </c:val>
          <c:extLst xmlns:c16r2="http://schemas.microsoft.com/office/drawing/2015/06/chart">
            <c:ext xmlns:c16="http://schemas.microsoft.com/office/drawing/2014/chart" uri="{C3380CC4-5D6E-409C-BE32-E72D297353CC}">
              <c16:uniqueId val="{00000000-7ECF-49D0-AA78-809372BDD830}"/>
            </c:ext>
          </c:extLst>
        </c:ser>
        <c:dLbls>
          <c:showLegendKey val="0"/>
          <c:showVal val="1"/>
          <c:showCatName val="0"/>
          <c:showSerName val="0"/>
          <c:showPercent val="0"/>
          <c:showBubbleSize val="0"/>
        </c:dLbls>
        <c:gapWidth val="150"/>
        <c:shape val="box"/>
        <c:axId val="527551688"/>
        <c:axId val="527550904"/>
        <c:axId val="0"/>
      </c:bar3DChart>
      <c:catAx>
        <c:axId val="527551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550904"/>
        <c:crosses val="autoZero"/>
        <c:auto val="1"/>
        <c:lblAlgn val="ctr"/>
        <c:lblOffset val="100"/>
        <c:noMultiLvlLbl val="0"/>
      </c:catAx>
      <c:valAx>
        <c:axId val="527550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5516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'estadisticas (2)'!$W$158</c:f>
              <c:strCache>
                <c:ptCount val="1"/>
                <c:pt idx="0">
                  <c:v>Secretaría de salud y Bienestar Social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(2)'!$X$157:$AB$157</c:f>
              <c:strCache>
                <c:ptCount val="5"/>
                <c:pt idx="0">
                  <c:v>N° metas programadas </c:v>
                </c:pt>
                <c:pt idx="1">
                  <c:v>N° de metas cumplidas</c:v>
                </c:pt>
                <c:pt idx="2">
                  <c:v>N° de metas cumplidas parcialmente</c:v>
                </c:pt>
                <c:pt idx="3">
                  <c:v>N° de metas no cumplidas</c:v>
                </c:pt>
                <c:pt idx="4">
                  <c:v>% de cumplimiento</c:v>
                </c:pt>
              </c:strCache>
            </c:strRef>
          </c:cat>
          <c:val>
            <c:numRef>
              <c:f>'estadisticas (2)'!$X$158:$AB$158</c:f>
              <c:numCache>
                <c:formatCode>General</c:formatCode>
                <c:ptCount val="5"/>
                <c:pt idx="0">
                  <c:v>40</c:v>
                </c:pt>
                <c:pt idx="1">
                  <c:v>34</c:v>
                </c:pt>
                <c:pt idx="2">
                  <c:v>3</c:v>
                </c:pt>
                <c:pt idx="3">
                  <c:v>3</c:v>
                </c:pt>
                <c:pt idx="4">
                  <c:v>91</c:v>
                </c:pt>
              </c:numCache>
            </c:numRef>
          </c:val>
          <c:extLst xmlns:c16r2="http://schemas.microsoft.com/office/drawing/2015/06/chart">
            <c:ext xmlns:c16="http://schemas.microsoft.com/office/drawing/2014/chart" uri="{C3380CC4-5D6E-409C-BE32-E72D297353CC}">
              <c16:uniqueId val="{00000000-6303-4D57-BB21-16A0F093AF3B}"/>
            </c:ext>
          </c:extLst>
        </c:ser>
        <c:dLbls>
          <c:showLegendKey val="0"/>
          <c:showVal val="1"/>
          <c:showCatName val="0"/>
          <c:showSerName val="0"/>
          <c:showPercent val="0"/>
          <c:showBubbleSize val="0"/>
        </c:dLbls>
        <c:gapWidth val="150"/>
        <c:shape val="box"/>
        <c:axId val="527559920"/>
        <c:axId val="527553256"/>
        <c:axId val="0"/>
      </c:bar3DChart>
      <c:catAx>
        <c:axId val="527559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553256"/>
        <c:crosses val="autoZero"/>
        <c:auto val="1"/>
        <c:lblAlgn val="ctr"/>
        <c:lblOffset val="100"/>
        <c:noMultiLvlLbl val="0"/>
      </c:catAx>
      <c:valAx>
        <c:axId val="527553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5599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'estadisticas (2)'!$W$161</c:f>
              <c:strCache>
                <c:ptCount val="1"/>
                <c:pt idx="0">
                  <c:v>Secretaría General y de Gobierno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(2)'!$X$160:$AB$160</c:f>
              <c:strCache>
                <c:ptCount val="5"/>
                <c:pt idx="0">
                  <c:v>N° metas programadas </c:v>
                </c:pt>
                <c:pt idx="1">
                  <c:v>N° de metas cumplidas</c:v>
                </c:pt>
                <c:pt idx="2">
                  <c:v>N° de metas cumplidas parcialmente</c:v>
                </c:pt>
                <c:pt idx="3">
                  <c:v>N° de metas no cumplidas</c:v>
                </c:pt>
                <c:pt idx="4">
                  <c:v>% de cumplimiento</c:v>
                </c:pt>
              </c:strCache>
            </c:strRef>
          </c:cat>
          <c:val>
            <c:numRef>
              <c:f>'estadisticas (2)'!$X$161:$AB$161</c:f>
              <c:numCache>
                <c:formatCode>General</c:formatCode>
                <c:ptCount val="5"/>
                <c:pt idx="0">
                  <c:v>27</c:v>
                </c:pt>
                <c:pt idx="1">
                  <c:v>25</c:v>
                </c:pt>
                <c:pt idx="2">
                  <c:v>2</c:v>
                </c:pt>
                <c:pt idx="3">
                  <c:v>0</c:v>
                </c:pt>
                <c:pt idx="4">
                  <c:v>95</c:v>
                </c:pt>
              </c:numCache>
            </c:numRef>
          </c:val>
          <c:extLst xmlns:c16r2="http://schemas.microsoft.com/office/drawing/2015/06/chart">
            <c:ext xmlns:c16="http://schemas.microsoft.com/office/drawing/2014/chart" uri="{C3380CC4-5D6E-409C-BE32-E72D297353CC}">
              <c16:uniqueId val="{00000000-F991-4CB8-AA36-6D53EA9BCA2A}"/>
            </c:ext>
          </c:extLst>
        </c:ser>
        <c:dLbls>
          <c:showLegendKey val="0"/>
          <c:showVal val="1"/>
          <c:showCatName val="0"/>
          <c:showSerName val="0"/>
          <c:showPercent val="0"/>
          <c:showBubbleSize val="0"/>
        </c:dLbls>
        <c:gapWidth val="150"/>
        <c:shape val="box"/>
        <c:axId val="527552080"/>
        <c:axId val="527554824"/>
        <c:axId val="0"/>
      </c:bar3DChart>
      <c:catAx>
        <c:axId val="527552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554824"/>
        <c:crosses val="autoZero"/>
        <c:auto val="1"/>
        <c:lblAlgn val="ctr"/>
        <c:lblOffset val="100"/>
        <c:noMultiLvlLbl val="0"/>
      </c:catAx>
      <c:valAx>
        <c:axId val="527554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5520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'estadisticas (2)'!$W$164</c:f>
              <c:strCache>
                <c:ptCount val="1"/>
                <c:pt idx="0">
                  <c:v>Umata</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(2)'!$X$163:$AB$163</c:f>
              <c:strCache>
                <c:ptCount val="5"/>
                <c:pt idx="0">
                  <c:v>N° metas programadas </c:v>
                </c:pt>
                <c:pt idx="1">
                  <c:v>N° de metas cumplidas</c:v>
                </c:pt>
                <c:pt idx="2">
                  <c:v>N° de metas cumplidas parcialmente</c:v>
                </c:pt>
                <c:pt idx="3">
                  <c:v>N° de metas no cumplidas</c:v>
                </c:pt>
                <c:pt idx="4">
                  <c:v>% de cumplimiento</c:v>
                </c:pt>
              </c:strCache>
            </c:strRef>
          </c:cat>
          <c:val>
            <c:numRef>
              <c:f>'estadisticas (2)'!$X$164:$AB$164</c:f>
              <c:numCache>
                <c:formatCode>General</c:formatCode>
                <c:ptCount val="5"/>
                <c:pt idx="0">
                  <c:v>13</c:v>
                </c:pt>
                <c:pt idx="1">
                  <c:v>11</c:v>
                </c:pt>
                <c:pt idx="2">
                  <c:v>2</c:v>
                </c:pt>
                <c:pt idx="3">
                  <c:v>0</c:v>
                </c:pt>
                <c:pt idx="4">
                  <c:v>94</c:v>
                </c:pt>
              </c:numCache>
            </c:numRef>
          </c:val>
          <c:extLst xmlns:c16r2="http://schemas.microsoft.com/office/drawing/2015/06/chart">
            <c:ext xmlns:c16="http://schemas.microsoft.com/office/drawing/2014/chart" uri="{C3380CC4-5D6E-409C-BE32-E72D297353CC}">
              <c16:uniqueId val="{00000000-C34D-412C-A414-16185BE835D0}"/>
            </c:ext>
          </c:extLst>
        </c:ser>
        <c:dLbls>
          <c:showLegendKey val="0"/>
          <c:showVal val="1"/>
          <c:showCatName val="0"/>
          <c:showSerName val="0"/>
          <c:showPercent val="0"/>
          <c:showBubbleSize val="0"/>
        </c:dLbls>
        <c:gapWidth val="150"/>
        <c:shape val="box"/>
        <c:axId val="527559136"/>
        <c:axId val="527552472"/>
        <c:axId val="0"/>
      </c:bar3DChart>
      <c:catAx>
        <c:axId val="527559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552472"/>
        <c:crosses val="autoZero"/>
        <c:auto val="1"/>
        <c:lblAlgn val="ctr"/>
        <c:lblOffset val="100"/>
        <c:noMultiLvlLbl val="0"/>
      </c:catAx>
      <c:valAx>
        <c:axId val="527552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5591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'estadisticas (2)'!$W$167</c:f>
              <c:strCache>
                <c:ptCount val="1"/>
                <c:pt idx="0">
                  <c:v>Unidad de servicios publicos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(2)'!$X$166:$AB$166</c:f>
              <c:strCache>
                <c:ptCount val="5"/>
                <c:pt idx="0">
                  <c:v>N° metas programadas </c:v>
                </c:pt>
                <c:pt idx="1">
                  <c:v>N° de metas cumplidas</c:v>
                </c:pt>
                <c:pt idx="2">
                  <c:v>N° de metas cumplidas parcialmente</c:v>
                </c:pt>
                <c:pt idx="3">
                  <c:v>N° de metas no cumplidas</c:v>
                </c:pt>
                <c:pt idx="4">
                  <c:v>% de cumplimiento</c:v>
                </c:pt>
              </c:strCache>
            </c:strRef>
          </c:cat>
          <c:val>
            <c:numRef>
              <c:f>'estadisticas (2)'!$X$167:$AB$167</c:f>
              <c:numCache>
                <c:formatCode>General</c:formatCode>
                <c:ptCount val="5"/>
                <c:pt idx="0">
                  <c:v>4</c:v>
                </c:pt>
                <c:pt idx="1">
                  <c:v>4</c:v>
                </c:pt>
                <c:pt idx="2">
                  <c:v>0</c:v>
                </c:pt>
                <c:pt idx="3">
                  <c:v>0</c:v>
                </c:pt>
                <c:pt idx="4">
                  <c:v>100</c:v>
                </c:pt>
              </c:numCache>
            </c:numRef>
          </c:val>
          <c:extLst xmlns:c16r2="http://schemas.microsoft.com/office/drawing/2015/06/chart">
            <c:ext xmlns:c16="http://schemas.microsoft.com/office/drawing/2014/chart" uri="{C3380CC4-5D6E-409C-BE32-E72D297353CC}">
              <c16:uniqueId val="{00000000-8AC5-49EE-A46F-9DAB4A202B9F}"/>
            </c:ext>
          </c:extLst>
        </c:ser>
        <c:dLbls>
          <c:showLegendKey val="0"/>
          <c:showVal val="1"/>
          <c:showCatName val="0"/>
          <c:showSerName val="0"/>
          <c:showPercent val="0"/>
          <c:showBubbleSize val="0"/>
        </c:dLbls>
        <c:gapWidth val="150"/>
        <c:shape val="box"/>
        <c:axId val="527553648"/>
        <c:axId val="527560312"/>
        <c:axId val="0"/>
      </c:bar3DChart>
      <c:catAx>
        <c:axId val="527553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560312"/>
        <c:crosses val="autoZero"/>
        <c:auto val="1"/>
        <c:lblAlgn val="ctr"/>
        <c:lblOffset val="100"/>
        <c:noMultiLvlLbl val="0"/>
      </c:catAx>
      <c:valAx>
        <c:axId val="527560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5536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'estadisticas (2)'!$AE$83</c:f>
              <c:strCache>
                <c:ptCount val="1"/>
                <c:pt idx="0">
                  <c:v>Unidos por el Cambio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(2)'!$AF$82:$AG$82</c:f>
              <c:strCache>
                <c:ptCount val="2"/>
                <c:pt idx="0">
                  <c:v>N° metas programadas </c:v>
                </c:pt>
                <c:pt idx="1">
                  <c:v>% de cumplimiento</c:v>
                </c:pt>
              </c:strCache>
            </c:strRef>
          </c:cat>
          <c:val>
            <c:numRef>
              <c:f>'estadisticas (2)'!$AF$83:$AG$83</c:f>
              <c:numCache>
                <c:formatCode>General</c:formatCode>
                <c:ptCount val="2"/>
                <c:pt idx="0">
                  <c:v>95</c:v>
                </c:pt>
                <c:pt idx="1">
                  <c:v>91</c:v>
                </c:pt>
              </c:numCache>
            </c:numRef>
          </c:val>
        </c:ser>
        <c:dLbls>
          <c:dLblPos val="outEnd"/>
          <c:showLegendKey val="0"/>
          <c:showVal val="1"/>
          <c:showCatName val="0"/>
          <c:showSerName val="0"/>
          <c:showPercent val="0"/>
          <c:showBubbleSize val="0"/>
        </c:dLbls>
        <c:gapWidth val="219"/>
        <c:overlap val="-27"/>
        <c:axId val="527555216"/>
        <c:axId val="527555608"/>
      </c:barChart>
      <c:catAx>
        <c:axId val="52755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555608"/>
        <c:crosses val="autoZero"/>
        <c:auto val="1"/>
        <c:lblAlgn val="ctr"/>
        <c:lblOffset val="100"/>
        <c:noMultiLvlLbl val="0"/>
      </c:catAx>
      <c:valAx>
        <c:axId val="527555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5552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'estadisticas 2025'!$AJ$188</c:f>
              <c:strCache>
                <c:ptCount val="1"/>
                <c:pt idx="0">
                  <c:v>AGRICULTURA Y DESARROLLO RURAL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2025'!$AK$187:$AL$187</c:f>
              <c:strCache>
                <c:ptCount val="2"/>
                <c:pt idx="0">
                  <c:v>N° metas programadas </c:v>
                </c:pt>
                <c:pt idx="1">
                  <c:v>% de cumplimiento</c:v>
                </c:pt>
              </c:strCache>
            </c:strRef>
          </c:cat>
          <c:val>
            <c:numRef>
              <c:f>'estadisticas 2025'!$AK$188:$AL$188</c:f>
              <c:numCache>
                <c:formatCode>General</c:formatCode>
                <c:ptCount val="2"/>
                <c:pt idx="0">
                  <c:v>7</c:v>
                </c:pt>
                <c:pt idx="1">
                  <c:v>56</c:v>
                </c:pt>
              </c:numCache>
            </c:numRef>
          </c:val>
        </c:ser>
        <c:dLbls>
          <c:dLblPos val="outEnd"/>
          <c:showLegendKey val="0"/>
          <c:showVal val="1"/>
          <c:showCatName val="0"/>
          <c:showSerName val="0"/>
          <c:showPercent val="0"/>
          <c:showBubbleSize val="0"/>
        </c:dLbls>
        <c:gapWidth val="219"/>
        <c:overlap val="-27"/>
        <c:axId val="527548160"/>
        <c:axId val="527548552"/>
      </c:barChart>
      <c:catAx>
        <c:axId val="52754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548552"/>
        <c:crosses val="autoZero"/>
        <c:auto val="1"/>
        <c:lblAlgn val="ctr"/>
        <c:lblOffset val="100"/>
        <c:noMultiLvlLbl val="0"/>
      </c:catAx>
      <c:valAx>
        <c:axId val="527548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5481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'estadisticas 2025'!$AJ$191</c:f>
              <c:strCache>
                <c:ptCount val="1"/>
                <c:pt idx="0">
                  <c:v>AMBIENTE Y DESARROLLO SOSTENIBLE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2025'!$AK$190:$AL$190</c:f>
              <c:strCache>
                <c:ptCount val="2"/>
                <c:pt idx="0">
                  <c:v>N° metas programadas </c:v>
                </c:pt>
                <c:pt idx="1">
                  <c:v>% de cumplimiento</c:v>
                </c:pt>
              </c:strCache>
            </c:strRef>
          </c:cat>
          <c:val>
            <c:numRef>
              <c:f>'estadisticas 2025'!$AK$191:$AL$191</c:f>
              <c:numCache>
                <c:formatCode>General</c:formatCode>
                <c:ptCount val="2"/>
                <c:pt idx="0">
                  <c:v>10</c:v>
                </c:pt>
                <c:pt idx="1">
                  <c:v>24</c:v>
                </c:pt>
              </c:numCache>
            </c:numRef>
          </c:val>
        </c:ser>
        <c:dLbls>
          <c:dLblPos val="outEnd"/>
          <c:showLegendKey val="0"/>
          <c:showVal val="1"/>
          <c:showCatName val="0"/>
          <c:showSerName val="0"/>
          <c:showPercent val="0"/>
          <c:showBubbleSize val="0"/>
        </c:dLbls>
        <c:gapWidth val="219"/>
        <c:overlap val="-27"/>
        <c:axId val="527561096"/>
        <c:axId val="527561488"/>
      </c:barChart>
      <c:catAx>
        <c:axId val="527561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561488"/>
        <c:crosses val="autoZero"/>
        <c:auto val="1"/>
        <c:lblAlgn val="ctr"/>
        <c:lblOffset val="100"/>
        <c:noMultiLvlLbl val="0"/>
      </c:catAx>
      <c:valAx>
        <c:axId val="527561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5610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'estadisticas 2025'!$AJ$194</c:f>
              <c:strCache>
                <c:ptCount val="1"/>
                <c:pt idx="0">
                  <c:v>COMERCIO, INDUSTRIA Y TURISMO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2025'!$AK$193:$AL$193</c:f>
              <c:strCache>
                <c:ptCount val="2"/>
                <c:pt idx="0">
                  <c:v>N° metas programadas </c:v>
                </c:pt>
                <c:pt idx="1">
                  <c:v>% de cumplimiento</c:v>
                </c:pt>
              </c:strCache>
            </c:strRef>
          </c:cat>
          <c:val>
            <c:numRef>
              <c:f>'estadisticas 2025'!$AK$194:$AL$194</c:f>
              <c:numCache>
                <c:formatCode>General</c:formatCode>
                <c:ptCount val="2"/>
                <c:pt idx="0">
                  <c:v>4</c:v>
                </c:pt>
                <c:pt idx="1">
                  <c:v>38</c:v>
                </c:pt>
              </c:numCache>
            </c:numRef>
          </c:val>
        </c:ser>
        <c:dLbls>
          <c:dLblPos val="outEnd"/>
          <c:showLegendKey val="0"/>
          <c:showVal val="1"/>
          <c:showCatName val="0"/>
          <c:showSerName val="0"/>
          <c:showPercent val="0"/>
          <c:showBubbleSize val="0"/>
        </c:dLbls>
        <c:gapWidth val="219"/>
        <c:overlap val="-27"/>
        <c:axId val="527561880"/>
        <c:axId val="527562272"/>
      </c:barChart>
      <c:catAx>
        <c:axId val="527561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562272"/>
        <c:crosses val="autoZero"/>
        <c:auto val="1"/>
        <c:lblAlgn val="ctr"/>
        <c:lblOffset val="100"/>
        <c:noMultiLvlLbl val="0"/>
      </c:catAx>
      <c:valAx>
        <c:axId val="527562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5618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'estadisticas 2025'!$AJ$197</c:f>
              <c:strCache>
                <c:ptCount val="1"/>
                <c:pt idx="0">
                  <c:v>CULTURA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2025'!$AK$196:$AL$196</c:f>
              <c:strCache>
                <c:ptCount val="2"/>
                <c:pt idx="0">
                  <c:v>N° metas programadas </c:v>
                </c:pt>
                <c:pt idx="1">
                  <c:v>% de cumplimiento</c:v>
                </c:pt>
              </c:strCache>
            </c:strRef>
          </c:cat>
          <c:val>
            <c:numRef>
              <c:f>'estadisticas 2025'!$AK$197:$AL$197</c:f>
              <c:numCache>
                <c:formatCode>General</c:formatCode>
                <c:ptCount val="2"/>
                <c:pt idx="0">
                  <c:v>6</c:v>
                </c:pt>
                <c:pt idx="1">
                  <c:v>42</c:v>
                </c:pt>
              </c:numCache>
            </c:numRef>
          </c:val>
        </c:ser>
        <c:dLbls>
          <c:dLblPos val="outEnd"/>
          <c:showLegendKey val="0"/>
          <c:showVal val="1"/>
          <c:showCatName val="0"/>
          <c:showSerName val="0"/>
          <c:showPercent val="0"/>
          <c:showBubbleSize val="0"/>
        </c:dLbls>
        <c:gapWidth val="219"/>
        <c:overlap val="-27"/>
        <c:axId val="527563056"/>
        <c:axId val="527563448"/>
      </c:barChart>
      <c:catAx>
        <c:axId val="52756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563448"/>
        <c:crosses val="autoZero"/>
        <c:auto val="1"/>
        <c:lblAlgn val="ctr"/>
        <c:lblOffset val="100"/>
        <c:noMultiLvlLbl val="0"/>
      </c:catAx>
      <c:valAx>
        <c:axId val="527563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7563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'estadisticas 2025'!$AJ$200</c:f>
              <c:strCache>
                <c:ptCount val="1"/>
                <c:pt idx="0">
                  <c:v>DEPORTE Y RECREACIÓN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2025'!$AK$199:$AL$199</c:f>
              <c:strCache>
                <c:ptCount val="2"/>
                <c:pt idx="0">
                  <c:v>N° metas programadas </c:v>
                </c:pt>
                <c:pt idx="1">
                  <c:v>% de cumplimiento</c:v>
                </c:pt>
              </c:strCache>
            </c:strRef>
          </c:cat>
          <c:val>
            <c:numRef>
              <c:f>'estadisticas 2025'!$AK$200:$AL$200</c:f>
              <c:numCache>
                <c:formatCode>General</c:formatCode>
                <c:ptCount val="2"/>
                <c:pt idx="0">
                  <c:v>9</c:v>
                </c:pt>
                <c:pt idx="1">
                  <c:v>35</c:v>
                </c:pt>
              </c:numCache>
            </c:numRef>
          </c:val>
        </c:ser>
        <c:dLbls>
          <c:dLblPos val="outEnd"/>
          <c:showLegendKey val="0"/>
          <c:showVal val="1"/>
          <c:showCatName val="0"/>
          <c:showSerName val="0"/>
          <c:showPercent val="0"/>
          <c:showBubbleSize val="0"/>
        </c:dLbls>
        <c:gapWidth val="219"/>
        <c:overlap val="-27"/>
        <c:axId val="505101496"/>
        <c:axId val="505097968"/>
      </c:barChart>
      <c:catAx>
        <c:axId val="505101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5097968"/>
        <c:crosses val="autoZero"/>
        <c:auto val="1"/>
        <c:lblAlgn val="ctr"/>
        <c:lblOffset val="100"/>
        <c:noMultiLvlLbl val="0"/>
      </c:catAx>
      <c:valAx>
        <c:axId val="505097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51014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'estadisticas 2025'!$AJ$203</c:f>
              <c:strCache>
                <c:ptCount val="1"/>
                <c:pt idx="0">
                  <c:v>EDUCACIÓN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2025'!$AK$202:$AL$202</c:f>
              <c:strCache>
                <c:ptCount val="2"/>
                <c:pt idx="0">
                  <c:v>N° metas programadas </c:v>
                </c:pt>
                <c:pt idx="1">
                  <c:v>% de cumplimiento</c:v>
                </c:pt>
              </c:strCache>
            </c:strRef>
          </c:cat>
          <c:val>
            <c:numRef>
              <c:f>'estadisticas 2025'!$AK$203:$AL$203</c:f>
              <c:numCache>
                <c:formatCode>General</c:formatCode>
                <c:ptCount val="2"/>
                <c:pt idx="0">
                  <c:v>13</c:v>
                </c:pt>
                <c:pt idx="1">
                  <c:v>39</c:v>
                </c:pt>
              </c:numCache>
            </c:numRef>
          </c:val>
        </c:ser>
        <c:dLbls>
          <c:dLblPos val="outEnd"/>
          <c:showLegendKey val="0"/>
          <c:showVal val="1"/>
          <c:showCatName val="0"/>
          <c:showSerName val="0"/>
          <c:showPercent val="0"/>
          <c:showBubbleSize val="0"/>
        </c:dLbls>
        <c:gapWidth val="219"/>
        <c:overlap val="-27"/>
        <c:axId val="505095616"/>
        <c:axId val="505102672"/>
      </c:barChart>
      <c:catAx>
        <c:axId val="50509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5102672"/>
        <c:crosses val="autoZero"/>
        <c:auto val="1"/>
        <c:lblAlgn val="ctr"/>
        <c:lblOffset val="100"/>
        <c:noMultiLvlLbl val="0"/>
      </c:catAx>
      <c:valAx>
        <c:axId val="50510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50956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'estadisticas 2025'!$AJ$206</c:f>
              <c:strCache>
                <c:ptCount val="1"/>
                <c:pt idx="0">
                  <c:v>GOBIERNO TERRITORIAL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2025'!$AK$205:$AL$205</c:f>
              <c:strCache>
                <c:ptCount val="2"/>
                <c:pt idx="0">
                  <c:v>N° metas programadas </c:v>
                </c:pt>
                <c:pt idx="1">
                  <c:v>% de cumplimiento</c:v>
                </c:pt>
              </c:strCache>
            </c:strRef>
          </c:cat>
          <c:val>
            <c:numRef>
              <c:f>'estadisticas 2025'!$AK$206:$AL$206</c:f>
              <c:numCache>
                <c:formatCode>General</c:formatCode>
                <c:ptCount val="2"/>
                <c:pt idx="0">
                  <c:v>18</c:v>
                </c:pt>
                <c:pt idx="1">
                  <c:v>82</c:v>
                </c:pt>
              </c:numCache>
            </c:numRef>
          </c:val>
        </c:ser>
        <c:dLbls>
          <c:dLblPos val="outEnd"/>
          <c:showLegendKey val="0"/>
          <c:showVal val="1"/>
          <c:showCatName val="0"/>
          <c:showSerName val="0"/>
          <c:showPercent val="0"/>
          <c:showBubbleSize val="0"/>
        </c:dLbls>
        <c:gapWidth val="219"/>
        <c:overlap val="-27"/>
        <c:axId val="505098752"/>
        <c:axId val="505100712"/>
      </c:barChart>
      <c:catAx>
        <c:axId val="50509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5100712"/>
        <c:crosses val="autoZero"/>
        <c:auto val="1"/>
        <c:lblAlgn val="ctr"/>
        <c:lblOffset val="100"/>
        <c:noMultiLvlLbl val="0"/>
      </c:catAx>
      <c:valAx>
        <c:axId val="505100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50987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'estadisticas 2025'!$AN$188</c:f>
              <c:strCache>
                <c:ptCount val="1"/>
                <c:pt idx="0">
                  <c:v>INCLUSIÓN SOCIAL Y RECONCILIACIÓN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2025'!$AO$187:$AP$187</c:f>
              <c:strCache>
                <c:ptCount val="2"/>
                <c:pt idx="0">
                  <c:v>N° metas programadas </c:v>
                </c:pt>
                <c:pt idx="1">
                  <c:v>% de cumplimiento</c:v>
                </c:pt>
              </c:strCache>
            </c:strRef>
          </c:cat>
          <c:val>
            <c:numRef>
              <c:f>'estadisticas 2025'!$AO$188:$AP$188</c:f>
              <c:numCache>
                <c:formatCode>General</c:formatCode>
                <c:ptCount val="2"/>
                <c:pt idx="0">
                  <c:v>17</c:v>
                </c:pt>
                <c:pt idx="1">
                  <c:v>26</c:v>
                </c:pt>
              </c:numCache>
            </c:numRef>
          </c:val>
        </c:ser>
        <c:dLbls>
          <c:dLblPos val="outEnd"/>
          <c:showLegendKey val="0"/>
          <c:showVal val="1"/>
          <c:showCatName val="0"/>
          <c:showSerName val="0"/>
          <c:showPercent val="0"/>
          <c:showBubbleSize val="0"/>
        </c:dLbls>
        <c:gapWidth val="219"/>
        <c:overlap val="-27"/>
        <c:axId val="505101104"/>
        <c:axId val="505096400"/>
      </c:barChart>
      <c:catAx>
        <c:axId val="50510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5096400"/>
        <c:crosses val="autoZero"/>
        <c:auto val="1"/>
        <c:lblAlgn val="ctr"/>
        <c:lblOffset val="100"/>
        <c:noMultiLvlLbl val="0"/>
      </c:catAx>
      <c:valAx>
        <c:axId val="505096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51011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'estadisticas 2025'!$AN$194</c:f>
              <c:strCache>
                <c:ptCount val="1"/>
                <c:pt idx="0">
                  <c:v>JUSTICIA Y DEL DERECHO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2025'!$AO$193:$AP$193</c:f>
              <c:strCache>
                <c:ptCount val="2"/>
                <c:pt idx="0">
                  <c:v>N° metas programadas </c:v>
                </c:pt>
                <c:pt idx="1">
                  <c:v>% de cumplimiento</c:v>
                </c:pt>
              </c:strCache>
            </c:strRef>
          </c:cat>
          <c:val>
            <c:numRef>
              <c:f>'estadisticas 2025'!$AO$194:$AP$194</c:f>
              <c:numCache>
                <c:formatCode>General</c:formatCode>
                <c:ptCount val="2"/>
                <c:pt idx="0">
                  <c:v>5</c:v>
                </c:pt>
                <c:pt idx="1">
                  <c:v>20</c:v>
                </c:pt>
              </c:numCache>
            </c:numRef>
          </c:val>
        </c:ser>
        <c:dLbls>
          <c:dLblPos val="outEnd"/>
          <c:showLegendKey val="0"/>
          <c:showVal val="1"/>
          <c:showCatName val="0"/>
          <c:showSerName val="0"/>
          <c:showPercent val="0"/>
          <c:showBubbleSize val="0"/>
        </c:dLbls>
        <c:gapWidth val="219"/>
        <c:overlap val="-27"/>
        <c:axId val="505099536"/>
        <c:axId val="505097184"/>
      </c:barChart>
      <c:catAx>
        <c:axId val="50509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5097184"/>
        <c:crosses val="autoZero"/>
        <c:auto val="1"/>
        <c:lblAlgn val="ctr"/>
        <c:lblOffset val="100"/>
        <c:noMultiLvlLbl val="0"/>
      </c:catAx>
      <c:valAx>
        <c:axId val="505097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5099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'estadisticas 2025'!$AN$197</c:f>
              <c:strCache>
                <c:ptCount val="1"/>
                <c:pt idx="0">
                  <c:v>MINAS Y ENERGÍA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2025'!$AO$196:$AP$196</c:f>
              <c:strCache>
                <c:ptCount val="2"/>
                <c:pt idx="0">
                  <c:v>N° metas programadas </c:v>
                </c:pt>
                <c:pt idx="1">
                  <c:v>% de cumplimiento</c:v>
                </c:pt>
              </c:strCache>
            </c:strRef>
          </c:cat>
          <c:val>
            <c:numRef>
              <c:f>'estadisticas 2025'!$AO$197:$AP$197</c:f>
              <c:numCache>
                <c:formatCode>General</c:formatCode>
                <c:ptCount val="2"/>
                <c:pt idx="0">
                  <c:v>6</c:v>
                </c:pt>
                <c:pt idx="1">
                  <c:v>50</c:v>
                </c:pt>
              </c:numCache>
            </c:numRef>
          </c:val>
        </c:ser>
        <c:dLbls>
          <c:dLblPos val="outEnd"/>
          <c:showLegendKey val="0"/>
          <c:showVal val="1"/>
          <c:showCatName val="0"/>
          <c:showSerName val="0"/>
          <c:showPercent val="0"/>
          <c:showBubbleSize val="0"/>
        </c:dLbls>
        <c:gapWidth val="219"/>
        <c:overlap val="-27"/>
        <c:axId val="505100320"/>
        <c:axId val="505103064"/>
      </c:barChart>
      <c:catAx>
        <c:axId val="50510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5103064"/>
        <c:crosses val="autoZero"/>
        <c:auto val="1"/>
        <c:lblAlgn val="ctr"/>
        <c:lblOffset val="100"/>
        <c:noMultiLvlLbl val="0"/>
      </c:catAx>
      <c:valAx>
        <c:axId val="505103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5100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'estadisticas 2025'!$AN$200</c:f>
              <c:strCache>
                <c:ptCount val="1"/>
                <c:pt idx="0">
                  <c:v>ORGANISMOS DE CONTROL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2025'!$AO$199:$AP$199</c:f>
              <c:strCache>
                <c:ptCount val="2"/>
                <c:pt idx="0">
                  <c:v>N° metas programadas </c:v>
                </c:pt>
                <c:pt idx="1">
                  <c:v>% de cumplimiento</c:v>
                </c:pt>
              </c:strCache>
            </c:strRef>
          </c:cat>
          <c:val>
            <c:numRef>
              <c:f>'estadisticas 2025'!$AO$200:$AP$200</c:f>
              <c:numCache>
                <c:formatCode>General</c:formatCode>
                <c:ptCount val="2"/>
                <c:pt idx="0">
                  <c:v>1</c:v>
                </c:pt>
                <c:pt idx="1">
                  <c:v>100</c:v>
                </c:pt>
              </c:numCache>
            </c:numRef>
          </c:val>
        </c:ser>
        <c:dLbls>
          <c:dLblPos val="outEnd"/>
          <c:showLegendKey val="0"/>
          <c:showVal val="1"/>
          <c:showCatName val="0"/>
          <c:showSerName val="0"/>
          <c:showPercent val="0"/>
          <c:showBubbleSize val="0"/>
        </c:dLbls>
        <c:gapWidth val="219"/>
        <c:overlap val="-27"/>
        <c:axId val="505102280"/>
        <c:axId val="504847584"/>
      </c:barChart>
      <c:catAx>
        <c:axId val="505102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4847584"/>
        <c:crosses val="autoZero"/>
        <c:auto val="1"/>
        <c:lblAlgn val="ctr"/>
        <c:lblOffset val="100"/>
        <c:noMultiLvlLbl val="0"/>
      </c:catAx>
      <c:valAx>
        <c:axId val="504847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51022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'estadisticas 2025'!$AN$203</c:f>
              <c:strCache>
                <c:ptCount val="1"/>
                <c:pt idx="0">
                  <c:v>SALUD Y PROTECCIÓN SOCIAL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2025'!$AO$202:$AP$202</c:f>
              <c:strCache>
                <c:ptCount val="2"/>
                <c:pt idx="0">
                  <c:v>N° metas programadas </c:v>
                </c:pt>
                <c:pt idx="1">
                  <c:v>% de cumplimiento</c:v>
                </c:pt>
              </c:strCache>
            </c:strRef>
          </c:cat>
          <c:val>
            <c:numRef>
              <c:f>'estadisticas 2025'!$AO$203:$AP$203</c:f>
              <c:numCache>
                <c:formatCode>General</c:formatCode>
                <c:ptCount val="2"/>
                <c:pt idx="0">
                  <c:v>18</c:v>
                </c:pt>
                <c:pt idx="1">
                  <c:v>99</c:v>
                </c:pt>
              </c:numCache>
            </c:numRef>
          </c:val>
        </c:ser>
        <c:dLbls>
          <c:dLblPos val="outEnd"/>
          <c:showLegendKey val="0"/>
          <c:showVal val="1"/>
          <c:showCatName val="0"/>
          <c:showSerName val="0"/>
          <c:showPercent val="0"/>
          <c:showBubbleSize val="0"/>
        </c:dLbls>
        <c:gapWidth val="219"/>
        <c:overlap val="-27"/>
        <c:axId val="504850720"/>
        <c:axId val="504850328"/>
      </c:barChart>
      <c:catAx>
        <c:axId val="50485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4850328"/>
        <c:crosses val="autoZero"/>
        <c:auto val="1"/>
        <c:lblAlgn val="ctr"/>
        <c:lblOffset val="100"/>
        <c:noMultiLvlLbl val="0"/>
      </c:catAx>
      <c:valAx>
        <c:axId val="504850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48507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'estadisticas 2025'!$AN$206</c:f>
              <c:strCache>
                <c:ptCount val="1"/>
                <c:pt idx="0">
                  <c:v>TECNOLOGÍAS DE LA INFORMACIÓN Y LAS COMUNICACIONES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2025'!$AO$205:$AP$205</c:f>
              <c:strCache>
                <c:ptCount val="2"/>
                <c:pt idx="0">
                  <c:v>N° metas programadas </c:v>
                </c:pt>
                <c:pt idx="1">
                  <c:v>% de cumplimiento</c:v>
                </c:pt>
              </c:strCache>
            </c:strRef>
          </c:cat>
          <c:val>
            <c:numRef>
              <c:f>'estadisticas 2025'!$AO$206:$AP$206</c:f>
              <c:numCache>
                <c:formatCode>General</c:formatCode>
                <c:ptCount val="2"/>
                <c:pt idx="0">
                  <c:v>4</c:v>
                </c:pt>
                <c:pt idx="1">
                  <c:v>22</c:v>
                </c:pt>
              </c:numCache>
            </c:numRef>
          </c:val>
        </c:ser>
        <c:dLbls>
          <c:dLblPos val="outEnd"/>
          <c:showLegendKey val="0"/>
          <c:showVal val="1"/>
          <c:showCatName val="0"/>
          <c:showSerName val="0"/>
          <c:showPercent val="0"/>
          <c:showBubbleSize val="0"/>
        </c:dLbls>
        <c:gapWidth val="219"/>
        <c:overlap val="-27"/>
        <c:axId val="504843664"/>
        <c:axId val="504851112"/>
      </c:barChart>
      <c:catAx>
        <c:axId val="50484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4851112"/>
        <c:crosses val="autoZero"/>
        <c:auto val="1"/>
        <c:lblAlgn val="ctr"/>
        <c:lblOffset val="100"/>
        <c:noMultiLvlLbl val="0"/>
      </c:catAx>
      <c:valAx>
        <c:axId val="504851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48436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'estadisticas 2025'!$AR$188</c:f>
              <c:strCache>
                <c:ptCount val="1"/>
                <c:pt idx="0">
                  <c:v>TRABAJO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2025'!$AS$187:$AT$187</c:f>
              <c:strCache>
                <c:ptCount val="2"/>
                <c:pt idx="0">
                  <c:v>N° metas programadas </c:v>
                </c:pt>
                <c:pt idx="1">
                  <c:v>% de cumplimiento</c:v>
                </c:pt>
              </c:strCache>
            </c:strRef>
          </c:cat>
          <c:val>
            <c:numRef>
              <c:f>'estadisticas 2025'!$AS$188:$AT$188</c:f>
              <c:numCache>
                <c:formatCode>General</c:formatCode>
                <c:ptCount val="2"/>
                <c:pt idx="0">
                  <c:v>5</c:v>
                </c:pt>
                <c:pt idx="1">
                  <c:v>39</c:v>
                </c:pt>
              </c:numCache>
            </c:numRef>
          </c:val>
        </c:ser>
        <c:dLbls>
          <c:dLblPos val="outEnd"/>
          <c:showLegendKey val="0"/>
          <c:showVal val="1"/>
          <c:showCatName val="0"/>
          <c:showSerName val="0"/>
          <c:showPercent val="0"/>
          <c:showBubbleSize val="0"/>
        </c:dLbls>
        <c:gapWidth val="219"/>
        <c:overlap val="-27"/>
        <c:axId val="504848368"/>
        <c:axId val="504844056"/>
      </c:barChart>
      <c:catAx>
        <c:axId val="50484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4844056"/>
        <c:crosses val="autoZero"/>
        <c:auto val="1"/>
        <c:lblAlgn val="ctr"/>
        <c:lblOffset val="100"/>
        <c:noMultiLvlLbl val="0"/>
      </c:catAx>
      <c:valAx>
        <c:axId val="504844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48483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'estadisticas 2025'!$AR$191</c:f>
              <c:strCache>
                <c:ptCount val="1"/>
                <c:pt idx="0">
                  <c:v>TRANSPORTE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2025'!$AS$190:$AT$190</c:f>
              <c:strCache>
                <c:ptCount val="2"/>
                <c:pt idx="0">
                  <c:v>N° metas programadas </c:v>
                </c:pt>
                <c:pt idx="1">
                  <c:v>% de cumplimiento</c:v>
                </c:pt>
              </c:strCache>
            </c:strRef>
          </c:cat>
          <c:val>
            <c:numRef>
              <c:f>'estadisticas 2025'!$AS$191:$AT$191</c:f>
              <c:numCache>
                <c:formatCode>General</c:formatCode>
                <c:ptCount val="2"/>
                <c:pt idx="0">
                  <c:v>3</c:v>
                </c:pt>
                <c:pt idx="1">
                  <c:v>33</c:v>
                </c:pt>
              </c:numCache>
            </c:numRef>
          </c:val>
        </c:ser>
        <c:dLbls>
          <c:dLblPos val="outEnd"/>
          <c:showLegendKey val="0"/>
          <c:showVal val="1"/>
          <c:showCatName val="0"/>
          <c:showSerName val="0"/>
          <c:showPercent val="0"/>
          <c:showBubbleSize val="0"/>
        </c:dLbls>
        <c:gapWidth val="219"/>
        <c:overlap val="-27"/>
        <c:axId val="504845232"/>
        <c:axId val="504842488"/>
      </c:barChart>
      <c:catAx>
        <c:axId val="50484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4842488"/>
        <c:crosses val="autoZero"/>
        <c:auto val="1"/>
        <c:lblAlgn val="ctr"/>
        <c:lblOffset val="100"/>
        <c:noMultiLvlLbl val="0"/>
      </c:catAx>
      <c:valAx>
        <c:axId val="504842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4845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'estadisticas 2025'!$AR$194</c:f>
              <c:strCache>
                <c:ptCount val="1"/>
                <c:pt idx="0">
                  <c:v>VIVIENDA, CIUDAD Y TERRITORIO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2025'!$AS$193:$AT$193</c:f>
              <c:strCache>
                <c:ptCount val="2"/>
                <c:pt idx="0">
                  <c:v>N° metas programadas </c:v>
                </c:pt>
                <c:pt idx="1">
                  <c:v>% de cumplimiento</c:v>
                </c:pt>
              </c:strCache>
            </c:strRef>
          </c:cat>
          <c:val>
            <c:numRef>
              <c:f>'estadisticas 2025'!$AS$194:$AT$194</c:f>
              <c:numCache>
                <c:formatCode>General</c:formatCode>
                <c:ptCount val="2"/>
                <c:pt idx="0">
                  <c:v>10</c:v>
                </c:pt>
                <c:pt idx="1">
                  <c:v>50</c:v>
                </c:pt>
              </c:numCache>
            </c:numRef>
          </c:val>
        </c:ser>
        <c:dLbls>
          <c:dLblPos val="outEnd"/>
          <c:showLegendKey val="0"/>
          <c:showVal val="1"/>
          <c:showCatName val="0"/>
          <c:showSerName val="0"/>
          <c:showPercent val="0"/>
          <c:showBubbleSize val="0"/>
        </c:dLbls>
        <c:gapWidth val="219"/>
        <c:overlap val="-27"/>
        <c:axId val="504846016"/>
        <c:axId val="504849152"/>
      </c:barChart>
      <c:catAx>
        <c:axId val="50484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4849152"/>
        <c:crosses val="autoZero"/>
        <c:auto val="1"/>
        <c:lblAlgn val="ctr"/>
        <c:lblOffset val="100"/>
        <c:noMultiLvlLbl val="0"/>
      </c:catAx>
      <c:valAx>
        <c:axId val="504849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48460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'estadisticas 2025'!$T$211</c:f>
              <c:strCache>
                <c:ptCount val="1"/>
                <c:pt idx="0">
                  <c:v>Secretaria de planeacion y desarrollo territorial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2025'!$U$210:$V$210</c:f>
              <c:strCache>
                <c:ptCount val="2"/>
                <c:pt idx="0">
                  <c:v>N° metas programadas </c:v>
                </c:pt>
                <c:pt idx="1">
                  <c:v>% de cumplimiento</c:v>
                </c:pt>
              </c:strCache>
            </c:strRef>
          </c:cat>
          <c:val>
            <c:numRef>
              <c:f>'estadisticas 2025'!$U$211:$V$211</c:f>
              <c:numCache>
                <c:formatCode>General</c:formatCode>
                <c:ptCount val="2"/>
                <c:pt idx="0">
                  <c:v>24</c:v>
                </c:pt>
                <c:pt idx="1">
                  <c:v>24</c:v>
                </c:pt>
              </c:numCache>
            </c:numRef>
          </c:val>
        </c:ser>
        <c:dLbls>
          <c:dLblPos val="outEnd"/>
          <c:showLegendKey val="0"/>
          <c:showVal val="1"/>
          <c:showCatName val="0"/>
          <c:showSerName val="0"/>
          <c:showPercent val="0"/>
          <c:showBubbleSize val="0"/>
        </c:dLbls>
        <c:gapWidth val="219"/>
        <c:overlap val="-27"/>
        <c:axId val="504851896"/>
        <c:axId val="504841704"/>
      </c:barChart>
      <c:catAx>
        <c:axId val="504851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4841704"/>
        <c:crosses val="autoZero"/>
        <c:auto val="1"/>
        <c:lblAlgn val="ctr"/>
        <c:lblOffset val="100"/>
        <c:noMultiLvlLbl val="0"/>
      </c:catAx>
      <c:valAx>
        <c:axId val="504841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48518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'estadisticas 2025'!$T$214</c:f>
              <c:strCache>
                <c:ptCount val="1"/>
                <c:pt idx="0">
                  <c:v>Secretaria de gobierno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2025'!$U$213:$V$213</c:f>
              <c:strCache>
                <c:ptCount val="2"/>
                <c:pt idx="0">
                  <c:v>N° metas programadas </c:v>
                </c:pt>
                <c:pt idx="1">
                  <c:v>% de cumplimiento</c:v>
                </c:pt>
              </c:strCache>
            </c:strRef>
          </c:cat>
          <c:val>
            <c:numRef>
              <c:f>'estadisticas 2025'!$U$214:$V$214</c:f>
              <c:numCache>
                <c:formatCode>General</c:formatCode>
                <c:ptCount val="2"/>
                <c:pt idx="0">
                  <c:v>40</c:v>
                </c:pt>
                <c:pt idx="1">
                  <c:v>38</c:v>
                </c:pt>
              </c:numCache>
            </c:numRef>
          </c:val>
        </c:ser>
        <c:dLbls>
          <c:dLblPos val="outEnd"/>
          <c:showLegendKey val="0"/>
          <c:showVal val="1"/>
          <c:showCatName val="0"/>
          <c:showSerName val="0"/>
          <c:showPercent val="0"/>
          <c:showBubbleSize val="0"/>
        </c:dLbls>
        <c:gapWidth val="219"/>
        <c:overlap val="-27"/>
        <c:axId val="504842096"/>
        <c:axId val="504843272"/>
      </c:barChart>
      <c:catAx>
        <c:axId val="50484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4843272"/>
        <c:crosses val="autoZero"/>
        <c:auto val="1"/>
        <c:lblAlgn val="ctr"/>
        <c:lblOffset val="100"/>
        <c:noMultiLvlLbl val="0"/>
      </c:catAx>
      <c:valAx>
        <c:axId val="504843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48420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'estadisticas 2025'!$T$217</c:f>
              <c:strCache>
                <c:ptCount val="1"/>
                <c:pt idx="0">
                  <c:v>Secretaria de salud y bienestar social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2025'!$U$216:$V$216</c:f>
              <c:strCache>
                <c:ptCount val="2"/>
                <c:pt idx="0">
                  <c:v>N° metas programadas </c:v>
                </c:pt>
                <c:pt idx="1">
                  <c:v>% de cumplimiento</c:v>
                </c:pt>
              </c:strCache>
            </c:strRef>
          </c:cat>
          <c:val>
            <c:numRef>
              <c:f>'estadisticas 2025'!$U$217:$V$217</c:f>
              <c:numCache>
                <c:formatCode>General</c:formatCode>
                <c:ptCount val="2"/>
                <c:pt idx="0">
                  <c:v>46</c:v>
                </c:pt>
                <c:pt idx="1">
                  <c:v>73</c:v>
                </c:pt>
              </c:numCache>
            </c:numRef>
          </c:val>
        </c:ser>
        <c:dLbls>
          <c:dLblPos val="outEnd"/>
          <c:showLegendKey val="0"/>
          <c:showVal val="1"/>
          <c:showCatName val="0"/>
          <c:showSerName val="0"/>
          <c:showPercent val="0"/>
          <c:showBubbleSize val="0"/>
        </c:dLbls>
        <c:gapWidth val="219"/>
        <c:overlap val="-27"/>
        <c:axId val="504846800"/>
        <c:axId val="504848760"/>
      </c:barChart>
      <c:catAx>
        <c:axId val="50484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4848760"/>
        <c:crosses val="autoZero"/>
        <c:auto val="1"/>
        <c:lblAlgn val="ctr"/>
        <c:lblOffset val="100"/>
        <c:noMultiLvlLbl val="0"/>
      </c:catAx>
      <c:valAx>
        <c:axId val="504848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4846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'estadisticas 2025'!$T$220</c:f>
              <c:strCache>
                <c:ptCount val="1"/>
                <c:pt idx="0">
                  <c:v>UMSP</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2025'!$U$219:$V$219</c:f>
              <c:strCache>
                <c:ptCount val="2"/>
                <c:pt idx="0">
                  <c:v>N° metas programadas </c:v>
                </c:pt>
                <c:pt idx="1">
                  <c:v>% de cumplimiento</c:v>
                </c:pt>
              </c:strCache>
            </c:strRef>
          </c:cat>
          <c:val>
            <c:numRef>
              <c:f>'estadisticas 2025'!$U$220:$V$220</c:f>
              <c:numCache>
                <c:formatCode>General</c:formatCode>
                <c:ptCount val="2"/>
                <c:pt idx="0">
                  <c:v>6</c:v>
                </c:pt>
                <c:pt idx="1">
                  <c:v>67</c:v>
                </c:pt>
              </c:numCache>
            </c:numRef>
          </c:val>
        </c:ser>
        <c:dLbls>
          <c:dLblPos val="outEnd"/>
          <c:showLegendKey val="0"/>
          <c:showVal val="1"/>
          <c:showCatName val="0"/>
          <c:showSerName val="0"/>
          <c:showPercent val="0"/>
          <c:showBubbleSize val="0"/>
        </c:dLbls>
        <c:gapWidth val="219"/>
        <c:overlap val="-27"/>
        <c:axId val="504853464"/>
        <c:axId val="504849544"/>
      </c:barChart>
      <c:catAx>
        <c:axId val="504853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4849544"/>
        <c:crosses val="autoZero"/>
        <c:auto val="1"/>
        <c:lblAlgn val="ctr"/>
        <c:lblOffset val="100"/>
        <c:noMultiLvlLbl val="0"/>
      </c:catAx>
      <c:valAx>
        <c:axId val="504849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48534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'estadisticas 2025'!$T$223</c:f>
              <c:strCache>
                <c:ptCount val="1"/>
                <c:pt idx="0">
                  <c:v>UMATA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'estadisticas 2025'!$U$222:$V$222</c:f>
              <c:strCache>
                <c:ptCount val="2"/>
                <c:pt idx="0">
                  <c:v>N° metas programadas </c:v>
                </c:pt>
                <c:pt idx="1">
                  <c:v>% de cumplimiento</c:v>
                </c:pt>
              </c:strCache>
            </c:strRef>
          </c:cat>
          <c:val>
            <c:numRef>
              <c:f>'estadisticas 2025'!$U$223:$V$223</c:f>
              <c:numCache>
                <c:formatCode>General</c:formatCode>
                <c:ptCount val="2"/>
                <c:pt idx="0">
                  <c:v>20</c:v>
                </c:pt>
                <c:pt idx="1">
                  <c:v>42</c:v>
                </c:pt>
              </c:numCache>
            </c:numRef>
          </c:val>
        </c:ser>
        <c:dLbls>
          <c:dLblPos val="outEnd"/>
          <c:showLegendKey val="0"/>
          <c:showVal val="1"/>
          <c:showCatName val="0"/>
          <c:showSerName val="0"/>
          <c:showPercent val="0"/>
          <c:showBubbleSize val="0"/>
        </c:dLbls>
        <c:gapWidth val="219"/>
        <c:overlap val="-27"/>
        <c:axId val="504842880"/>
        <c:axId val="504844448"/>
      </c:barChart>
      <c:catAx>
        <c:axId val="50484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4844448"/>
        <c:crosses val="autoZero"/>
        <c:auto val="1"/>
        <c:lblAlgn val="ctr"/>
        <c:lblOffset val="100"/>
        <c:noMultiLvlLbl val="0"/>
      </c:catAx>
      <c:valAx>
        <c:axId val="504844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048428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s>
</file>

<file path=xl/drawings/_rels/drawing2.xml.rels><?xml version="1.0" encoding="UTF-8" standalone="yes"?>
<Relationships xmlns="http://schemas.openxmlformats.org/package/2006/relationships"><Relationship Id="rId8" Type="http://schemas.openxmlformats.org/officeDocument/2006/relationships/chart" Target="../charts/chart34.xml"/><Relationship Id="rId13" Type="http://schemas.openxmlformats.org/officeDocument/2006/relationships/chart" Target="../charts/chart39.xml"/><Relationship Id="rId18" Type="http://schemas.openxmlformats.org/officeDocument/2006/relationships/chart" Target="../charts/chart44.xml"/><Relationship Id="rId3" Type="http://schemas.openxmlformats.org/officeDocument/2006/relationships/chart" Target="../charts/chart29.xml"/><Relationship Id="rId21" Type="http://schemas.openxmlformats.org/officeDocument/2006/relationships/chart" Target="../charts/chart47.xml"/><Relationship Id="rId7" Type="http://schemas.openxmlformats.org/officeDocument/2006/relationships/chart" Target="../charts/chart33.xml"/><Relationship Id="rId12" Type="http://schemas.openxmlformats.org/officeDocument/2006/relationships/chart" Target="../charts/chart38.xml"/><Relationship Id="rId17" Type="http://schemas.openxmlformats.org/officeDocument/2006/relationships/chart" Target="../charts/chart43.xml"/><Relationship Id="rId2" Type="http://schemas.openxmlformats.org/officeDocument/2006/relationships/chart" Target="../charts/chart28.xml"/><Relationship Id="rId16" Type="http://schemas.openxmlformats.org/officeDocument/2006/relationships/chart" Target="../charts/chart42.xml"/><Relationship Id="rId20" Type="http://schemas.openxmlformats.org/officeDocument/2006/relationships/chart" Target="../charts/chart46.xml"/><Relationship Id="rId1" Type="http://schemas.openxmlformats.org/officeDocument/2006/relationships/chart" Target="../charts/chart27.xml"/><Relationship Id="rId6" Type="http://schemas.openxmlformats.org/officeDocument/2006/relationships/chart" Target="../charts/chart32.xml"/><Relationship Id="rId11" Type="http://schemas.openxmlformats.org/officeDocument/2006/relationships/chart" Target="../charts/chart37.xml"/><Relationship Id="rId5" Type="http://schemas.openxmlformats.org/officeDocument/2006/relationships/chart" Target="../charts/chart31.xml"/><Relationship Id="rId15" Type="http://schemas.openxmlformats.org/officeDocument/2006/relationships/chart" Target="../charts/chart41.xml"/><Relationship Id="rId10" Type="http://schemas.openxmlformats.org/officeDocument/2006/relationships/chart" Target="../charts/chart36.xml"/><Relationship Id="rId19" Type="http://schemas.openxmlformats.org/officeDocument/2006/relationships/chart" Target="../charts/chart45.xml"/><Relationship Id="rId4" Type="http://schemas.openxmlformats.org/officeDocument/2006/relationships/chart" Target="../charts/chart30.xml"/><Relationship Id="rId9" Type="http://schemas.openxmlformats.org/officeDocument/2006/relationships/chart" Target="../charts/chart35.xml"/><Relationship Id="rId14" Type="http://schemas.openxmlformats.org/officeDocument/2006/relationships/chart" Target="../charts/chart40.xml"/></Relationships>
</file>

<file path=xl/drawings/drawing1.xml><?xml version="1.0" encoding="utf-8"?>
<xdr:wsDr xmlns:xdr="http://schemas.openxmlformats.org/drawingml/2006/spreadsheetDrawing" xmlns:a="http://schemas.openxmlformats.org/drawingml/2006/main">
  <xdr:twoCellAnchor>
    <xdr:from>
      <xdr:col>30</xdr:col>
      <xdr:colOff>642937</xdr:colOff>
      <xdr:row>99</xdr:row>
      <xdr:rowOff>130969</xdr:rowOff>
    </xdr:from>
    <xdr:to>
      <xdr:col>32</xdr:col>
      <xdr:colOff>381000</xdr:colOff>
      <xdr:row>104</xdr:row>
      <xdr:rowOff>107157</xdr:rowOff>
    </xdr:to>
    <xdr:graphicFrame macro="">
      <xdr:nvGraphicFramePr>
        <xdr:cNvPr id="3" name="Gráfico 2">
          <a:extLst>
            <a:ext uri="{FF2B5EF4-FFF2-40B4-BE49-F238E27FC236}">
              <a16:creationId xmlns:a16="http://schemas.microsoft.com/office/drawing/2014/main" xmlns=""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33</xdr:col>
      <xdr:colOff>504825</xdr:colOff>
      <xdr:row>66</xdr:row>
      <xdr:rowOff>177401</xdr:rowOff>
    </xdr:from>
    <xdr:to>
      <xdr:col>35</xdr:col>
      <xdr:colOff>633412</xdr:colOff>
      <xdr:row>108</xdr:row>
      <xdr:rowOff>19050</xdr:rowOff>
    </xdr:to>
    <xdr:graphicFrame macro="">
      <xdr:nvGraphicFramePr>
        <xdr:cNvPr id="4" name="Gráfico 3">
          <a:extLst>
            <a:ext uri="{FF2B5EF4-FFF2-40B4-BE49-F238E27FC236}">
              <a16:creationId xmlns:a16="http://schemas.microsoft.com/office/drawing/2014/main" xmlns=""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380999</xdr:colOff>
      <xdr:row>115</xdr:row>
      <xdr:rowOff>146446</xdr:rowOff>
    </xdr:from>
    <xdr:to>
      <xdr:col>33</xdr:col>
      <xdr:colOff>130968</xdr:colOff>
      <xdr:row>122</xdr:row>
      <xdr:rowOff>107156</xdr:rowOff>
    </xdr:to>
    <xdr:graphicFrame macro="">
      <xdr:nvGraphicFramePr>
        <xdr:cNvPr id="5" name="Gráfico 4">
          <a:extLst>
            <a:ext uri="{FF2B5EF4-FFF2-40B4-BE49-F238E27FC236}">
              <a16:creationId xmlns:a16="http://schemas.microsoft.com/office/drawing/2014/main" xmlns=""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142875</xdr:colOff>
      <xdr:row>122</xdr:row>
      <xdr:rowOff>86916</xdr:rowOff>
    </xdr:from>
    <xdr:to>
      <xdr:col>29</xdr:col>
      <xdr:colOff>642938</xdr:colOff>
      <xdr:row>127</xdr:row>
      <xdr:rowOff>130970</xdr:rowOff>
    </xdr:to>
    <xdr:graphicFrame macro="">
      <xdr:nvGraphicFramePr>
        <xdr:cNvPr id="7" name="Gráfico 6">
          <a:extLst>
            <a:ext uri="{FF2B5EF4-FFF2-40B4-BE49-F238E27FC236}">
              <a16:creationId xmlns:a16="http://schemas.microsoft.com/office/drawing/2014/main" xmlns=""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354806</xdr:colOff>
      <xdr:row>130</xdr:row>
      <xdr:rowOff>80963</xdr:rowOff>
    </xdr:from>
    <xdr:to>
      <xdr:col>31</xdr:col>
      <xdr:colOff>531018</xdr:colOff>
      <xdr:row>131</xdr:row>
      <xdr:rowOff>133351</xdr:rowOff>
    </xdr:to>
    <xdr:graphicFrame macro="">
      <xdr:nvGraphicFramePr>
        <xdr:cNvPr id="8" name="Gráfico 7">
          <a:extLst>
            <a:ext uri="{FF2B5EF4-FFF2-40B4-BE49-F238E27FC236}">
              <a16:creationId xmlns:a16="http://schemas.microsoft.com/office/drawing/2014/main" xmlns=""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0</xdr:colOff>
      <xdr:row>107</xdr:row>
      <xdr:rowOff>4762</xdr:rowOff>
    </xdr:from>
    <xdr:to>
      <xdr:col>20</xdr:col>
      <xdr:colOff>2028825</xdr:colOff>
      <xdr:row>108</xdr:row>
      <xdr:rowOff>152400</xdr:rowOff>
    </xdr:to>
    <xdr:graphicFrame macro="">
      <xdr:nvGraphicFramePr>
        <xdr:cNvPr id="9" name="Gráfico 8">
          <a:extLst>
            <a:ext uri="{FF2B5EF4-FFF2-40B4-BE49-F238E27FC236}">
              <a16:creationId xmlns:a16="http://schemas.microsoft.com/office/drawing/2014/main" xmlns=""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2352675</xdr:colOff>
      <xdr:row>110</xdr:row>
      <xdr:rowOff>33337</xdr:rowOff>
    </xdr:from>
    <xdr:to>
      <xdr:col>20</xdr:col>
      <xdr:colOff>1847850</xdr:colOff>
      <xdr:row>111</xdr:row>
      <xdr:rowOff>152400</xdr:rowOff>
    </xdr:to>
    <xdr:graphicFrame macro="">
      <xdr:nvGraphicFramePr>
        <xdr:cNvPr id="10" name="Gráfico 9">
          <a:extLst>
            <a:ext uri="{FF2B5EF4-FFF2-40B4-BE49-F238E27FC236}">
              <a16:creationId xmlns:a16="http://schemas.microsoft.com/office/drawing/2014/main" xmlns=""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1895475</xdr:colOff>
      <xdr:row>113</xdr:row>
      <xdr:rowOff>4762</xdr:rowOff>
    </xdr:from>
    <xdr:to>
      <xdr:col>20</xdr:col>
      <xdr:colOff>2019300</xdr:colOff>
      <xdr:row>114</xdr:row>
      <xdr:rowOff>161925</xdr:rowOff>
    </xdr:to>
    <xdr:graphicFrame macro="">
      <xdr:nvGraphicFramePr>
        <xdr:cNvPr id="11" name="Gráfico 10">
          <a:extLst>
            <a:ext uri="{FF2B5EF4-FFF2-40B4-BE49-F238E27FC236}">
              <a16:creationId xmlns:a16="http://schemas.microsoft.com/office/drawing/2014/main" xmlns="" id="{00000000-0008-0000-02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2181225</xdr:colOff>
      <xdr:row>116</xdr:row>
      <xdr:rowOff>4762</xdr:rowOff>
    </xdr:from>
    <xdr:to>
      <xdr:col>21</xdr:col>
      <xdr:colOff>342900</xdr:colOff>
      <xdr:row>117</xdr:row>
      <xdr:rowOff>133350</xdr:rowOff>
    </xdr:to>
    <xdr:graphicFrame macro="">
      <xdr:nvGraphicFramePr>
        <xdr:cNvPr id="12" name="Gráfico 11">
          <a:extLst>
            <a:ext uri="{FF2B5EF4-FFF2-40B4-BE49-F238E27FC236}">
              <a16:creationId xmlns:a16="http://schemas.microsoft.com/office/drawing/2014/main" xmlns="" id="{00000000-0008-0000-02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2457450</xdr:colOff>
      <xdr:row>118</xdr:row>
      <xdr:rowOff>185737</xdr:rowOff>
    </xdr:from>
    <xdr:to>
      <xdr:col>21</xdr:col>
      <xdr:colOff>619125</xdr:colOff>
      <xdr:row>120</xdr:row>
      <xdr:rowOff>171450</xdr:rowOff>
    </xdr:to>
    <xdr:graphicFrame macro="">
      <xdr:nvGraphicFramePr>
        <xdr:cNvPr id="13" name="Gráfico 12">
          <a:extLst>
            <a:ext uri="{FF2B5EF4-FFF2-40B4-BE49-F238E27FC236}">
              <a16:creationId xmlns:a16="http://schemas.microsoft.com/office/drawing/2014/main" xmlns="" id="{00000000-0008-0000-02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2343150</xdr:colOff>
      <xdr:row>123</xdr:row>
      <xdr:rowOff>14287</xdr:rowOff>
    </xdr:from>
    <xdr:to>
      <xdr:col>21</xdr:col>
      <xdr:colOff>504825</xdr:colOff>
      <xdr:row>124</xdr:row>
      <xdr:rowOff>152400</xdr:rowOff>
    </xdr:to>
    <xdr:graphicFrame macro="">
      <xdr:nvGraphicFramePr>
        <xdr:cNvPr id="14" name="Gráfico 13">
          <a:extLst>
            <a:ext uri="{FF2B5EF4-FFF2-40B4-BE49-F238E27FC236}">
              <a16:creationId xmlns:a16="http://schemas.microsoft.com/office/drawing/2014/main" xmlns="" id="{00000000-0008-0000-02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2266950</xdr:colOff>
      <xdr:row>126</xdr:row>
      <xdr:rowOff>4762</xdr:rowOff>
    </xdr:from>
    <xdr:to>
      <xdr:col>21</xdr:col>
      <xdr:colOff>428625</xdr:colOff>
      <xdr:row>127</xdr:row>
      <xdr:rowOff>180975</xdr:rowOff>
    </xdr:to>
    <xdr:graphicFrame macro="">
      <xdr:nvGraphicFramePr>
        <xdr:cNvPr id="15" name="Gráfico 14">
          <a:extLst>
            <a:ext uri="{FF2B5EF4-FFF2-40B4-BE49-F238E27FC236}">
              <a16:creationId xmlns:a16="http://schemas.microsoft.com/office/drawing/2014/main" xmlns="" id="{00000000-0008-0000-02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2428875</xdr:colOff>
      <xdr:row>129</xdr:row>
      <xdr:rowOff>23812</xdr:rowOff>
    </xdr:from>
    <xdr:to>
      <xdr:col>21</xdr:col>
      <xdr:colOff>590550</xdr:colOff>
      <xdr:row>131</xdr:row>
      <xdr:rowOff>0</xdr:rowOff>
    </xdr:to>
    <xdr:graphicFrame macro="">
      <xdr:nvGraphicFramePr>
        <xdr:cNvPr id="16" name="Gráfico 15">
          <a:extLst>
            <a:ext uri="{FF2B5EF4-FFF2-40B4-BE49-F238E27FC236}">
              <a16:creationId xmlns:a16="http://schemas.microsoft.com/office/drawing/2014/main" xmlns="" id="{00000000-0008-0000-02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2466975</xdr:colOff>
      <xdr:row>132</xdr:row>
      <xdr:rowOff>23812</xdr:rowOff>
    </xdr:from>
    <xdr:to>
      <xdr:col>21</xdr:col>
      <xdr:colOff>628650</xdr:colOff>
      <xdr:row>133</xdr:row>
      <xdr:rowOff>171450</xdr:rowOff>
    </xdr:to>
    <xdr:graphicFrame macro="">
      <xdr:nvGraphicFramePr>
        <xdr:cNvPr id="17" name="Gráfico 16">
          <a:extLst>
            <a:ext uri="{FF2B5EF4-FFF2-40B4-BE49-F238E27FC236}">
              <a16:creationId xmlns:a16="http://schemas.microsoft.com/office/drawing/2014/main" xmlns="" id="{00000000-0008-0000-02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2390775</xdr:colOff>
      <xdr:row>135</xdr:row>
      <xdr:rowOff>42862</xdr:rowOff>
    </xdr:from>
    <xdr:to>
      <xdr:col>21</xdr:col>
      <xdr:colOff>552450</xdr:colOff>
      <xdr:row>136</xdr:row>
      <xdr:rowOff>171450</xdr:rowOff>
    </xdr:to>
    <xdr:graphicFrame macro="">
      <xdr:nvGraphicFramePr>
        <xdr:cNvPr id="18" name="Gráfico 17">
          <a:extLst>
            <a:ext uri="{FF2B5EF4-FFF2-40B4-BE49-F238E27FC236}">
              <a16:creationId xmlns:a16="http://schemas.microsoft.com/office/drawing/2014/main" xmlns="" id="{00000000-0008-0000-02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2333625</xdr:colOff>
      <xdr:row>137</xdr:row>
      <xdr:rowOff>166687</xdr:rowOff>
    </xdr:from>
    <xdr:to>
      <xdr:col>21</xdr:col>
      <xdr:colOff>495300</xdr:colOff>
      <xdr:row>140</xdr:row>
      <xdr:rowOff>9525</xdr:rowOff>
    </xdr:to>
    <xdr:graphicFrame macro="">
      <xdr:nvGraphicFramePr>
        <xdr:cNvPr id="19" name="Gráfico 18">
          <a:extLst>
            <a:ext uri="{FF2B5EF4-FFF2-40B4-BE49-F238E27FC236}">
              <a16:creationId xmlns:a16="http://schemas.microsoft.com/office/drawing/2014/main" xmlns="" id="{00000000-0008-0000-02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2476500</xdr:colOff>
      <xdr:row>141</xdr:row>
      <xdr:rowOff>33337</xdr:rowOff>
    </xdr:from>
    <xdr:to>
      <xdr:col>21</xdr:col>
      <xdr:colOff>638175</xdr:colOff>
      <xdr:row>143</xdr:row>
      <xdr:rowOff>9525</xdr:rowOff>
    </xdr:to>
    <xdr:graphicFrame macro="">
      <xdr:nvGraphicFramePr>
        <xdr:cNvPr id="20" name="Gráfico 19">
          <a:extLst>
            <a:ext uri="{FF2B5EF4-FFF2-40B4-BE49-F238E27FC236}">
              <a16:creationId xmlns:a16="http://schemas.microsoft.com/office/drawing/2014/main" xmlns="" id="{00000000-0008-0000-02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2505075</xdr:colOff>
      <xdr:row>144</xdr:row>
      <xdr:rowOff>33337</xdr:rowOff>
    </xdr:from>
    <xdr:to>
      <xdr:col>21</xdr:col>
      <xdr:colOff>666750</xdr:colOff>
      <xdr:row>146</xdr:row>
      <xdr:rowOff>0</xdr:rowOff>
    </xdr:to>
    <xdr:graphicFrame macro="">
      <xdr:nvGraphicFramePr>
        <xdr:cNvPr id="21" name="Gráfico 20">
          <a:extLst>
            <a:ext uri="{FF2B5EF4-FFF2-40B4-BE49-F238E27FC236}">
              <a16:creationId xmlns:a16="http://schemas.microsoft.com/office/drawing/2014/main" xmlns="" id="{00000000-0008-0000-02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2447925</xdr:colOff>
      <xdr:row>147</xdr:row>
      <xdr:rowOff>33337</xdr:rowOff>
    </xdr:from>
    <xdr:to>
      <xdr:col>21</xdr:col>
      <xdr:colOff>609600</xdr:colOff>
      <xdr:row>149</xdr:row>
      <xdr:rowOff>19050</xdr:rowOff>
    </xdr:to>
    <xdr:graphicFrame macro="">
      <xdr:nvGraphicFramePr>
        <xdr:cNvPr id="22" name="Gráfico 21">
          <a:extLst>
            <a:ext uri="{FF2B5EF4-FFF2-40B4-BE49-F238E27FC236}">
              <a16:creationId xmlns:a16="http://schemas.microsoft.com/office/drawing/2014/main" xmlns="" id="{00000000-0008-0000-02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xdr:col>
      <xdr:colOff>2514600</xdr:colOff>
      <xdr:row>150</xdr:row>
      <xdr:rowOff>33337</xdr:rowOff>
    </xdr:from>
    <xdr:to>
      <xdr:col>21</xdr:col>
      <xdr:colOff>676275</xdr:colOff>
      <xdr:row>152</xdr:row>
      <xdr:rowOff>19050</xdr:rowOff>
    </xdr:to>
    <xdr:graphicFrame macro="">
      <xdr:nvGraphicFramePr>
        <xdr:cNvPr id="23" name="Gráfico 22">
          <a:extLst>
            <a:ext uri="{FF2B5EF4-FFF2-40B4-BE49-F238E27FC236}">
              <a16:creationId xmlns:a16="http://schemas.microsoft.com/office/drawing/2014/main" xmlns="" id="{00000000-0008-0000-02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2362200</xdr:colOff>
      <xdr:row>153</xdr:row>
      <xdr:rowOff>14287</xdr:rowOff>
    </xdr:from>
    <xdr:to>
      <xdr:col>21</xdr:col>
      <xdr:colOff>523875</xdr:colOff>
      <xdr:row>154</xdr:row>
      <xdr:rowOff>180975</xdr:rowOff>
    </xdr:to>
    <xdr:graphicFrame macro="">
      <xdr:nvGraphicFramePr>
        <xdr:cNvPr id="25" name="Gráfico 24">
          <a:extLst>
            <a:ext uri="{FF2B5EF4-FFF2-40B4-BE49-F238E27FC236}">
              <a16:creationId xmlns:a16="http://schemas.microsoft.com/office/drawing/2014/main" xmlns="" id="{00000000-0008-0000-02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xdr:col>
      <xdr:colOff>2333625</xdr:colOff>
      <xdr:row>155</xdr:row>
      <xdr:rowOff>176212</xdr:rowOff>
    </xdr:from>
    <xdr:to>
      <xdr:col>21</xdr:col>
      <xdr:colOff>495300</xdr:colOff>
      <xdr:row>157</xdr:row>
      <xdr:rowOff>152400</xdr:rowOff>
    </xdr:to>
    <xdr:graphicFrame macro="">
      <xdr:nvGraphicFramePr>
        <xdr:cNvPr id="26" name="Gráfico 25">
          <a:extLst>
            <a:ext uri="{FF2B5EF4-FFF2-40B4-BE49-F238E27FC236}">
              <a16:creationId xmlns:a16="http://schemas.microsoft.com/office/drawing/2014/main" xmlns="" id="{00000000-0008-0000-02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xdr:col>
      <xdr:colOff>2390775</xdr:colOff>
      <xdr:row>159</xdr:row>
      <xdr:rowOff>14287</xdr:rowOff>
    </xdr:from>
    <xdr:to>
      <xdr:col>21</xdr:col>
      <xdr:colOff>552450</xdr:colOff>
      <xdr:row>161</xdr:row>
      <xdr:rowOff>9525</xdr:rowOff>
    </xdr:to>
    <xdr:graphicFrame macro="">
      <xdr:nvGraphicFramePr>
        <xdr:cNvPr id="27" name="Gráfico 26">
          <a:extLst>
            <a:ext uri="{FF2B5EF4-FFF2-40B4-BE49-F238E27FC236}">
              <a16:creationId xmlns:a16="http://schemas.microsoft.com/office/drawing/2014/main" xmlns="" id="{00000000-0008-0000-02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xdr:col>
      <xdr:colOff>2505075</xdr:colOff>
      <xdr:row>162</xdr:row>
      <xdr:rowOff>4762</xdr:rowOff>
    </xdr:from>
    <xdr:to>
      <xdr:col>21</xdr:col>
      <xdr:colOff>666750</xdr:colOff>
      <xdr:row>163</xdr:row>
      <xdr:rowOff>180975</xdr:rowOff>
    </xdr:to>
    <xdr:graphicFrame macro="">
      <xdr:nvGraphicFramePr>
        <xdr:cNvPr id="28" name="Gráfico 27">
          <a:extLst>
            <a:ext uri="{FF2B5EF4-FFF2-40B4-BE49-F238E27FC236}">
              <a16:creationId xmlns:a16="http://schemas.microsoft.com/office/drawing/2014/main" xmlns="" id="{00000000-0008-0000-02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xdr:col>
      <xdr:colOff>2409825</xdr:colOff>
      <xdr:row>165</xdr:row>
      <xdr:rowOff>33337</xdr:rowOff>
    </xdr:from>
    <xdr:to>
      <xdr:col>21</xdr:col>
      <xdr:colOff>571500</xdr:colOff>
      <xdr:row>167</xdr:row>
      <xdr:rowOff>19050</xdr:rowOff>
    </xdr:to>
    <xdr:graphicFrame macro="">
      <xdr:nvGraphicFramePr>
        <xdr:cNvPr id="29" name="Gráfico 28">
          <a:extLst>
            <a:ext uri="{FF2B5EF4-FFF2-40B4-BE49-F238E27FC236}">
              <a16:creationId xmlns:a16="http://schemas.microsoft.com/office/drawing/2014/main" xmlns="" id="{00000000-0008-0000-02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24</xdr:col>
      <xdr:colOff>327660</xdr:colOff>
      <xdr:row>75</xdr:row>
      <xdr:rowOff>186690</xdr:rowOff>
    </xdr:from>
    <xdr:to>
      <xdr:col>30</xdr:col>
      <xdr:colOff>175260</xdr:colOff>
      <xdr:row>92</xdr:row>
      <xdr:rowOff>72390</xdr:rowOff>
    </xdr:to>
    <xdr:graphicFrame macro="">
      <xdr:nvGraphicFramePr>
        <xdr:cNvPr id="6" name="Gráfico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186</xdr:row>
      <xdr:rowOff>34290</xdr:rowOff>
    </xdr:from>
    <xdr:to>
      <xdr:col>34</xdr:col>
      <xdr:colOff>609600</xdr:colOff>
      <xdr:row>188</xdr:row>
      <xdr:rowOff>45720</xdr:rowOff>
    </xdr:to>
    <xdr:graphicFrame macro="">
      <xdr:nvGraphicFramePr>
        <xdr:cNvPr id="2" name="Gráfico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xdr:colOff>
      <xdr:row>188</xdr:row>
      <xdr:rowOff>110490</xdr:rowOff>
    </xdr:from>
    <xdr:to>
      <xdr:col>34</xdr:col>
      <xdr:colOff>601980</xdr:colOff>
      <xdr:row>190</xdr:row>
      <xdr:rowOff>114300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191</xdr:row>
      <xdr:rowOff>3810</xdr:rowOff>
    </xdr:from>
    <xdr:to>
      <xdr:col>34</xdr:col>
      <xdr:colOff>617220</xdr:colOff>
      <xdr:row>193</xdr:row>
      <xdr:rowOff>45720</xdr:rowOff>
    </xdr:to>
    <xdr:graphicFrame macro="">
      <xdr:nvGraphicFramePr>
        <xdr:cNvPr id="4" name="Gráfico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xdr:colOff>
      <xdr:row>194</xdr:row>
      <xdr:rowOff>3810</xdr:rowOff>
    </xdr:from>
    <xdr:to>
      <xdr:col>34</xdr:col>
      <xdr:colOff>617220</xdr:colOff>
      <xdr:row>196</xdr:row>
      <xdr:rowOff>60960</xdr:rowOff>
    </xdr:to>
    <xdr:graphicFrame macro="">
      <xdr:nvGraphicFramePr>
        <xdr:cNvPr id="5" name="Gráfico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83820</xdr:colOff>
      <xdr:row>197</xdr:row>
      <xdr:rowOff>19050</xdr:rowOff>
    </xdr:from>
    <xdr:to>
      <xdr:col>34</xdr:col>
      <xdr:colOff>670560</xdr:colOff>
      <xdr:row>199</xdr:row>
      <xdr:rowOff>106680</xdr:rowOff>
    </xdr:to>
    <xdr:graphicFrame macro="">
      <xdr:nvGraphicFramePr>
        <xdr:cNvPr id="6" name="Gráfico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53340</xdr:colOff>
      <xdr:row>200</xdr:row>
      <xdr:rowOff>26670</xdr:rowOff>
    </xdr:from>
    <xdr:to>
      <xdr:col>34</xdr:col>
      <xdr:colOff>640080</xdr:colOff>
      <xdr:row>202</xdr:row>
      <xdr:rowOff>45720</xdr:rowOff>
    </xdr:to>
    <xdr:graphicFrame macro="">
      <xdr:nvGraphicFramePr>
        <xdr:cNvPr id="7" name="Gráfico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22860</xdr:colOff>
      <xdr:row>204</xdr:row>
      <xdr:rowOff>3810</xdr:rowOff>
    </xdr:from>
    <xdr:to>
      <xdr:col>34</xdr:col>
      <xdr:colOff>609600</xdr:colOff>
      <xdr:row>206</xdr:row>
      <xdr:rowOff>38100</xdr:rowOff>
    </xdr:to>
    <xdr:graphicFrame macro="">
      <xdr:nvGraphicFramePr>
        <xdr:cNvPr id="8" name="Gráfico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36</xdr:col>
      <xdr:colOff>434340</xdr:colOff>
      <xdr:row>0</xdr:row>
      <xdr:rowOff>83820</xdr:rowOff>
    </xdr:from>
    <xdr:to>
      <xdr:col>42</xdr:col>
      <xdr:colOff>251460</xdr:colOff>
      <xdr:row>94</xdr:row>
      <xdr:rowOff>106680</xdr:rowOff>
    </xdr:to>
    <xdr:graphicFrame macro="">
      <xdr:nvGraphicFramePr>
        <xdr:cNvPr id="9" name="Gráfico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36</xdr:col>
      <xdr:colOff>434340</xdr:colOff>
      <xdr:row>94</xdr:row>
      <xdr:rowOff>148590</xdr:rowOff>
    </xdr:from>
    <xdr:to>
      <xdr:col>42</xdr:col>
      <xdr:colOff>251460</xdr:colOff>
      <xdr:row>130</xdr:row>
      <xdr:rowOff>7620</xdr:rowOff>
    </xdr:to>
    <xdr:graphicFrame macro="">
      <xdr:nvGraphicFramePr>
        <xdr:cNvPr id="11" name="Gráfico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36</xdr:col>
      <xdr:colOff>403860</xdr:colOff>
      <xdr:row>130</xdr:row>
      <xdr:rowOff>41910</xdr:rowOff>
    </xdr:from>
    <xdr:to>
      <xdr:col>42</xdr:col>
      <xdr:colOff>220980</xdr:colOff>
      <xdr:row>132</xdr:row>
      <xdr:rowOff>0</xdr:rowOff>
    </xdr:to>
    <xdr:graphicFrame macro="">
      <xdr:nvGraphicFramePr>
        <xdr:cNvPr id="12" name="Gráfico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36</xdr:col>
      <xdr:colOff>411480</xdr:colOff>
      <xdr:row>132</xdr:row>
      <xdr:rowOff>49530</xdr:rowOff>
    </xdr:from>
    <xdr:to>
      <xdr:col>42</xdr:col>
      <xdr:colOff>228600</xdr:colOff>
      <xdr:row>137</xdr:row>
      <xdr:rowOff>60960</xdr:rowOff>
    </xdr:to>
    <xdr:graphicFrame macro="">
      <xdr:nvGraphicFramePr>
        <xdr:cNvPr id="13" name="Gráfico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36</xdr:col>
      <xdr:colOff>403860</xdr:colOff>
      <xdr:row>137</xdr:row>
      <xdr:rowOff>148590</xdr:rowOff>
    </xdr:from>
    <xdr:to>
      <xdr:col>42</xdr:col>
      <xdr:colOff>220980</xdr:colOff>
      <xdr:row>149</xdr:row>
      <xdr:rowOff>167640</xdr:rowOff>
    </xdr:to>
    <xdr:graphicFrame macro="">
      <xdr:nvGraphicFramePr>
        <xdr:cNvPr id="14" name="Gráfico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42</xdr:col>
      <xdr:colOff>373380</xdr:colOff>
      <xdr:row>0</xdr:row>
      <xdr:rowOff>95250</xdr:rowOff>
    </xdr:from>
    <xdr:to>
      <xdr:col>48</xdr:col>
      <xdr:colOff>190500</xdr:colOff>
      <xdr:row>94</xdr:row>
      <xdr:rowOff>99060</xdr:rowOff>
    </xdr:to>
    <xdr:graphicFrame macro="">
      <xdr:nvGraphicFramePr>
        <xdr:cNvPr id="15" name="Gráfico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42</xdr:col>
      <xdr:colOff>373380</xdr:colOff>
      <xdr:row>94</xdr:row>
      <xdr:rowOff>148590</xdr:rowOff>
    </xdr:from>
    <xdr:to>
      <xdr:col>48</xdr:col>
      <xdr:colOff>190500</xdr:colOff>
      <xdr:row>130</xdr:row>
      <xdr:rowOff>7620</xdr:rowOff>
    </xdr:to>
    <xdr:graphicFrame macro="">
      <xdr:nvGraphicFramePr>
        <xdr:cNvPr id="16" name="Gráfico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42</xdr:col>
      <xdr:colOff>381000</xdr:colOff>
      <xdr:row>130</xdr:row>
      <xdr:rowOff>72390</xdr:rowOff>
    </xdr:from>
    <xdr:to>
      <xdr:col>48</xdr:col>
      <xdr:colOff>198120</xdr:colOff>
      <xdr:row>132</xdr:row>
      <xdr:rowOff>91440</xdr:rowOff>
    </xdr:to>
    <xdr:graphicFrame macro="">
      <xdr:nvGraphicFramePr>
        <xdr:cNvPr id="17" name="Gráfico 1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42</xdr:col>
      <xdr:colOff>373380</xdr:colOff>
      <xdr:row>132</xdr:row>
      <xdr:rowOff>140970</xdr:rowOff>
    </xdr:from>
    <xdr:to>
      <xdr:col>48</xdr:col>
      <xdr:colOff>190500</xdr:colOff>
      <xdr:row>138</xdr:row>
      <xdr:rowOff>0</xdr:rowOff>
    </xdr:to>
    <xdr:graphicFrame macro="">
      <xdr:nvGraphicFramePr>
        <xdr:cNvPr id="18" name="Gráfico 1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777240</xdr:colOff>
      <xdr:row>208</xdr:row>
      <xdr:rowOff>118110</xdr:rowOff>
    </xdr:from>
    <xdr:to>
      <xdr:col>18</xdr:col>
      <xdr:colOff>594360</xdr:colOff>
      <xdr:row>211</xdr:row>
      <xdr:rowOff>38100</xdr:rowOff>
    </xdr:to>
    <xdr:graphicFrame macro="">
      <xdr:nvGraphicFramePr>
        <xdr:cNvPr id="19" name="Gráfico 1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784860</xdr:colOff>
      <xdr:row>212</xdr:row>
      <xdr:rowOff>41910</xdr:rowOff>
    </xdr:from>
    <xdr:to>
      <xdr:col>18</xdr:col>
      <xdr:colOff>601980</xdr:colOff>
      <xdr:row>214</xdr:row>
      <xdr:rowOff>121920</xdr:rowOff>
    </xdr:to>
    <xdr:graphicFrame macro="">
      <xdr:nvGraphicFramePr>
        <xdr:cNvPr id="20" name="Gráfico 1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xdr:col>
      <xdr:colOff>739140</xdr:colOff>
      <xdr:row>215</xdr:row>
      <xdr:rowOff>26670</xdr:rowOff>
    </xdr:from>
    <xdr:to>
      <xdr:col>18</xdr:col>
      <xdr:colOff>556260</xdr:colOff>
      <xdr:row>217</xdr:row>
      <xdr:rowOff>99060</xdr:rowOff>
    </xdr:to>
    <xdr:graphicFrame macro="">
      <xdr:nvGraphicFramePr>
        <xdr:cNvPr id="21" name="Gráfico 2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716280</xdr:colOff>
      <xdr:row>217</xdr:row>
      <xdr:rowOff>140970</xdr:rowOff>
    </xdr:from>
    <xdr:to>
      <xdr:col>18</xdr:col>
      <xdr:colOff>533400</xdr:colOff>
      <xdr:row>220</xdr:row>
      <xdr:rowOff>30480</xdr:rowOff>
    </xdr:to>
    <xdr:graphicFrame macro="">
      <xdr:nvGraphicFramePr>
        <xdr:cNvPr id="22" name="Gráfico 2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13</xdr:col>
      <xdr:colOff>22860</xdr:colOff>
      <xdr:row>220</xdr:row>
      <xdr:rowOff>140970</xdr:rowOff>
    </xdr:from>
    <xdr:to>
      <xdr:col>18</xdr:col>
      <xdr:colOff>632460</xdr:colOff>
      <xdr:row>223</xdr:row>
      <xdr:rowOff>22860</xdr:rowOff>
    </xdr:to>
    <xdr:graphicFrame macro="">
      <xdr:nvGraphicFramePr>
        <xdr:cNvPr id="23" name="Gráfico 2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TRABAJO\ANGELOPOLIS\2024\PLAN%20DE%20DESARROLLO\CATALOGO%20DE%20INDICADORES%20DNP\INDICADORES%20DE%20PRODUCT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tores, programas, subprogram"/>
      <sheetName val="Sectores"/>
      <sheetName val="Productos"/>
      <sheetName val="CATÁLOGO DE PRODUCTOS"/>
    </sheetNames>
    <sheetDataSet>
      <sheetData sheetId="0">
        <row r="8">
          <cell r="C8" t="str">
            <v>0101</v>
          </cell>
          <cell r="D8" t="str">
            <v>Mejoramiento de la eficiencia y la transparencia legislativa</v>
          </cell>
        </row>
        <row r="9">
          <cell r="C9" t="str">
            <v>0199</v>
          </cell>
          <cell r="D9" t="str">
            <v>Fortalecimiento de la gestión y dirección del sector Congreso de la República</v>
          </cell>
        </row>
        <row r="10">
          <cell r="C10" t="str">
            <v>0204</v>
          </cell>
          <cell r="D10" t="str">
            <v>Impulsar el desarrollo integral de las poblaciones con enfoque diferencial desde el sector Presidencia</v>
          </cell>
        </row>
        <row r="11">
          <cell r="C11" t="str">
            <v>0207</v>
          </cell>
          <cell r="D11" t="str">
            <v>Prevención y mitigación del riesgo de desastres desde el sector Presidencia</v>
          </cell>
        </row>
        <row r="12">
          <cell r="C12" t="str">
            <v>0208</v>
          </cell>
          <cell r="D12" t="str">
            <v>Gestión de la cooperación internacional del sector Presidencia</v>
          </cell>
        </row>
        <row r="13">
          <cell r="C13" t="str">
            <v>0209</v>
          </cell>
          <cell r="D13" t="str">
            <v>Fortalecimiento de la infraestructura física de las entidades del Estado del nivel nacional desde el Sector Presidencia</v>
          </cell>
        </row>
        <row r="14">
          <cell r="C14" t="str">
            <v>0210</v>
          </cell>
          <cell r="D14" t="str">
            <v>Mecanismos de transición hacia la paz a nivel nacional y territorial desde el sector Presidencia</v>
          </cell>
        </row>
        <row r="15">
          <cell r="C15" t="str">
            <v>0211</v>
          </cell>
          <cell r="D15" t="str">
            <v>Reintegración de personas y grupos alzados en armas desde el Sector Presidencia</v>
          </cell>
        </row>
        <row r="16">
          <cell r="C16" t="str">
            <v>0212</v>
          </cell>
          <cell r="D16" t="str">
            <v>Renovación territorial para el desarrollo integral de las zonas rurales afectadas por el conflicto armado</v>
          </cell>
        </row>
        <row r="17">
          <cell r="C17" t="str">
            <v>0214</v>
          </cell>
          <cell r="D17" t="str">
            <v>Fortalecimiento de las capacidades de articulación estratégica, modernización, eficiencia administrativa, transparencia y acceso a la información desde el sector Presidencia</v>
          </cell>
        </row>
        <row r="18">
          <cell r="C18" t="str">
            <v>0299</v>
          </cell>
          <cell r="D18" t="str">
            <v>Fortalecimiento de la gestión y dirección del sector Presidencia</v>
          </cell>
        </row>
        <row r="19">
          <cell r="C19" t="str">
            <v>0301</v>
          </cell>
          <cell r="D19" t="str">
            <v>Mejoramiento de la planeación territorial, sectorial y de inversión pública</v>
          </cell>
        </row>
        <row r="20">
          <cell r="C20" t="str">
            <v>0303</v>
          </cell>
          <cell r="D20" t="str">
            <v>Promoción de la prestación eficiente de los servicios públicos domiciliarios</v>
          </cell>
        </row>
        <row r="21">
          <cell r="C21" t="str">
            <v>0304</v>
          </cell>
          <cell r="D21" t="str">
            <v>Fortalecimiento del Sistema de Compra Pública</v>
          </cell>
        </row>
        <row r="22">
          <cell r="C22" t="str">
            <v>0399</v>
          </cell>
          <cell r="D22" t="str">
            <v>Fortalecimiento de la gestión y dirección del sector Planeación</v>
          </cell>
        </row>
        <row r="23">
          <cell r="C23" t="str">
            <v>0401</v>
          </cell>
          <cell r="D23" t="str">
            <v>Levantamiento y actualización de información estadística de calidad</v>
          </cell>
        </row>
        <row r="24">
          <cell r="C24" t="str">
            <v>0406</v>
          </cell>
          <cell r="D24" t="str">
            <v>Generación de la información geográfica del territorio nacional</v>
          </cell>
        </row>
        <row r="25">
          <cell r="C25" t="str">
            <v>0499</v>
          </cell>
          <cell r="D25" t="str">
            <v>Fortalecimiento de la gestión y dirección del sector Información Estadística</v>
          </cell>
        </row>
        <row r="26">
          <cell r="C26" t="str">
            <v>0503</v>
          </cell>
          <cell r="D26" t="str">
            <v xml:space="preserve">Mejoramiento de la calidad educativa en gestión pública </v>
          </cell>
        </row>
        <row r="27">
          <cell r="C27" t="str">
            <v>0504</v>
          </cell>
          <cell r="D27" t="str">
            <v>Administración y vigilancia de las carreras administrativas de los servidores públicos</v>
          </cell>
        </row>
        <row r="28">
          <cell r="C28" t="str">
            <v>0505</v>
          </cell>
          <cell r="D28" t="str">
            <v>Fortalecimiento de la gestión pública en las entidades nacionales y territoriales</v>
          </cell>
        </row>
        <row r="29">
          <cell r="C29" t="str">
            <v>0599</v>
          </cell>
          <cell r="D29" t="str">
            <v>Fortalecimiento de la gestión y dirección del sector Empleo Público</v>
          </cell>
        </row>
        <row r="30">
          <cell r="C30" t="str">
            <v>1101</v>
          </cell>
          <cell r="D30" t="str">
            <v>Fortalecimiento y diversificación de relaciones bilaterales</v>
          </cell>
        </row>
        <row r="31">
          <cell r="C31" t="str">
            <v>1102</v>
          </cell>
          <cell r="D31" t="str">
            <v>Posicionamiento en instancias globales, multilaterales, regionales y subregionales</v>
          </cell>
        </row>
        <row r="32">
          <cell r="C32" t="str">
            <v>1103</v>
          </cell>
          <cell r="D32" t="str">
            <v>Política migratoria y servicio al ciudadano</v>
          </cell>
        </row>
        <row r="33">
          <cell r="C33" t="str">
            <v>1104</v>
          </cell>
          <cell r="D33" t="str">
            <v>Soberanía territorial y desarrollo fronterizo</v>
          </cell>
        </row>
        <row r="34">
          <cell r="C34" t="str">
            <v>1105</v>
          </cell>
          <cell r="D34" t="str">
            <v>Cooperación internacional del sector relaciones exteriores</v>
          </cell>
        </row>
        <row r="35">
          <cell r="C35" t="str">
            <v>1199</v>
          </cell>
          <cell r="D35" t="str">
            <v>Fortalecimiento de la gestión y dirección del sector Relaciones Exteriores</v>
          </cell>
        </row>
        <row r="36">
          <cell r="C36" t="str">
            <v>1201</v>
          </cell>
          <cell r="D36" t="str">
            <v xml:space="preserve"> Fortalecimiento del principio de seguridad jurídica, divulgación y depuración del ordenamiento jurídico</v>
          </cell>
        </row>
        <row r="37">
          <cell r="C37" t="str">
            <v>1202</v>
          </cell>
          <cell r="D37" t="str">
            <v xml:space="preserve"> Promoción al acceso a la justicia</v>
          </cell>
        </row>
        <row r="38">
          <cell r="C38" t="str">
            <v>1203</v>
          </cell>
          <cell r="D38" t="str">
            <v xml:space="preserve"> Promoción de los métodos de resolución de conflictos</v>
          </cell>
        </row>
        <row r="39">
          <cell r="C39" t="str">
            <v>1204</v>
          </cell>
          <cell r="D39" t="str">
            <v>Justicia transicional</v>
          </cell>
        </row>
        <row r="40">
          <cell r="C40" t="str">
            <v>1205</v>
          </cell>
          <cell r="D40" t="str">
            <v>Defensa jurídica del Estado</v>
          </cell>
        </row>
        <row r="41">
          <cell r="C41" t="str">
            <v>1206</v>
          </cell>
          <cell r="D41" t="str">
            <v>Sistema penitenciario y carcelario en el marco de los derechos humanos</v>
          </cell>
        </row>
        <row r="42">
          <cell r="C42" t="str">
            <v>1207</v>
          </cell>
          <cell r="D42" t="str">
            <v>Fortalecimiento de la política criminal del Estado colombiano</v>
          </cell>
        </row>
        <row r="43">
          <cell r="C43" t="str">
            <v>1208</v>
          </cell>
          <cell r="D43" t="str">
            <v>Formulación y coordinación de la política integral frente a las drogas y actividades relacionadas</v>
          </cell>
        </row>
        <row r="44">
          <cell r="C44" t="str">
            <v>1209</v>
          </cell>
          <cell r="D44" t="str">
            <v>Modernización de la información inmobiliaria</v>
          </cell>
        </row>
        <row r="45">
          <cell r="C45" t="str">
            <v>1299</v>
          </cell>
          <cell r="D45" t="str">
            <v>Fortalecimiento de la gestión y dirección del sector Justicia y del Derecho</v>
          </cell>
        </row>
        <row r="46">
          <cell r="C46" t="str">
            <v>1301</v>
          </cell>
          <cell r="D46" t="str">
            <v>Política macroeconómica y fiscal</v>
          </cell>
        </row>
        <row r="47">
          <cell r="C47" t="str">
            <v>1302</v>
          </cell>
          <cell r="D47" t="str">
            <v>Gestión de recursos públicos</v>
          </cell>
        </row>
        <row r="48">
          <cell r="C48" t="str">
            <v>1303</v>
          </cell>
          <cell r="D48" t="str">
            <v>Reducción de la vulnerabilidad fiscal ante desastres y riesgos climáticos</v>
          </cell>
        </row>
        <row r="49">
          <cell r="C49" t="str">
            <v>1304</v>
          </cell>
          <cell r="D49" t="str">
            <v>Inspección, control y vigilancia financiera, solidaria y de recursos públicos</v>
          </cell>
        </row>
        <row r="50">
          <cell r="C50" t="str">
            <v>1305</v>
          </cell>
          <cell r="D50" t="str">
            <v>Fortalecimiento de recaudo y tributación</v>
          </cell>
        </row>
        <row r="51">
          <cell r="C51" t="str">
            <v>1399</v>
          </cell>
          <cell r="D51" t="str">
            <v>Fortalecimiento de la gestión y dirección del sector Hacienda</v>
          </cell>
        </row>
        <row r="52">
          <cell r="C52" t="str">
            <v>1501</v>
          </cell>
          <cell r="D52" t="str">
            <v>Capacidades de la Policía Nacional en seguridad pública, prevención, convivencia y seguridad ciudadana</v>
          </cell>
        </row>
        <row r="53">
          <cell r="C53" t="str">
            <v>1502</v>
          </cell>
          <cell r="D53" t="str">
            <v>Capacidades de las Fuerzas Militares en seguridad pública y defensa en el territorio nacional</v>
          </cell>
        </row>
        <row r="54">
          <cell r="C54" t="str">
            <v>1504</v>
          </cell>
          <cell r="D54" t="str">
            <v>Desarrollo marítimo, fluvial y costero desde el sector defensa</v>
          </cell>
        </row>
        <row r="55">
          <cell r="C55" t="str">
            <v>1505</v>
          </cell>
          <cell r="D55" t="str">
            <v>Generación de bienestar para la Fuerza Pública y sus familias</v>
          </cell>
        </row>
        <row r="56">
          <cell r="C56" t="str">
            <v>1506</v>
          </cell>
          <cell r="D56" t="str">
            <v>Gestión del riesgo de desastres desde el sector defensa y seguridad</v>
          </cell>
        </row>
        <row r="57">
          <cell r="C57" t="str">
            <v>1507</v>
          </cell>
          <cell r="D57" t="str">
            <v>Grupo Social y Empresarial de la Defensa (GSED) Competitivo</v>
          </cell>
        </row>
        <row r="58">
          <cell r="C58" t="str">
            <v>1599</v>
          </cell>
          <cell r="D58" t="str">
            <v>Fortalecimiento de la gestión y dirección del Sector Defensa y Policía</v>
          </cell>
        </row>
        <row r="59">
          <cell r="C59" t="str">
            <v>1702</v>
          </cell>
          <cell r="D59" t="str">
            <v>Inclusión productiva de pequeños productores rurales</v>
          </cell>
        </row>
        <row r="60">
          <cell r="C60" t="str">
            <v>1703</v>
          </cell>
          <cell r="D60" t="str">
            <v>Servicios financieros y gestión del riesgo para las actividades agropecuarias y rurales</v>
          </cell>
        </row>
        <row r="61">
          <cell r="C61" t="str">
            <v>1704</v>
          </cell>
          <cell r="D61" t="str">
            <v>Ordenamiento social y uso productivo del territorio rural</v>
          </cell>
        </row>
        <row r="62">
          <cell r="C62" t="str">
            <v>1705</v>
          </cell>
          <cell r="D62" t="str">
            <v>Restitución de tierras a víctimas del conflicto armado</v>
          </cell>
        </row>
        <row r="63">
          <cell r="C63" t="str">
            <v>1706</v>
          </cell>
          <cell r="D63" t="str">
            <v xml:space="preserve"> Aprovechamiento de mercados externos</v>
          </cell>
        </row>
        <row r="64">
          <cell r="C64" t="str">
            <v>1707</v>
          </cell>
          <cell r="D64" t="str">
            <v>Sanidad agropecuaria e inocuidad agroalimentaria</v>
          </cell>
        </row>
        <row r="65">
          <cell r="C65" t="str">
            <v>1708</v>
          </cell>
          <cell r="D65" t="str">
            <v>Ciencia, tecnología e innovación agropecuaria</v>
          </cell>
        </row>
        <row r="66">
          <cell r="C66" t="str">
            <v>1709</v>
          </cell>
          <cell r="D66" t="str">
            <v>Infraestructura productiva y comercialización</v>
          </cell>
        </row>
        <row r="67">
          <cell r="C67" t="str">
            <v>1799</v>
          </cell>
          <cell r="D67" t="str">
            <v>Fortalecimiento de la gestión y dirección del sector Agricultura y Desarrollo Rural</v>
          </cell>
        </row>
        <row r="68">
          <cell r="C68" t="str">
            <v>1903</v>
          </cell>
          <cell r="D68" t="str">
            <v>Inspección, vigilancia y control</v>
          </cell>
        </row>
        <row r="69">
          <cell r="C69" t="str">
            <v>1905</v>
          </cell>
          <cell r="D69" t="str">
            <v>Salud Pública</v>
          </cell>
        </row>
        <row r="70">
          <cell r="C70" t="str">
            <v>1906</v>
          </cell>
          <cell r="D70" t="str">
            <v>Aseguramiento y prestación integral de servicios de salud</v>
          </cell>
        </row>
        <row r="71">
          <cell r="C71" t="str">
            <v>1999</v>
          </cell>
          <cell r="D71" t="str">
            <v xml:space="preserve"> Fortalecimiento de la gestión y dirección del sector Salud</v>
          </cell>
        </row>
        <row r="72">
          <cell r="C72" t="str">
            <v>2101</v>
          </cell>
          <cell r="D72" t="str">
            <v>Acceso al servicio público domiciliario de gas combustible</v>
          </cell>
        </row>
        <row r="73">
          <cell r="C73" t="str">
            <v>2102</v>
          </cell>
          <cell r="D73" t="str">
            <v>Consolidación productiva del sector de energía eléctrica</v>
          </cell>
        </row>
        <row r="74">
          <cell r="C74" t="str">
            <v>2103</v>
          </cell>
          <cell r="D74" t="str">
            <v>Consolidación productiva del sector hidrocarburos</v>
          </cell>
        </row>
        <row r="75">
          <cell r="C75" t="str">
            <v>2104</v>
          </cell>
          <cell r="D75" t="str">
            <v>Consolidación productiva del sector minero</v>
          </cell>
        </row>
        <row r="76">
          <cell r="C76" t="str">
            <v>2105</v>
          </cell>
          <cell r="D76" t="str">
            <v xml:space="preserve"> Desarrollo ambiental sostenible del sector minero energético</v>
          </cell>
        </row>
        <row r="77">
          <cell r="C77" t="str">
            <v>2106</v>
          </cell>
          <cell r="D77" t="str">
            <v>Gestión de la información en el sector minero energético</v>
          </cell>
        </row>
        <row r="78">
          <cell r="C78" t="str">
            <v>2199</v>
          </cell>
          <cell r="D78" t="str">
            <v xml:space="preserve">Fortalecimiento de la gestión y dirección del sector Minas y Energía </v>
          </cell>
        </row>
        <row r="79">
          <cell r="C79" t="str">
            <v>2201</v>
          </cell>
          <cell r="D79" t="str">
            <v>Calidad, cobertura y fortalecimiento de la educación inicial, prescolar, básica y media</v>
          </cell>
        </row>
        <row r="80">
          <cell r="C80" t="str">
            <v>2202</v>
          </cell>
          <cell r="D80" t="str">
            <v>Calidad y fomento de la educación superior</v>
          </cell>
        </row>
        <row r="81">
          <cell r="C81" t="str">
            <v>2203</v>
          </cell>
          <cell r="D81" t="str">
            <v>Cierre de brechas para el goce efectivo de derechos fundamentales de la población en condición de discapacidad</v>
          </cell>
        </row>
        <row r="82">
          <cell r="C82" t="str">
            <v>2299</v>
          </cell>
          <cell r="D82" t="str">
            <v>Fortalecimiento de la gestión y dirección del sector Educación</v>
          </cell>
        </row>
        <row r="83">
          <cell r="C83" t="str">
            <v>2301</v>
          </cell>
          <cell r="D83" t="str">
            <v>Facilitar el acceso y uso de las Tecnologías de la Información y las Comunicaciones en todo el territorio nacional</v>
          </cell>
        </row>
        <row r="84">
          <cell r="C84" t="str">
            <v>2302</v>
          </cell>
          <cell r="D84" t="str">
            <v>Fomento del desarrollo de aplicaciones, software y contenidos para impulsar la apropiación de las Tecnologías de la Información y las Comunicaciones (TIC)</v>
          </cell>
        </row>
        <row r="85">
          <cell r="C85" t="str">
            <v>2399</v>
          </cell>
          <cell r="D85" t="str">
            <v>Fortalecimiento de la gestión y dirección del sector Tecnologías de la Información y las Comunicaciones</v>
          </cell>
        </row>
        <row r="86">
          <cell r="C86" t="str">
            <v>2401</v>
          </cell>
          <cell r="D86" t="str">
            <v>Infraestructura red vial primaria</v>
          </cell>
        </row>
        <row r="87">
          <cell r="C87" t="str">
            <v>2402</v>
          </cell>
          <cell r="D87" t="str">
            <v>Infraestructura red vial regional</v>
          </cell>
        </row>
        <row r="88">
          <cell r="C88" t="str">
            <v>2403</v>
          </cell>
          <cell r="D88" t="str">
            <v>Infraestructura y servicios de transporte aéreo</v>
          </cell>
        </row>
        <row r="89">
          <cell r="C89" t="str">
            <v>2404</v>
          </cell>
          <cell r="D89" t="str">
            <v>Infraestructura de transporte férreo</v>
          </cell>
        </row>
        <row r="90">
          <cell r="C90" t="str">
            <v>2405</v>
          </cell>
          <cell r="D90" t="str">
            <v>Infraestructura de transporte marítimo</v>
          </cell>
        </row>
        <row r="91">
          <cell r="C91" t="str">
            <v>2406</v>
          </cell>
          <cell r="D91" t="str">
            <v>Infraestructura de transporte fluvial</v>
          </cell>
        </row>
        <row r="92">
          <cell r="C92" t="str">
            <v>2407</v>
          </cell>
          <cell r="D92" t="str">
            <v>Infraestructura y servicios de logística de transporte</v>
          </cell>
        </row>
        <row r="93">
          <cell r="C93" t="str">
            <v>2408</v>
          </cell>
          <cell r="D93" t="str">
            <v>Prestación de servicios de transporte público de pasajeros</v>
          </cell>
        </row>
        <row r="94">
          <cell r="C94" t="str">
            <v>2409</v>
          </cell>
          <cell r="D94" t="str">
            <v>Seguridad de transporte</v>
          </cell>
        </row>
        <row r="95">
          <cell r="C95" t="str">
            <v>2410</v>
          </cell>
          <cell r="D95" t="str">
            <v>Política, regulación y supervisión de la infraestructura y servicios de transporte</v>
          </cell>
        </row>
        <row r="96">
          <cell r="C96" t="str">
            <v>2499</v>
          </cell>
          <cell r="D96" t="str">
            <v>Fortalecimiento de la gestión y dirección del sector Transporte</v>
          </cell>
        </row>
        <row r="97">
          <cell r="C97" t="str">
            <v>2501</v>
          </cell>
          <cell r="D97" t="str">
            <v>Fortalecimiento del control y la vigilancia de la gestión fiscal y resarcimiento al daño del patrimonio público</v>
          </cell>
        </row>
        <row r="98">
          <cell r="C98" t="str">
            <v>2502</v>
          </cell>
          <cell r="D98" t="str">
            <v>Promoción, protección y defensa de los Derechos Humanos y el Derecho Internacional Humanitario</v>
          </cell>
        </row>
        <row r="99">
          <cell r="C99" t="str">
            <v>2503</v>
          </cell>
          <cell r="D99" t="str">
            <v>Lucha contra la corrupción</v>
          </cell>
        </row>
        <row r="100">
          <cell r="C100" t="str">
            <v>2504</v>
          </cell>
          <cell r="D100" t="str">
            <v>Vigilancia de la gestión administrativa de los funcionarios del estado</v>
          </cell>
        </row>
        <row r="101">
          <cell r="C101" t="str">
            <v>2599</v>
          </cell>
          <cell r="D101" t="str">
            <v>Fortalecimiento de la gestión y dirección del sector Organismos de Control</v>
          </cell>
        </row>
        <row r="102">
          <cell r="C102" t="str">
            <v>2701</v>
          </cell>
          <cell r="D102" t="str">
            <v>Mejoramiento a las competencias de la administración de justica</v>
          </cell>
        </row>
        <row r="103">
          <cell r="C103" t="str">
            <v>2799</v>
          </cell>
          <cell r="D103" t="str">
            <v>Fortalecimiento de la gestión y dirección del sector Rama Judicial</v>
          </cell>
        </row>
        <row r="104">
          <cell r="C104" t="str">
            <v>2801</v>
          </cell>
          <cell r="D104" t="str">
            <v>Procesos democráticos y asuntos electorales</v>
          </cell>
        </row>
        <row r="105">
          <cell r="C105" t="str">
            <v>2802</v>
          </cell>
          <cell r="D105" t="str">
            <v>Identificación y registro del estado civil de la población</v>
          </cell>
        </row>
        <row r="106">
          <cell r="C106" t="str">
            <v>2899</v>
          </cell>
          <cell r="D106" t="str">
            <v>Fortalecimiento de la gestión y dirección del sector Registraduría</v>
          </cell>
        </row>
        <row r="107">
          <cell r="C107" t="str">
            <v>2901</v>
          </cell>
          <cell r="D107" t="str">
            <v>Efectividad de la investigación penal y técnico científica</v>
          </cell>
        </row>
        <row r="108">
          <cell r="C108" t="str">
            <v>2999</v>
          </cell>
          <cell r="D108" t="str">
            <v xml:space="preserve">Fortalecimiento de la gestión y dirección del sector Fiscalía </v>
          </cell>
        </row>
        <row r="109">
          <cell r="C109" t="str">
            <v>3201</v>
          </cell>
          <cell r="D109" t="str">
            <v>Fortalecimiento del desempeño ambiental de los sectores productivos</v>
          </cell>
        </row>
        <row r="110">
          <cell r="C110" t="str">
            <v>3202</v>
          </cell>
          <cell r="D110" t="str">
            <v>Conservación de la biodiversidad y sus servicios ecosistémicos</v>
          </cell>
        </row>
        <row r="111">
          <cell r="C111" t="str">
            <v>3203</v>
          </cell>
          <cell r="D111" t="str">
            <v>Gestión integral del recurso hídrico</v>
          </cell>
        </row>
        <row r="112">
          <cell r="C112" t="str">
            <v>3204</v>
          </cell>
          <cell r="D112" t="str">
            <v>Gestión de la información y el conocimiento ambiental</v>
          </cell>
        </row>
        <row r="113">
          <cell r="C113" t="str">
            <v>3205</v>
          </cell>
          <cell r="D113" t="str">
            <v>Ordenamiento ambiental territorial</v>
          </cell>
        </row>
        <row r="114">
          <cell r="C114" t="str">
            <v>3206</v>
          </cell>
          <cell r="D114" t="str">
            <v>Gestión del cambio climático para un desarrollo bajo en carbono y resiliente al clima</v>
          </cell>
        </row>
        <row r="115">
          <cell r="C115" t="str">
            <v>3207</v>
          </cell>
          <cell r="D115" t="str">
            <v>Gestión integral de mares, costas y recursos acuáticos</v>
          </cell>
        </row>
        <row r="116">
          <cell r="C116" t="str">
            <v>3208</v>
          </cell>
          <cell r="D116" t="str">
            <v xml:space="preserve">Educación ambiental </v>
          </cell>
        </row>
        <row r="117">
          <cell r="C117" t="str">
            <v>3299</v>
          </cell>
          <cell r="D117" t="str">
            <v>Fortalecimiento de la gestión y dirección del sector Ambiente y Desarrollo Sostenible</v>
          </cell>
        </row>
        <row r="118">
          <cell r="C118" t="str">
            <v>3301</v>
          </cell>
          <cell r="D118" t="str">
            <v>Promoción y acceso efectivo a procesos culturales y artísticos</v>
          </cell>
        </row>
        <row r="119">
          <cell r="C119" t="str">
            <v>3302</v>
          </cell>
          <cell r="D119" t="str">
            <v>Gestión, protección y salvaguardia del patrimonio cultural colombiano</v>
          </cell>
        </row>
        <row r="120">
          <cell r="C120" t="str">
            <v>3399</v>
          </cell>
          <cell r="D120" t="str">
            <v>Fortalecimiento de la gestión y dirección del sector Cultura</v>
          </cell>
        </row>
        <row r="121">
          <cell r="C121" t="str">
            <v>3501</v>
          </cell>
          <cell r="D121" t="str">
            <v>Internacionalización de la economía</v>
          </cell>
        </row>
        <row r="122">
          <cell r="C122" t="str">
            <v>3502</v>
          </cell>
          <cell r="D122" t="str">
            <v>Productividad y competitividad de las empresas colombianas</v>
          </cell>
        </row>
        <row r="123">
          <cell r="C123" t="str">
            <v>3503</v>
          </cell>
          <cell r="D123" t="str">
            <v>Ambiente regulatorio y económico para la competencia y la actividad empresarial</v>
          </cell>
        </row>
        <row r="124">
          <cell r="C124" t="str">
            <v>3599</v>
          </cell>
          <cell r="D124" t="str">
            <v>Fortalecimiento de la gestión y dirección del sector Comercio, Industria y Turismo</v>
          </cell>
        </row>
        <row r="125">
          <cell r="C125" t="str">
            <v>3601</v>
          </cell>
          <cell r="D125" t="str">
            <v>Protección Social</v>
          </cell>
        </row>
        <row r="126">
          <cell r="C126" t="str">
            <v>3602</v>
          </cell>
          <cell r="D126" t="str">
            <v>Generación y formalización del empleo</v>
          </cell>
        </row>
        <row r="127">
          <cell r="C127" t="str">
            <v>3603</v>
          </cell>
          <cell r="D127" t="str">
            <v>Formación para el trabajo</v>
          </cell>
        </row>
        <row r="128">
          <cell r="C128" t="str">
            <v>3604</v>
          </cell>
          <cell r="D128" t="str">
            <v>Derechos fundamentales del trabajo y fortalecimiento del diálogo social</v>
          </cell>
        </row>
        <row r="129">
          <cell r="C129" t="str">
            <v>3605</v>
          </cell>
          <cell r="D129" t="str">
            <v>Fomento de la investigación, desarrollo tecnológico e innovación del sector trabajo</v>
          </cell>
        </row>
        <row r="130">
          <cell r="C130" t="str">
            <v>3699</v>
          </cell>
          <cell r="D130" t="str">
            <v>Fortalecimiento de la gestión y dirección del sector Trabajo</v>
          </cell>
        </row>
        <row r="131">
          <cell r="C131" t="str">
            <v>3701</v>
          </cell>
          <cell r="D131" t="str">
            <v>Fortalecimiento institucional a los procesos organizativos de concertación; garantía, prevención y respeto de los derechos humanos como fundamentos para la paz</v>
          </cell>
        </row>
        <row r="132">
          <cell r="C132" t="str">
            <v>3702</v>
          </cell>
          <cell r="D132" t="str">
            <v>Fortalecimiento a la gobernabilidad territorial para la seguridad, convivencia ciudadana, paz y postconflicto</v>
          </cell>
        </row>
        <row r="133">
          <cell r="C133" t="str">
            <v>3703</v>
          </cell>
          <cell r="D133" t="str">
            <v>Política pública de víctimas del conflicto armado y postconflicto</v>
          </cell>
        </row>
        <row r="134">
          <cell r="C134" t="str">
            <v>3704</v>
          </cell>
          <cell r="D134" t="str">
            <v>Participación ciudadana, política y diversidad de creencias</v>
          </cell>
        </row>
        <row r="135">
          <cell r="C135" t="str">
            <v>3705</v>
          </cell>
          <cell r="D135" t="str">
            <v>Protección de personas, grupos y comunidades en riesgo extraordinario y extremo Unidad Nacional de Protección (UNP)</v>
          </cell>
        </row>
        <row r="136">
          <cell r="C136" t="str">
            <v>3706</v>
          </cell>
          <cell r="D136" t="str">
            <v>Protección, promoción y difusión del derecho de autor y los derechos conexos</v>
          </cell>
        </row>
        <row r="137">
          <cell r="C137" t="str">
            <v>3707</v>
          </cell>
          <cell r="D137" t="str">
            <v>Gestión del riesgo de desastres naturales y antrópicos en la zona de influencia del volcán Nevado del Huila</v>
          </cell>
        </row>
        <row r="138">
          <cell r="C138" t="str">
            <v>3708</v>
          </cell>
          <cell r="D138" t="str">
            <v>Fortalecimiento institucional y operativo de los Bomberos de Colombia</v>
          </cell>
        </row>
        <row r="139">
          <cell r="C139" t="str">
            <v>3799</v>
          </cell>
          <cell r="D139" t="str">
            <v>Fortalecimiento de la gestión y dirección del sector Interior</v>
          </cell>
        </row>
        <row r="140">
          <cell r="C140" t="str">
            <v>3901</v>
          </cell>
          <cell r="D140" t="str">
            <v xml:space="preserve">Consolidación de una institucionalidad habilitante para la Ciencia Tecnología e Innovación (CTeI) </v>
          </cell>
        </row>
        <row r="141">
          <cell r="C141" t="str">
            <v>3902</v>
          </cell>
          <cell r="D141" t="str">
            <v>Investigación con calidad e impacto</v>
          </cell>
        </row>
        <row r="142">
          <cell r="C142" t="str">
            <v>3903</v>
          </cell>
          <cell r="D142" t="str">
            <v>Desarrollo tecnológico e innovación para crecimiento empresarial</v>
          </cell>
        </row>
        <row r="143">
          <cell r="C143" t="str">
            <v>3904</v>
          </cell>
          <cell r="D143" t="str">
            <v>Generación de una cultura que valora y gestiona el conocimiento y la innovación</v>
          </cell>
        </row>
        <row r="144">
          <cell r="C144" t="str">
            <v>3999</v>
          </cell>
          <cell r="D144" t="str">
            <v xml:space="preserve">Fortalecimiento de la gestión y dirección del sector Ciencia, Tecnología e Innovación </v>
          </cell>
        </row>
        <row r="145">
          <cell r="C145" t="str">
            <v>4001</v>
          </cell>
          <cell r="D145" t="str">
            <v>Acceso a soluciones de vivienda</v>
          </cell>
        </row>
        <row r="146">
          <cell r="C146" t="str">
            <v>4002</v>
          </cell>
          <cell r="D146" t="str">
            <v>Ordenamiento territorial y desarrollo urbano</v>
          </cell>
        </row>
        <row r="147">
          <cell r="C147" t="str">
            <v>4003</v>
          </cell>
          <cell r="D147" t="str">
            <v>Acceso de la población a los servicios de agua potable y saneamiento básico</v>
          </cell>
        </row>
        <row r="148">
          <cell r="C148" t="str">
            <v>4099</v>
          </cell>
          <cell r="D148" t="str">
            <v>Fortalecimiento de la gestión y dirección del sector Vivienda, Ciudad y Territorio</v>
          </cell>
        </row>
        <row r="149">
          <cell r="C149" t="str">
            <v>4101</v>
          </cell>
          <cell r="D149" t="str">
            <v>Atención, asistencia  y reparación integral a las víctimas</v>
          </cell>
        </row>
        <row r="150">
          <cell r="C150" t="str">
            <v>4102</v>
          </cell>
          <cell r="D150" t="str">
            <v>Desarrollo integral de la primera infancia a la juventud, y fortalecimiento de las capacidades de las familias de niñas, niños y adolescentes</v>
          </cell>
        </row>
        <row r="151">
          <cell r="C151" t="str">
            <v>4103</v>
          </cell>
          <cell r="D151" t="str">
            <v>Inclusión social y productiva para la población en situación de vulnerabilidad</v>
          </cell>
        </row>
        <row r="152">
          <cell r="C152" t="str">
            <v>4104</v>
          </cell>
          <cell r="D152" t="str">
            <v>Atención integral de población en situación permanente de desprotección social y/o familiar</v>
          </cell>
        </row>
        <row r="153">
          <cell r="C153" t="str">
            <v>4199</v>
          </cell>
          <cell r="D153" t="str">
            <v xml:space="preserve">Fortalecimiento de la gestión y dirección del sector Inclusión Social y Reconciliación </v>
          </cell>
        </row>
        <row r="154">
          <cell r="C154" t="str">
            <v>4201</v>
          </cell>
          <cell r="D154" t="str">
            <v>Desarrollo de Inteligencia estratégica y contrainteligencia de Estado</v>
          </cell>
        </row>
        <row r="155">
          <cell r="C155" t="str">
            <v>4299</v>
          </cell>
          <cell r="D155" t="str">
            <v>Fortalecimiento de la gestión y dirección del sector Inteligencia</v>
          </cell>
        </row>
        <row r="156">
          <cell r="C156" t="str">
            <v>4301</v>
          </cell>
          <cell r="D156" t="str">
            <v>Fomento a la recreación, la actividad física y el deporte</v>
          </cell>
        </row>
        <row r="157">
          <cell r="C157" t="str">
            <v>4302</v>
          </cell>
          <cell r="D157" t="str">
            <v>Formación y preparación de deportistas</v>
          </cell>
        </row>
        <row r="158">
          <cell r="C158" t="str">
            <v>4399</v>
          </cell>
          <cell r="D158" t="str">
            <v xml:space="preserve">Fortalecimiento de la gestión y dirección del sector Deporte y Recreación </v>
          </cell>
        </row>
        <row r="159">
          <cell r="C159" t="str">
            <v>4401</v>
          </cell>
          <cell r="D159" t="str">
            <v>Jurisdicción especial para la paz</v>
          </cell>
        </row>
        <row r="160">
          <cell r="C160" t="str">
            <v>4402</v>
          </cell>
          <cell r="D160" t="str">
            <v xml:space="preserve">Esclarecimiento de la verdad, la convivencia y la no repetición.
</v>
          </cell>
        </row>
        <row r="161">
          <cell r="C161" t="str">
            <v>4403</v>
          </cell>
          <cell r="D161" t="str">
            <v xml:space="preserve">Búsqueda humanitaria de personas dadas por desaparecidas en el contexto y en razón del conflicto armado en Colombia
</v>
          </cell>
        </row>
        <row r="162">
          <cell r="C162" t="str">
            <v>4499</v>
          </cell>
          <cell r="D162" t="str">
            <v>Fortalecimiento de la gestión y dirección del sector Justicia Especial para la Paz</v>
          </cell>
        </row>
        <row r="163">
          <cell r="C163" t="str">
            <v>4501</v>
          </cell>
          <cell r="D163" t="str">
            <v>Fortalecimiento de la convivencia y la seguridad ciudadana</v>
          </cell>
        </row>
        <row r="164">
          <cell r="C164" t="str">
            <v>4502</v>
          </cell>
          <cell r="D164" t="str">
            <v>Fortalecimiento del buen gobierno para el respeto y garantía de los derechos humanos</v>
          </cell>
        </row>
        <row r="165">
          <cell r="C165" t="str">
            <v>4503</v>
          </cell>
          <cell r="D165" t="str">
            <v>Gestión del riesgo de desastres y emergencias</v>
          </cell>
        </row>
        <row r="166">
          <cell r="C166" t="str">
            <v>4599</v>
          </cell>
          <cell r="D166" t="str">
            <v>Fortalecimiento a la gestión y dirección de la administración pública territorial</v>
          </cell>
        </row>
      </sheetData>
      <sheetData sheetId="1"/>
      <sheetData sheetId="2"/>
      <sheetData sheetId="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H199"/>
  <sheetViews>
    <sheetView tabSelected="1" topLeftCell="AA1" zoomScale="85" zoomScaleNormal="85" workbookViewId="0">
      <pane ySplit="2" topLeftCell="A3" activePane="bottomLeft" state="frozen"/>
      <selection activeCell="Q2" sqref="Q2"/>
      <selection pane="bottomLeft" activeCell="AI13" sqref="AI13"/>
    </sheetView>
  </sheetViews>
  <sheetFormatPr baseColWidth="10" defaultColWidth="11.5546875" defaultRowHeight="14.4" x14ac:dyDescent="0.3"/>
  <cols>
    <col min="1" max="1" width="26.109375" style="5" customWidth="1"/>
    <col min="2" max="2" width="11.5546875" style="1" customWidth="1"/>
    <col min="3" max="3" width="30" style="1" customWidth="1"/>
    <col min="4" max="4" width="19.6640625" style="1" customWidth="1"/>
    <col min="5" max="5" width="80.44140625" style="1" customWidth="1"/>
    <col min="6" max="7" width="23.6640625" style="1" customWidth="1"/>
    <col min="8" max="8" width="13.88671875" style="1" customWidth="1"/>
    <col min="9" max="9" width="15.109375" style="1" customWidth="1"/>
    <col min="10" max="10" width="14.6640625" style="1" customWidth="1"/>
    <col min="11" max="11" width="11.5546875" style="1" customWidth="1"/>
    <col min="12" max="12" width="16.6640625" style="1" customWidth="1"/>
    <col min="13" max="13" width="15.109375" style="1" customWidth="1"/>
    <col min="14" max="14" width="24.77734375" customWidth="1"/>
    <col min="15" max="15" width="20.33203125" customWidth="1"/>
    <col min="16" max="16" width="61.44140625" style="1" customWidth="1"/>
    <col min="17" max="17" width="18.6640625" style="1" customWidth="1"/>
    <col min="18" max="18" width="24.109375" style="1" customWidth="1"/>
    <col min="19" max="19" width="27.21875" style="1" customWidth="1"/>
    <col min="20" max="20" width="13.5546875" style="1" customWidth="1"/>
    <col min="21" max="21" width="22.88671875" style="1" customWidth="1"/>
    <col min="22" max="22" width="11.5546875" style="1" customWidth="1"/>
    <col min="23" max="23" width="11.5546875" style="6" customWidth="1"/>
    <col min="24" max="24" width="9.109375" style="1" customWidth="1"/>
    <col min="25" max="29" width="10.6640625" style="7" customWidth="1"/>
    <col min="30" max="30" width="8.109375" style="7" customWidth="1"/>
    <col min="31" max="31" width="12" style="7" customWidth="1"/>
    <col min="32" max="32" width="18.88671875" style="7" customWidth="1"/>
    <col min="33" max="33" width="14.5546875" style="7" customWidth="1"/>
    <col min="34" max="34" width="22.88671875" style="7" customWidth="1"/>
    <col min="35" max="35" width="18.33203125" style="8" customWidth="1"/>
    <col min="36" max="36" width="17.88671875" style="8" customWidth="1"/>
    <col min="37" max="37" width="15.109375" style="8" customWidth="1"/>
    <col min="38" max="38" width="15" style="8" customWidth="1"/>
    <col min="39" max="39" width="17.6640625" style="8" customWidth="1"/>
    <col min="40" max="40" width="17.88671875" style="8" customWidth="1"/>
    <col min="41" max="41" width="21.33203125" style="8" customWidth="1"/>
    <col min="42" max="42" width="20.6640625" style="8" customWidth="1"/>
    <col min="43" max="43" width="19.44140625" style="8" customWidth="1"/>
    <col min="44" max="44" width="18.109375" style="8" customWidth="1"/>
    <col min="45" max="45" width="22" style="8" customWidth="1"/>
    <col min="46" max="46" width="19.33203125" style="4" customWidth="1"/>
    <col min="47" max="47" width="16.44140625" style="1" customWidth="1"/>
    <col min="48" max="48" width="15" style="1" customWidth="1"/>
    <col min="49" max="49" width="14" style="1" customWidth="1"/>
    <col min="50" max="51" width="15" style="1" customWidth="1"/>
    <col min="52" max="52" width="16.6640625" style="1" customWidth="1"/>
    <col min="53" max="53" width="14" style="1" customWidth="1"/>
    <col min="54" max="54" width="14.6640625" style="1" customWidth="1"/>
    <col min="55" max="55" width="14.88671875" style="1" customWidth="1"/>
    <col min="56" max="56" width="11.6640625" style="1" customWidth="1"/>
    <col min="57" max="57" width="16.6640625" style="1" customWidth="1"/>
    <col min="58" max="58" width="18.44140625" style="1" customWidth="1"/>
    <col min="59" max="59" width="16.6640625" style="1" customWidth="1"/>
    <col min="60" max="69" width="15.6640625" style="1" customWidth="1"/>
    <col min="70" max="70" width="17.88671875" style="4" customWidth="1"/>
    <col min="71" max="71" width="18.33203125" style="1" customWidth="1"/>
    <col min="72" max="72" width="17.88671875" style="1" customWidth="1"/>
    <col min="73" max="73" width="17.109375" style="1" customWidth="1"/>
    <col min="74" max="74" width="18.5546875" style="1" customWidth="1"/>
    <col min="75" max="75" width="15.88671875" style="1" customWidth="1"/>
    <col min="76" max="76" width="19.109375" style="1" customWidth="1"/>
    <col min="77" max="77" width="16.33203125" style="1" customWidth="1"/>
    <col min="78" max="79" width="18.33203125" style="1" customWidth="1"/>
    <col min="80" max="80" width="11.6640625" style="1" customWidth="1"/>
    <col min="81" max="81" width="18" style="1" customWidth="1"/>
    <col min="82" max="82" width="19.109375" style="1" customWidth="1"/>
    <col min="83" max="83" width="18.6640625" style="4" customWidth="1"/>
    <col min="84" max="84" width="21.33203125" style="1" customWidth="1"/>
    <col min="85" max="85" width="11.5546875" style="1" customWidth="1"/>
    <col min="86" max="16384" width="11.5546875" style="1"/>
  </cols>
  <sheetData>
    <row r="1" spans="1:83" s="3" customFormat="1" ht="39.6" customHeight="1" thickBot="1" x14ac:dyDescent="0.35">
      <c r="A1" s="88" t="s">
        <v>612</v>
      </c>
      <c r="B1" s="82" t="s">
        <v>0</v>
      </c>
      <c r="C1" s="82" t="s">
        <v>1</v>
      </c>
      <c r="D1" s="90" t="s">
        <v>613</v>
      </c>
      <c r="E1" s="91"/>
      <c r="F1" s="91"/>
      <c r="G1" s="91"/>
      <c r="H1" s="91"/>
      <c r="I1" s="91"/>
      <c r="J1" s="92"/>
      <c r="K1" s="82" t="s">
        <v>2</v>
      </c>
      <c r="L1" s="82" t="s">
        <v>3</v>
      </c>
      <c r="M1" s="86" t="s">
        <v>4</v>
      </c>
      <c r="N1" s="84" t="s">
        <v>1096</v>
      </c>
      <c r="O1" s="84" t="s">
        <v>1097</v>
      </c>
      <c r="P1" s="82" t="s">
        <v>5</v>
      </c>
      <c r="Q1" s="93" t="s">
        <v>806</v>
      </c>
      <c r="R1" s="82" t="s">
        <v>6</v>
      </c>
      <c r="S1" s="82" t="s">
        <v>7</v>
      </c>
      <c r="T1" s="82" t="s">
        <v>8</v>
      </c>
      <c r="U1" s="82" t="s">
        <v>9</v>
      </c>
      <c r="V1" s="82" t="s">
        <v>10</v>
      </c>
      <c r="W1" s="82" t="s">
        <v>795</v>
      </c>
      <c r="X1" s="82" t="s">
        <v>11</v>
      </c>
      <c r="Y1" s="82" t="s">
        <v>635</v>
      </c>
      <c r="Z1" s="82" t="s">
        <v>618</v>
      </c>
      <c r="AA1" s="82" t="s">
        <v>988</v>
      </c>
      <c r="AB1" s="82" t="s">
        <v>615</v>
      </c>
      <c r="AC1" s="82" t="s">
        <v>616</v>
      </c>
      <c r="AD1" s="82" t="s">
        <v>617</v>
      </c>
      <c r="AE1" s="82" t="s">
        <v>992</v>
      </c>
      <c r="AF1" s="82" t="s">
        <v>1094</v>
      </c>
      <c r="AG1" s="82" t="s">
        <v>1014</v>
      </c>
      <c r="AH1" s="82" t="s">
        <v>1095</v>
      </c>
      <c r="AI1" s="90">
        <v>2024</v>
      </c>
      <c r="AJ1" s="91"/>
      <c r="AK1" s="91"/>
      <c r="AL1" s="91"/>
      <c r="AM1" s="91"/>
      <c r="AN1" s="91"/>
      <c r="AO1" s="91"/>
      <c r="AP1" s="91"/>
      <c r="AQ1" s="91"/>
      <c r="AR1" s="91"/>
      <c r="AS1" s="91"/>
      <c r="AT1" s="92"/>
      <c r="AU1" s="90">
        <v>2025</v>
      </c>
      <c r="AV1" s="91"/>
      <c r="AW1" s="91"/>
      <c r="AX1" s="91"/>
      <c r="AY1" s="91"/>
      <c r="AZ1" s="91"/>
      <c r="BA1" s="91"/>
      <c r="BB1" s="91"/>
      <c r="BC1" s="91"/>
      <c r="BD1" s="91"/>
      <c r="BE1" s="91"/>
      <c r="BF1" s="91"/>
      <c r="BG1" s="90">
        <v>2026</v>
      </c>
      <c r="BH1" s="91"/>
      <c r="BI1" s="91"/>
      <c r="BJ1" s="91"/>
      <c r="BK1" s="91"/>
      <c r="BL1" s="91"/>
      <c r="BM1" s="91"/>
      <c r="BN1" s="91"/>
      <c r="BO1" s="91"/>
      <c r="BP1" s="91"/>
      <c r="BQ1" s="91"/>
      <c r="BR1" s="92"/>
      <c r="BS1" s="90">
        <v>2027</v>
      </c>
      <c r="BT1" s="91"/>
      <c r="BU1" s="91"/>
      <c r="BV1" s="91"/>
      <c r="BW1" s="91"/>
      <c r="BX1" s="91"/>
      <c r="BY1" s="91"/>
      <c r="BZ1" s="91"/>
      <c r="CA1" s="91"/>
      <c r="CB1" s="91"/>
      <c r="CC1" s="91"/>
      <c r="CD1" s="92"/>
      <c r="CE1" s="95" t="s">
        <v>619</v>
      </c>
    </row>
    <row r="2" spans="1:83" s="3" customFormat="1" ht="55.2" customHeight="1" thickBot="1" x14ac:dyDescent="0.35">
      <c r="A2" s="89"/>
      <c r="B2" s="83"/>
      <c r="C2" s="83"/>
      <c r="D2" s="9"/>
      <c r="E2" s="9" t="s">
        <v>613</v>
      </c>
      <c r="F2" s="9" t="s">
        <v>10</v>
      </c>
      <c r="G2" s="10" t="s">
        <v>771</v>
      </c>
      <c r="H2" s="10" t="s">
        <v>772</v>
      </c>
      <c r="I2" s="10" t="s">
        <v>773</v>
      </c>
      <c r="J2" s="10" t="s">
        <v>796</v>
      </c>
      <c r="K2" s="83"/>
      <c r="L2" s="83"/>
      <c r="M2" s="87"/>
      <c r="N2" s="85"/>
      <c r="O2" s="85"/>
      <c r="P2" s="83"/>
      <c r="Q2" s="94"/>
      <c r="R2" s="83"/>
      <c r="S2" s="83"/>
      <c r="T2" s="83"/>
      <c r="U2" s="83"/>
      <c r="V2" s="83"/>
      <c r="W2" s="83"/>
      <c r="X2" s="83"/>
      <c r="Y2" s="83"/>
      <c r="Z2" s="83"/>
      <c r="AA2" s="83"/>
      <c r="AB2" s="83"/>
      <c r="AC2" s="83"/>
      <c r="AD2" s="83"/>
      <c r="AE2" s="83"/>
      <c r="AF2" s="83"/>
      <c r="AG2" s="83"/>
      <c r="AH2" s="83"/>
      <c r="AI2" s="2" t="s">
        <v>620</v>
      </c>
      <c r="AJ2" s="2" t="s">
        <v>621</v>
      </c>
      <c r="AK2" s="2" t="s">
        <v>622</v>
      </c>
      <c r="AL2" s="2" t="s">
        <v>623</v>
      </c>
      <c r="AM2" s="2" t="s">
        <v>624</v>
      </c>
      <c r="AN2" s="2" t="s">
        <v>625</v>
      </c>
      <c r="AO2" s="2" t="s">
        <v>626</v>
      </c>
      <c r="AP2" s="2" t="s">
        <v>627</v>
      </c>
      <c r="AQ2" s="2" t="s">
        <v>628</v>
      </c>
      <c r="AR2" s="2" t="s">
        <v>629</v>
      </c>
      <c r="AS2" s="2" t="s">
        <v>630</v>
      </c>
      <c r="AT2" s="14" t="s">
        <v>631</v>
      </c>
      <c r="AU2" s="12" t="s">
        <v>620</v>
      </c>
      <c r="AV2" s="12" t="s">
        <v>621</v>
      </c>
      <c r="AW2" s="12" t="s">
        <v>622</v>
      </c>
      <c r="AX2" s="12" t="s">
        <v>623</v>
      </c>
      <c r="AY2" s="12" t="s">
        <v>624</v>
      </c>
      <c r="AZ2" s="12" t="s">
        <v>625</v>
      </c>
      <c r="BA2" s="12" t="s">
        <v>626</v>
      </c>
      <c r="BB2" s="12" t="s">
        <v>627</v>
      </c>
      <c r="BC2" s="12" t="s">
        <v>628</v>
      </c>
      <c r="BD2" s="12" t="s">
        <v>629</v>
      </c>
      <c r="BE2" s="12" t="s">
        <v>630</v>
      </c>
      <c r="BF2" s="12" t="s">
        <v>632</v>
      </c>
      <c r="BG2" s="12" t="s">
        <v>620</v>
      </c>
      <c r="BH2" s="12" t="s">
        <v>621</v>
      </c>
      <c r="BI2" s="12" t="s">
        <v>622</v>
      </c>
      <c r="BJ2" s="12" t="s">
        <v>623</v>
      </c>
      <c r="BK2" s="12" t="s">
        <v>624</v>
      </c>
      <c r="BL2" s="12" t="s">
        <v>625</v>
      </c>
      <c r="BM2" s="12" t="s">
        <v>626</v>
      </c>
      <c r="BN2" s="12" t="s">
        <v>627</v>
      </c>
      <c r="BO2" s="12" t="s">
        <v>628</v>
      </c>
      <c r="BP2" s="12" t="s">
        <v>629</v>
      </c>
      <c r="BQ2" s="12" t="s">
        <v>630</v>
      </c>
      <c r="BR2" s="15" t="s">
        <v>633</v>
      </c>
      <c r="BS2" s="12" t="s">
        <v>620</v>
      </c>
      <c r="BT2" s="12" t="s">
        <v>621</v>
      </c>
      <c r="BU2" s="12" t="s">
        <v>622</v>
      </c>
      <c r="BV2" s="12" t="s">
        <v>623</v>
      </c>
      <c r="BW2" s="12" t="s">
        <v>624</v>
      </c>
      <c r="BX2" s="12" t="s">
        <v>625</v>
      </c>
      <c r="BY2" s="12" t="s">
        <v>626</v>
      </c>
      <c r="BZ2" s="12" t="s">
        <v>627</v>
      </c>
      <c r="CA2" s="12" t="s">
        <v>628</v>
      </c>
      <c r="CB2" s="12" t="s">
        <v>629</v>
      </c>
      <c r="CC2" s="12" t="s">
        <v>630</v>
      </c>
      <c r="CD2" s="12" t="s">
        <v>634</v>
      </c>
      <c r="CE2" s="96"/>
    </row>
    <row r="3" spans="1:83" ht="15.6" customHeight="1" x14ac:dyDescent="0.3">
      <c r="A3" s="17" t="s">
        <v>741</v>
      </c>
      <c r="B3" s="17">
        <v>41</v>
      </c>
      <c r="C3" s="17" t="s">
        <v>12</v>
      </c>
      <c r="D3" s="18">
        <v>140010051</v>
      </c>
      <c r="E3" s="18" t="s">
        <v>720</v>
      </c>
      <c r="F3" s="17" t="s">
        <v>428</v>
      </c>
      <c r="G3" s="17" t="s">
        <v>774</v>
      </c>
      <c r="H3" s="27">
        <v>77.937399999999997</v>
      </c>
      <c r="I3" s="28">
        <v>2023</v>
      </c>
      <c r="J3" s="28">
        <v>72</v>
      </c>
      <c r="K3" s="28">
        <v>4102</v>
      </c>
      <c r="L3" s="17" t="s">
        <v>13</v>
      </c>
      <c r="M3" s="28">
        <v>4102001</v>
      </c>
      <c r="N3" s="81" t="s">
        <v>1098</v>
      </c>
      <c r="O3" s="78">
        <v>202500000001968</v>
      </c>
      <c r="P3" s="17" t="s">
        <v>14</v>
      </c>
      <c r="Q3" s="44"/>
      <c r="R3" s="17" t="s">
        <v>15</v>
      </c>
      <c r="S3" s="17" t="s">
        <v>16</v>
      </c>
      <c r="T3" s="28">
        <v>410200100</v>
      </c>
      <c r="U3" s="17" t="s">
        <v>17</v>
      </c>
      <c r="V3" s="17" t="s">
        <v>18</v>
      </c>
      <c r="W3" s="28">
        <v>4.2</v>
      </c>
      <c r="X3" s="17" t="s">
        <v>19</v>
      </c>
      <c r="Y3" s="19">
        <v>189</v>
      </c>
      <c r="Z3" s="19">
        <v>1200</v>
      </c>
      <c r="AA3" s="19">
        <v>300</v>
      </c>
      <c r="AB3" s="19">
        <v>300</v>
      </c>
      <c r="AC3" s="19">
        <v>300</v>
      </c>
      <c r="AD3" s="19">
        <v>300</v>
      </c>
      <c r="AE3" s="19">
        <v>420</v>
      </c>
      <c r="AF3" s="19">
        <f>+AE3/Z3*100</f>
        <v>35</v>
      </c>
      <c r="AG3" s="51">
        <v>283</v>
      </c>
      <c r="AH3" s="72">
        <v>94.333333333333329</v>
      </c>
      <c r="AI3" s="45">
        <v>40500000</v>
      </c>
      <c r="AJ3" s="45">
        <v>0</v>
      </c>
      <c r="AK3" s="45">
        <v>0</v>
      </c>
      <c r="AL3" s="45">
        <v>0</v>
      </c>
      <c r="AM3" s="45">
        <v>0</v>
      </c>
      <c r="AN3" s="45">
        <v>0</v>
      </c>
      <c r="AO3" s="45">
        <v>0</v>
      </c>
      <c r="AP3" s="45">
        <v>0</v>
      </c>
      <c r="AQ3" s="45">
        <v>0</v>
      </c>
      <c r="AR3" s="45">
        <v>0</v>
      </c>
      <c r="AS3" s="45">
        <v>0</v>
      </c>
      <c r="AT3" s="45">
        <v>40500000</v>
      </c>
      <c r="AU3" s="45">
        <v>40500000</v>
      </c>
      <c r="AV3" s="45">
        <v>0</v>
      </c>
      <c r="AW3" s="45">
        <v>0</v>
      </c>
      <c r="AX3" s="45">
        <v>0</v>
      </c>
      <c r="AY3" s="45">
        <v>0</v>
      </c>
      <c r="AZ3" s="45">
        <v>0</v>
      </c>
      <c r="BA3" s="45">
        <v>0</v>
      </c>
      <c r="BB3" s="45">
        <v>0</v>
      </c>
      <c r="BC3" s="45">
        <v>0</v>
      </c>
      <c r="BD3" s="45">
        <v>0</v>
      </c>
      <c r="BE3" s="45">
        <v>0</v>
      </c>
      <c r="BF3" s="45">
        <v>40500000</v>
      </c>
      <c r="BG3" s="45">
        <v>40500000</v>
      </c>
      <c r="BH3" s="45">
        <v>0</v>
      </c>
      <c r="BI3" s="45">
        <v>0</v>
      </c>
      <c r="BJ3" s="45">
        <v>0</v>
      </c>
      <c r="BK3" s="45">
        <v>0</v>
      </c>
      <c r="BL3" s="45">
        <v>0</v>
      </c>
      <c r="BM3" s="45">
        <v>0</v>
      </c>
      <c r="BN3" s="45">
        <v>0</v>
      </c>
      <c r="BO3" s="45">
        <v>0</v>
      </c>
      <c r="BP3" s="45">
        <v>0</v>
      </c>
      <c r="BQ3" s="45">
        <v>0</v>
      </c>
      <c r="BR3" s="45">
        <v>40500000</v>
      </c>
      <c r="BS3" s="45">
        <v>40500000</v>
      </c>
      <c r="BT3" s="45">
        <v>0</v>
      </c>
      <c r="BU3" s="45">
        <v>0</v>
      </c>
      <c r="BV3" s="45">
        <v>0</v>
      </c>
      <c r="BW3" s="45">
        <v>0</v>
      </c>
      <c r="BX3" s="45">
        <v>0</v>
      </c>
      <c r="BY3" s="45">
        <v>0</v>
      </c>
      <c r="BZ3" s="45">
        <v>0</v>
      </c>
      <c r="CA3" s="45">
        <v>0</v>
      </c>
      <c r="CB3" s="45">
        <v>0</v>
      </c>
      <c r="CC3" s="45">
        <v>0</v>
      </c>
      <c r="CD3" s="45">
        <v>40500000</v>
      </c>
      <c r="CE3" s="45">
        <f t="shared" ref="CE3:CE34" si="0">+CD3+BR3+BF3+AT3</f>
        <v>162000000</v>
      </c>
    </row>
    <row r="4" spans="1:83" ht="15" customHeight="1" x14ac:dyDescent="0.3">
      <c r="A4" s="20" t="s">
        <v>741</v>
      </c>
      <c r="B4" s="20">
        <v>41</v>
      </c>
      <c r="C4" s="20" t="s">
        <v>12</v>
      </c>
      <c r="D4" s="21">
        <v>140010051</v>
      </c>
      <c r="E4" s="21" t="s">
        <v>720</v>
      </c>
      <c r="F4" s="20" t="s">
        <v>428</v>
      </c>
      <c r="G4" s="20" t="s">
        <v>774</v>
      </c>
      <c r="H4" s="29">
        <v>77.937399999999997</v>
      </c>
      <c r="I4" s="30">
        <v>2023</v>
      </c>
      <c r="J4" s="30">
        <v>72</v>
      </c>
      <c r="K4" s="30">
        <v>4102</v>
      </c>
      <c r="L4" s="20" t="s">
        <v>13</v>
      </c>
      <c r="M4" s="30">
        <v>4102035</v>
      </c>
      <c r="N4" s="77" t="s">
        <v>1098</v>
      </c>
      <c r="O4" s="79">
        <v>202500000001968</v>
      </c>
      <c r="P4" s="20" t="s">
        <v>24</v>
      </c>
      <c r="Q4" s="46" t="s">
        <v>807</v>
      </c>
      <c r="R4" s="20" t="s">
        <v>25</v>
      </c>
      <c r="S4" s="20" t="s">
        <v>26</v>
      </c>
      <c r="T4" s="30">
        <v>410203501</v>
      </c>
      <c r="U4" s="20" t="s">
        <v>27</v>
      </c>
      <c r="V4" s="20" t="s">
        <v>18</v>
      </c>
      <c r="W4" s="30">
        <v>16.600000000000001</v>
      </c>
      <c r="X4" s="20" t="s">
        <v>19</v>
      </c>
      <c r="Y4" s="22">
        <v>1</v>
      </c>
      <c r="Z4" s="22">
        <v>1</v>
      </c>
      <c r="AA4" s="22">
        <v>0</v>
      </c>
      <c r="AB4" s="22">
        <v>1</v>
      </c>
      <c r="AC4" s="22">
        <v>0</v>
      </c>
      <c r="AD4" s="22">
        <v>0</v>
      </c>
      <c r="AE4" s="22"/>
      <c r="AF4" s="19">
        <f t="shared" ref="AF4:AF67" si="1">+AE4/Z4*100</f>
        <v>0</v>
      </c>
      <c r="AG4" s="22">
        <v>0</v>
      </c>
      <c r="AH4" s="73">
        <v>0</v>
      </c>
      <c r="AI4" s="23">
        <v>0</v>
      </c>
      <c r="AJ4" s="23">
        <v>0</v>
      </c>
      <c r="AK4" s="23">
        <v>0</v>
      </c>
      <c r="AL4" s="23">
        <v>0</v>
      </c>
      <c r="AM4" s="23">
        <v>0</v>
      </c>
      <c r="AN4" s="23">
        <v>0</v>
      </c>
      <c r="AO4" s="23">
        <v>0</v>
      </c>
      <c r="AP4" s="23">
        <v>0</v>
      </c>
      <c r="AQ4" s="23">
        <v>0</v>
      </c>
      <c r="AR4" s="23">
        <v>0</v>
      </c>
      <c r="AS4" s="23">
        <v>0</v>
      </c>
      <c r="AT4" s="23">
        <v>0</v>
      </c>
      <c r="AU4" s="23">
        <v>0</v>
      </c>
      <c r="AV4" s="23">
        <v>12000000</v>
      </c>
      <c r="AW4" s="23">
        <v>0</v>
      </c>
      <c r="AX4" s="23">
        <v>0</v>
      </c>
      <c r="AY4" s="23">
        <v>0</v>
      </c>
      <c r="AZ4" s="23">
        <v>0</v>
      </c>
      <c r="BA4" s="23">
        <v>0</v>
      </c>
      <c r="BB4" s="23">
        <v>0</v>
      </c>
      <c r="BC4" s="23">
        <v>0</v>
      </c>
      <c r="BD4" s="23">
        <v>0</v>
      </c>
      <c r="BE4" s="23">
        <v>0</v>
      </c>
      <c r="BF4" s="23">
        <v>12000000</v>
      </c>
      <c r="BG4" s="23">
        <v>0</v>
      </c>
      <c r="BH4" s="23">
        <v>0</v>
      </c>
      <c r="BI4" s="23">
        <v>0</v>
      </c>
      <c r="BJ4" s="23">
        <v>0</v>
      </c>
      <c r="BK4" s="23">
        <v>0</v>
      </c>
      <c r="BL4" s="23">
        <v>0</v>
      </c>
      <c r="BM4" s="23">
        <v>0</v>
      </c>
      <c r="BN4" s="23">
        <v>0</v>
      </c>
      <c r="BO4" s="23">
        <v>0</v>
      </c>
      <c r="BP4" s="23">
        <v>0</v>
      </c>
      <c r="BQ4" s="23">
        <v>0</v>
      </c>
      <c r="BR4" s="23">
        <v>0</v>
      </c>
      <c r="BS4" s="23">
        <v>0</v>
      </c>
      <c r="BT4" s="23">
        <v>0</v>
      </c>
      <c r="BU4" s="23">
        <v>0</v>
      </c>
      <c r="BV4" s="23">
        <v>0</v>
      </c>
      <c r="BW4" s="23">
        <v>0</v>
      </c>
      <c r="BX4" s="23">
        <v>0</v>
      </c>
      <c r="BY4" s="23">
        <v>0</v>
      </c>
      <c r="BZ4" s="23">
        <v>0</v>
      </c>
      <c r="CA4" s="23">
        <v>0</v>
      </c>
      <c r="CB4" s="23">
        <v>0</v>
      </c>
      <c r="CC4" s="23">
        <v>0</v>
      </c>
      <c r="CD4" s="23">
        <v>0</v>
      </c>
      <c r="CE4" s="23">
        <f t="shared" si="0"/>
        <v>12000000</v>
      </c>
    </row>
    <row r="5" spans="1:83" ht="15" customHeight="1" x14ac:dyDescent="0.3">
      <c r="A5" s="20" t="s">
        <v>741</v>
      </c>
      <c r="B5" s="20">
        <v>41</v>
      </c>
      <c r="C5" s="20" t="s">
        <v>12</v>
      </c>
      <c r="D5" s="20">
        <v>260020004</v>
      </c>
      <c r="E5" s="20" t="s">
        <v>710</v>
      </c>
      <c r="F5" s="20" t="s">
        <v>18</v>
      </c>
      <c r="G5" s="20" t="s">
        <v>775</v>
      </c>
      <c r="H5" s="29">
        <v>0</v>
      </c>
      <c r="I5" s="30">
        <v>2022</v>
      </c>
      <c r="J5" s="30">
        <v>4</v>
      </c>
      <c r="K5" s="30">
        <v>4101</v>
      </c>
      <c r="L5" s="20" t="s">
        <v>28</v>
      </c>
      <c r="M5" s="30">
        <v>4101011</v>
      </c>
      <c r="N5" s="77" t="s">
        <v>1099</v>
      </c>
      <c r="O5" s="79">
        <v>202500000002045</v>
      </c>
      <c r="P5" s="20" t="s">
        <v>29</v>
      </c>
      <c r="Q5" s="46"/>
      <c r="R5" s="20" t="s">
        <v>30</v>
      </c>
      <c r="S5" s="20" t="s">
        <v>31</v>
      </c>
      <c r="T5" s="30">
        <v>410101100</v>
      </c>
      <c r="U5" s="20" t="s">
        <v>32</v>
      </c>
      <c r="V5" s="20" t="s">
        <v>18</v>
      </c>
      <c r="W5" s="30">
        <v>16.600000000000001</v>
      </c>
      <c r="X5" s="20" t="s">
        <v>19</v>
      </c>
      <c r="Y5" s="22">
        <v>1</v>
      </c>
      <c r="Z5" s="22">
        <v>4</v>
      </c>
      <c r="AA5" s="22">
        <v>1</v>
      </c>
      <c r="AB5" s="22">
        <v>1</v>
      </c>
      <c r="AC5" s="22">
        <v>1</v>
      </c>
      <c r="AD5" s="22">
        <v>1</v>
      </c>
      <c r="AE5" s="22">
        <v>2</v>
      </c>
      <c r="AF5" s="19">
        <f t="shared" si="1"/>
        <v>50</v>
      </c>
      <c r="AG5" s="57">
        <v>0</v>
      </c>
      <c r="AH5" s="74">
        <v>0</v>
      </c>
      <c r="AI5" s="23">
        <v>2500000</v>
      </c>
      <c r="AJ5" s="23">
        <v>0</v>
      </c>
      <c r="AK5" s="23">
        <v>0</v>
      </c>
      <c r="AL5" s="23">
        <v>0</v>
      </c>
      <c r="AM5" s="23">
        <v>0</v>
      </c>
      <c r="AN5" s="23">
        <v>0</v>
      </c>
      <c r="AO5" s="23">
        <v>0</v>
      </c>
      <c r="AP5" s="23">
        <v>0</v>
      </c>
      <c r="AQ5" s="23">
        <v>0</v>
      </c>
      <c r="AR5" s="23">
        <v>0</v>
      </c>
      <c r="AS5" s="23">
        <v>0</v>
      </c>
      <c r="AT5" s="23">
        <v>2500000</v>
      </c>
      <c r="AU5" s="23">
        <v>2500000</v>
      </c>
      <c r="AV5" s="23">
        <v>0</v>
      </c>
      <c r="AW5" s="23">
        <v>0</v>
      </c>
      <c r="AX5" s="23">
        <v>0</v>
      </c>
      <c r="AY5" s="23">
        <v>0</v>
      </c>
      <c r="AZ5" s="23">
        <v>0</v>
      </c>
      <c r="BA5" s="23">
        <v>0</v>
      </c>
      <c r="BB5" s="23">
        <v>0</v>
      </c>
      <c r="BC5" s="23">
        <v>0</v>
      </c>
      <c r="BD5" s="23">
        <v>0</v>
      </c>
      <c r="BE5" s="23">
        <v>0</v>
      </c>
      <c r="BF5" s="23">
        <v>2500000</v>
      </c>
      <c r="BG5" s="23">
        <v>2500000</v>
      </c>
      <c r="BH5" s="23">
        <v>0</v>
      </c>
      <c r="BI5" s="23">
        <v>0</v>
      </c>
      <c r="BJ5" s="23">
        <v>0</v>
      </c>
      <c r="BK5" s="23">
        <v>0</v>
      </c>
      <c r="BL5" s="23">
        <v>0</v>
      </c>
      <c r="BM5" s="23">
        <v>0</v>
      </c>
      <c r="BN5" s="23">
        <v>0</v>
      </c>
      <c r="BO5" s="23">
        <v>0</v>
      </c>
      <c r="BP5" s="23">
        <v>0</v>
      </c>
      <c r="BQ5" s="23">
        <v>0</v>
      </c>
      <c r="BR5" s="23">
        <v>2500000</v>
      </c>
      <c r="BS5" s="23">
        <v>2500000</v>
      </c>
      <c r="BT5" s="23">
        <v>0</v>
      </c>
      <c r="BU5" s="23">
        <v>0</v>
      </c>
      <c r="BV5" s="23">
        <v>0</v>
      </c>
      <c r="BW5" s="23">
        <v>0</v>
      </c>
      <c r="BX5" s="23">
        <v>0</v>
      </c>
      <c r="BY5" s="23">
        <v>0</v>
      </c>
      <c r="BZ5" s="23">
        <v>0</v>
      </c>
      <c r="CA5" s="23">
        <v>0</v>
      </c>
      <c r="CB5" s="23">
        <v>0</v>
      </c>
      <c r="CC5" s="23">
        <v>0</v>
      </c>
      <c r="CD5" s="23">
        <v>2500000</v>
      </c>
      <c r="CE5" s="23">
        <f t="shared" si="0"/>
        <v>10000000</v>
      </c>
    </row>
    <row r="6" spans="1:83" ht="15" customHeight="1" x14ac:dyDescent="0.3">
      <c r="A6" s="20" t="s">
        <v>741</v>
      </c>
      <c r="B6" s="20">
        <v>41</v>
      </c>
      <c r="C6" s="20" t="s">
        <v>12</v>
      </c>
      <c r="D6" s="20">
        <v>260020010</v>
      </c>
      <c r="E6" s="20" t="s">
        <v>711</v>
      </c>
      <c r="F6" s="20" t="s">
        <v>797</v>
      </c>
      <c r="G6" s="20" t="s">
        <v>804</v>
      </c>
      <c r="H6" s="29" t="s">
        <v>803</v>
      </c>
      <c r="I6" s="30" t="s">
        <v>803</v>
      </c>
      <c r="J6" s="30">
        <v>20</v>
      </c>
      <c r="K6" s="30">
        <v>4101</v>
      </c>
      <c r="L6" s="20" t="s">
        <v>28</v>
      </c>
      <c r="M6" s="30">
        <v>4101023</v>
      </c>
      <c r="N6" s="77" t="s">
        <v>1099</v>
      </c>
      <c r="O6" s="79">
        <v>202500000002045</v>
      </c>
      <c r="P6" s="20" t="s">
        <v>34</v>
      </c>
      <c r="Q6" s="46"/>
      <c r="R6" s="20" t="s">
        <v>35</v>
      </c>
      <c r="S6" s="20" t="s">
        <v>36</v>
      </c>
      <c r="T6" s="30">
        <v>410102300</v>
      </c>
      <c r="U6" s="20" t="s">
        <v>37</v>
      </c>
      <c r="V6" s="20" t="s">
        <v>18</v>
      </c>
      <c r="W6" s="30">
        <v>16.3</v>
      </c>
      <c r="X6" s="20" t="s">
        <v>19</v>
      </c>
      <c r="Y6" s="22">
        <v>400</v>
      </c>
      <c r="Z6" s="22">
        <v>2000</v>
      </c>
      <c r="AA6" s="22">
        <v>500</v>
      </c>
      <c r="AB6" s="22">
        <v>500</v>
      </c>
      <c r="AC6" s="22">
        <v>500</v>
      </c>
      <c r="AD6" s="22">
        <v>500</v>
      </c>
      <c r="AE6" s="22">
        <v>500</v>
      </c>
      <c r="AF6" s="19">
        <f t="shared" si="1"/>
        <v>25</v>
      </c>
      <c r="AG6" s="57">
        <v>115</v>
      </c>
      <c r="AH6" s="74">
        <v>23</v>
      </c>
      <c r="AI6" s="23">
        <v>12500000</v>
      </c>
      <c r="AJ6" s="23">
        <v>0</v>
      </c>
      <c r="AK6" s="23">
        <v>0</v>
      </c>
      <c r="AL6" s="23">
        <v>0</v>
      </c>
      <c r="AM6" s="23">
        <v>0</v>
      </c>
      <c r="AN6" s="23">
        <v>0</v>
      </c>
      <c r="AO6" s="23">
        <v>0</v>
      </c>
      <c r="AP6" s="23">
        <v>0</v>
      </c>
      <c r="AQ6" s="23">
        <v>0</v>
      </c>
      <c r="AR6" s="23">
        <v>0</v>
      </c>
      <c r="AS6" s="23">
        <v>0</v>
      </c>
      <c r="AT6" s="23">
        <v>12500000</v>
      </c>
      <c r="AU6" s="23">
        <v>12500000</v>
      </c>
      <c r="AV6" s="23">
        <v>0</v>
      </c>
      <c r="AW6" s="23">
        <v>0</v>
      </c>
      <c r="AX6" s="23">
        <v>0</v>
      </c>
      <c r="AY6" s="23">
        <v>0</v>
      </c>
      <c r="AZ6" s="23">
        <v>0</v>
      </c>
      <c r="BA6" s="23">
        <v>0</v>
      </c>
      <c r="BB6" s="23">
        <v>0</v>
      </c>
      <c r="BC6" s="23">
        <v>0</v>
      </c>
      <c r="BD6" s="23">
        <v>0</v>
      </c>
      <c r="BE6" s="23">
        <v>0</v>
      </c>
      <c r="BF6" s="23">
        <v>12500000</v>
      </c>
      <c r="BG6" s="23">
        <v>12500000</v>
      </c>
      <c r="BH6" s="23">
        <v>0</v>
      </c>
      <c r="BI6" s="23">
        <v>0</v>
      </c>
      <c r="BJ6" s="23">
        <v>0</v>
      </c>
      <c r="BK6" s="23">
        <v>0</v>
      </c>
      <c r="BL6" s="23">
        <v>0</v>
      </c>
      <c r="BM6" s="23">
        <v>0</v>
      </c>
      <c r="BN6" s="23">
        <v>0</v>
      </c>
      <c r="BO6" s="23">
        <v>0</v>
      </c>
      <c r="BP6" s="23">
        <v>0</v>
      </c>
      <c r="BQ6" s="23">
        <v>0</v>
      </c>
      <c r="BR6" s="23">
        <v>12500000</v>
      </c>
      <c r="BS6" s="23">
        <v>12500000</v>
      </c>
      <c r="BT6" s="23">
        <v>0</v>
      </c>
      <c r="BU6" s="23">
        <v>0</v>
      </c>
      <c r="BV6" s="23">
        <v>0</v>
      </c>
      <c r="BW6" s="23">
        <v>0</v>
      </c>
      <c r="BX6" s="23">
        <v>0</v>
      </c>
      <c r="BY6" s="23">
        <v>0</v>
      </c>
      <c r="BZ6" s="23">
        <v>0</v>
      </c>
      <c r="CA6" s="23">
        <v>0</v>
      </c>
      <c r="CB6" s="23">
        <v>0</v>
      </c>
      <c r="CC6" s="23">
        <v>0</v>
      </c>
      <c r="CD6" s="23">
        <v>12500000</v>
      </c>
      <c r="CE6" s="23">
        <f t="shared" si="0"/>
        <v>50000000</v>
      </c>
    </row>
    <row r="7" spans="1:83" ht="15" customHeight="1" x14ac:dyDescent="0.3">
      <c r="A7" s="20" t="s">
        <v>741</v>
      </c>
      <c r="B7" s="20">
        <v>41</v>
      </c>
      <c r="C7" s="20" t="s">
        <v>12</v>
      </c>
      <c r="D7" s="20">
        <v>260020010</v>
      </c>
      <c r="E7" s="20" t="s">
        <v>711</v>
      </c>
      <c r="F7" s="20" t="s">
        <v>797</v>
      </c>
      <c r="G7" s="20" t="s">
        <v>804</v>
      </c>
      <c r="H7" s="29" t="s">
        <v>803</v>
      </c>
      <c r="I7" s="30" t="s">
        <v>803</v>
      </c>
      <c r="J7" s="30">
        <v>20</v>
      </c>
      <c r="K7" s="30">
        <v>4101</v>
      </c>
      <c r="L7" s="20" t="s">
        <v>28</v>
      </c>
      <c r="M7" s="30">
        <v>4101025</v>
      </c>
      <c r="N7" s="77" t="s">
        <v>1099</v>
      </c>
      <c r="O7" s="79">
        <v>202500000002045</v>
      </c>
      <c r="P7" s="20" t="s">
        <v>38</v>
      </c>
      <c r="Q7" s="46"/>
      <c r="R7" s="20" t="s">
        <v>39</v>
      </c>
      <c r="S7" s="20" t="s">
        <v>40</v>
      </c>
      <c r="T7" s="30">
        <v>410102500</v>
      </c>
      <c r="U7" s="20" t="s">
        <v>41</v>
      </c>
      <c r="V7" s="20" t="s">
        <v>18</v>
      </c>
      <c r="W7" s="30">
        <v>16.3</v>
      </c>
      <c r="X7" s="20" t="s">
        <v>19</v>
      </c>
      <c r="Y7" s="22">
        <v>20</v>
      </c>
      <c r="Z7" s="22">
        <v>80</v>
      </c>
      <c r="AA7" s="22">
        <v>20</v>
      </c>
      <c r="AB7" s="22">
        <v>20</v>
      </c>
      <c r="AC7" s="22">
        <v>20</v>
      </c>
      <c r="AD7" s="22">
        <v>20</v>
      </c>
      <c r="AE7" s="22">
        <v>20</v>
      </c>
      <c r="AF7" s="19">
        <f t="shared" si="1"/>
        <v>25</v>
      </c>
      <c r="AG7" s="57">
        <v>0</v>
      </c>
      <c r="AH7" s="74">
        <v>0</v>
      </c>
      <c r="AI7" s="23">
        <v>10000000</v>
      </c>
      <c r="AJ7" s="23">
        <v>0</v>
      </c>
      <c r="AK7" s="23">
        <v>0</v>
      </c>
      <c r="AL7" s="23">
        <v>0</v>
      </c>
      <c r="AM7" s="23">
        <v>0</v>
      </c>
      <c r="AN7" s="23">
        <v>0</v>
      </c>
      <c r="AO7" s="23">
        <v>0</v>
      </c>
      <c r="AP7" s="23">
        <v>0</v>
      </c>
      <c r="AQ7" s="23">
        <v>0</v>
      </c>
      <c r="AR7" s="23">
        <v>0</v>
      </c>
      <c r="AS7" s="23">
        <v>0</v>
      </c>
      <c r="AT7" s="23">
        <v>10000000</v>
      </c>
      <c r="AU7" s="23">
        <v>10000000</v>
      </c>
      <c r="AV7" s="23">
        <v>0</v>
      </c>
      <c r="AW7" s="23">
        <v>0</v>
      </c>
      <c r="AX7" s="23">
        <v>0</v>
      </c>
      <c r="AY7" s="23">
        <v>0</v>
      </c>
      <c r="AZ7" s="23">
        <v>0</v>
      </c>
      <c r="BA7" s="23">
        <v>0</v>
      </c>
      <c r="BB7" s="23">
        <v>0</v>
      </c>
      <c r="BC7" s="23">
        <v>0</v>
      </c>
      <c r="BD7" s="23">
        <v>0</v>
      </c>
      <c r="BE7" s="23">
        <v>0</v>
      </c>
      <c r="BF7" s="23">
        <v>10000000</v>
      </c>
      <c r="BG7" s="23">
        <v>10000000</v>
      </c>
      <c r="BH7" s="23">
        <v>0</v>
      </c>
      <c r="BI7" s="23">
        <v>0</v>
      </c>
      <c r="BJ7" s="23">
        <v>0</v>
      </c>
      <c r="BK7" s="23">
        <v>0</v>
      </c>
      <c r="BL7" s="23">
        <v>0</v>
      </c>
      <c r="BM7" s="23">
        <v>0</v>
      </c>
      <c r="BN7" s="23">
        <v>0</v>
      </c>
      <c r="BO7" s="23">
        <v>0</v>
      </c>
      <c r="BP7" s="23">
        <v>0</v>
      </c>
      <c r="BQ7" s="23">
        <v>0</v>
      </c>
      <c r="BR7" s="23">
        <v>10000000</v>
      </c>
      <c r="BS7" s="23">
        <v>10000000</v>
      </c>
      <c r="BT7" s="23">
        <v>0</v>
      </c>
      <c r="BU7" s="23">
        <v>0</v>
      </c>
      <c r="BV7" s="23">
        <v>0</v>
      </c>
      <c r="BW7" s="23">
        <v>0</v>
      </c>
      <c r="BX7" s="23">
        <v>0</v>
      </c>
      <c r="BY7" s="23">
        <v>0</v>
      </c>
      <c r="BZ7" s="23">
        <v>0</v>
      </c>
      <c r="CA7" s="23">
        <v>0</v>
      </c>
      <c r="CB7" s="23">
        <v>0</v>
      </c>
      <c r="CC7" s="23">
        <v>0</v>
      </c>
      <c r="CD7" s="23">
        <v>10000000</v>
      </c>
      <c r="CE7" s="23">
        <f t="shared" si="0"/>
        <v>40000000</v>
      </c>
    </row>
    <row r="8" spans="1:83" ht="15" customHeight="1" x14ac:dyDescent="0.3">
      <c r="A8" s="20" t="s">
        <v>741</v>
      </c>
      <c r="B8" s="20">
        <v>41</v>
      </c>
      <c r="C8" s="20" t="s">
        <v>12</v>
      </c>
      <c r="D8" s="20">
        <v>260020010</v>
      </c>
      <c r="E8" s="20" t="s">
        <v>711</v>
      </c>
      <c r="F8" s="20" t="s">
        <v>797</v>
      </c>
      <c r="G8" s="20" t="s">
        <v>804</v>
      </c>
      <c r="H8" s="29" t="s">
        <v>803</v>
      </c>
      <c r="I8" s="30" t="s">
        <v>803</v>
      </c>
      <c r="J8" s="30">
        <v>20</v>
      </c>
      <c r="K8" s="30">
        <v>4101</v>
      </c>
      <c r="L8" s="20" t="s">
        <v>28</v>
      </c>
      <c r="M8" s="30">
        <v>4101038</v>
      </c>
      <c r="N8" s="77" t="s">
        <v>1099</v>
      </c>
      <c r="O8" s="79">
        <v>202500000002045</v>
      </c>
      <c r="P8" s="20" t="s">
        <v>43</v>
      </c>
      <c r="Q8" s="46" t="s">
        <v>872</v>
      </c>
      <c r="R8" s="20" t="s">
        <v>44</v>
      </c>
      <c r="S8" s="20" t="s">
        <v>45</v>
      </c>
      <c r="T8" s="30">
        <v>410103800</v>
      </c>
      <c r="U8" s="20" t="s">
        <v>46</v>
      </c>
      <c r="V8" s="20" t="s">
        <v>18</v>
      </c>
      <c r="W8" s="30">
        <v>16.3</v>
      </c>
      <c r="X8" s="20" t="s">
        <v>19</v>
      </c>
      <c r="Y8" s="22">
        <v>2</v>
      </c>
      <c r="Z8" s="22">
        <v>4</v>
      </c>
      <c r="AA8" s="22">
        <v>1</v>
      </c>
      <c r="AB8" s="22">
        <v>1</v>
      </c>
      <c r="AC8" s="22">
        <v>1</v>
      </c>
      <c r="AD8" s="22">
        <v>1</v>
      </c>
      <c r="AE8" s="22">
        <v>5</v>
      </c>
      <c r="AF8" s="19">
        <f t="shared" si="1"/>
        <v>125</v>
      </c>
      <c r="AG8" s="57">
        <v>0</v>
      </c>
      <c r="AH8" s="74">
        <v>0</v>
      </c>
      <c r="AI8" s="23">
        <v>3000000</v>
      </c>
      <c r="AJ8" s="23">
        <v>0</v>
      </c>
      <c r="AK8" s="23">
        <v>0</v>
      </c>
      <c r="AL8" s="23">
        <v>0</v>
      </c>
      <c r="AM8" s="23">
        <v>0</v>
      </c>
      <c r="AN8" s="23">
        <v>0</v>
      </c>
      <c r="AO8" s="23">
        <v>0</v>
      </c>
      <c r="AP8" s="23">
        <v>0</v>
      </c>
      <c r="AQ8" s="23">
        <v>0</v>
      </c>
      <c r="AR8" s="23">
        <v>0</v>
      </c>
      <c r="AS8" s="23">
        <v>0</v>
      </c>
      <c r="AT8" s="23">
        <v>3000000</v>
      </c>
      <c r="AU8" s="23">
        <v>3000000</v>
      </c>
      <c r="AV8" s="23">
        <v>0</v>
      </c>
      <c r="AW8" s="23">
        <v>0</v>
      </c>
      <c r="AX8" s="23">
        <v>0</v>
      </c>
      <c r="AY8" s="23">
        <v>0</v>
      </c>
      <c r="AZ8" s="23">
        <v>0</v>
      </c>
      <c r="BA8" s="23">
        <v>0</v>
      </c>
      <c r="BB8" s="23">
        <v>0</v>
      </c>
      <c r="BC8" s="23">
        <v>0</v>
      </c>
      <c r="BD8" s="23">
        <v>0</v>
      </c>
      <c r="BE8" s="23">
        <v>0</v>
      </c>
      <c r="BF8" s="23">
        <v>3000000</v>
      </c>
      <c r="BG8" s="23">
        <v>3000000</v>
      </c>
      <c r="BH8" s="23">
        <v>0</v>
      </c>
      <c r="BI8" s="23">
        <v>0</v>
      </c>
      <c r="BJ8" s="23">
        <v>0</v>
      </c>
      <c r="BK8" s="23">
        <v>0</v>
      </c>
      <c r="BL8" s="23">
        <v>0</v>
      </c>
      <c r="BM8" s="23">
        <v>0</v>
      </c>
      <c r="BN8" s="23">
        <v>0</v>
      </c>
      <c r="BO8" s="23">
        <v>0</v>
      </c>
      <c r="BP8" s="23">
        <v>0</v>
      </c>
      <c r="BQ8" s="23">
        <v>0</v>
      </c>
      <c r="BR8" s="23">
        <v>3000000</v>
      </c>
      <c r="BS8" s="23">
        <v>3000000</v>
      </c>
      <c r="BT8" s="23">
        <v>0</v>
      </c>
      <c r="BU8" s="23">
        <v>0</v>
      </c>
      <c r="BV8" s="23">
        <v>0</v>
      </c>
      <c r="BW8" s="23">
        <v>0</v>
      </c>
      <c r="BX8" s="23">
        <v>0</v>
      </c>
      <c r="BY8" s="23">
        <v>0</v>
      </c>
      <c r="BZ8" s="23">
        <v>0</v>
      </c>
      <c r="CA8" s="23">
        <v>0</v>
      </c>
      <c r="CB8" s="23">
        <v>0</v>
      </c>
      <c r="CC8" s="23">
        <v>0</v>
      </c>
      <c r="CD8" s="23">
        <v>3000000</v>
      </c>
      <c r="CE8" s="23">
        <f t="shared" si="0"/>
        <v>12000000</v>
      </c>
    </row>
    <row r="9" spans="1:83" ht="14.4" customHeight="1" x14ac:dyDescent="0.3">
      <c r="A9" s="20" t="s">
        <v>741</v>
      </c>
      <c r="B9" s="20">
        <v>19</v>
      </c>
      <c r="C9" s="20" t="s">
        <v>47</v>
      </c>
      <c r="D9" s="20">
        <v>50020063</v>
      </c>
      <c r="E9" s="20" t="s">
        <v>746</v>
      </c>
      <c r="F9" s="20" t="s">
        <v>747</v>
      </c>
      <c r="G9" s="20" t="s">
        <v>776</v>
      </c>
      <c r="H9" s="29">
        <v>0</v>
      </c>
      <c r="I9" s="30">
        <v>2021</v>
      </c>
      <c r="J9" s="30">
        <v>0</v>
      </c>
      <c r="K9" s="30">
        <v>1903</v>
      </c>
      <c r="L9" s="20" t="s">
        <v>48</v>
      </c>
      <c r="M9" s="30">
        <v>1903038</v>
      </c>
      <c r="N9" s="62" t="s">
        <v>1100</v>
      </c>
      <c r="O9" s="79">
        <v>202500000009649</v>
      </c>
      <c r="P9" s="20" t="s">
        <v>49</v>
      </c>
      <c r="Q9" s="46"/>
      <c r="R9" s="20" t="s">
        <v>50</v>
      </c>
      <c r="S9" s="20" t="s">
        <v>51</v>
      </c>
      <c r="T9" s="30">
        <v>190303800</v>
      </c>
      <c r="U9" s="20" t="s">
        <v>52</v>
      </c>
      <c r="V9" s="20" t="s">
        <v>18</v>
      </c>
      <c r="W9" s="30">
        <v>3.3</v>
      </c>
      <c r="X9" s="20" t="s">
        <v>770</v>
      </c>
      <c r="Y9" s="22">
        <v>1</v>
      </c>
      <c r="Z9" s="22">
        <v>4</v>
      </c>
      <c r="AA9" s="22">
        <v>1</v>
      </c>
      <c r="AB9" s="22">
        <v>1</v>
      </c>
      <c r="AC9" s="22">
        <v>1</v>
      </c>
      <c r="AD9" s="22">
        <v>1</v>
      </c>
      <c r="AE9" s="22">
        <v>1</v>
      </c>
      <c r="AF9" s="19">
        <f t="shared" si="1"/>
        <v>25</v>
      </c>
      <c r="AG9" s="22">
        <v>1</v>
      </c>
      <c r="AH9" s="73">
        <v>100</v>
      </c>
      <c r="AI9" s="23">
        <v>0</v>
      </c>
      <c r="AJ9" s="23">
        <v>0</v>
      </c>
      <c r="AK9" s="23">
        <v>0</v>
      </c>
      <c r="AL9" s="23">
        <v>9172827</v>
      </c>
      <c r="AM9" s="23">
        <v>0</v>
      </c>
      <c r="AN9" s="23">
        <v>0</v>
      </c>
      <c r="AO9" s="23">
        <v>0</v>
      </c>
      <c r="AP9" s="23">
        <v>0</v>
      </c>
      <c r="AQ9" s="23">
        <v>0</v>
      </c>
      <c r="AR9" s="23">
        <v>0</v>
      </c>
      <c r="AS9" s="23">
        <v>11500000</v>
      </c>
      <c r="AT9" s="23">
        <v>20672827</v>
      </c>
      <c r="AU9" s="23">
        <v>0</v>
      </c>
      <c r="AV9" s="23">
        <v>0</v>
      </c>
      <c r="AW9" s="23">
        <v>0</v>
      </c>
      <c r="AX9" s="23">
        <v>10183425</v>
      </c>
      <c r="AY9" s="23">
        <v>0</v>
      </c>
      <c r="AZ9" s="23">
        <v>0</v>
      </c>
      <c r="BA9" s="23">
        <v>0</v>
      </c>
      <c r="BB9" s="23">
        <v>0</v>
      </c>
      <c r="BC9" s="23">
        <v>0</v>
      </c>
      <c r="BD9" s="23">
        <v>0</v>
      </c>
      <c r="BE9" s="23">
        <v>0</v>
      </c>
      <c r="BF9" s="23">
        <v>10183425</v>
      </c>
      <c r="BG9" s="23">
        <v>0</v>
      </c>
      <c r="BH9" s="23">
        <v>0</v>
      </c>
      <c r="BI9" s="23">
        <v>0</v>
      </c>
      <c r="BJ9" s="23">
        <v>10183425</v>
      </c>
      <c r="BK9" s="23">
        <v>0</v>
      </c>
      <c r="BL9" s="23">
        <v>0</v>
      </c>
      <c r="BM9" s="23">
        <v>0</v>
      </c>
      <c r="BN9" s="23">
        <v>0</v>
      </c>
      <c r="BO9" s="23">
        <v>0</v>
      </c>
      <c r="BP9" s="23">
        <v>0</v>
      </c>
      <c r="BQ9" s="23">
        <v>0</v>
      </c>
      <c r="BR9" s="23">
        <v>10183425</v>
      </c>
      <c r="BS9" s="23">
        <v>0</v>
      </c>
      <c r="BT9" s="23">
        <v>0</v>
      </c>
      <c r="BU9" s="23">
        <v>0</v>
      </c>
      <c r="BV9" s="23">
        <v>10183425</v>
      </c>
      <c r="BW9" s="23">
        <v>0</v>
      </c>
      <c r="BX9" s="23">
        <v>0</v>
      </c>
      <c r="BY9" s="23">
        <v>0</v>
      </c>
      <c r="BZ9" s="23">
        <v>0</v>
      </c>
      <c r="CA9" s="23">
        <v>0</v>
      </c>
      <c r="CB9" s="23">
        <v>0</v>
      </c>
      <c r="CC9" s="23">
        <v>0</v>
      </c>
      <c r="CD9" s="23">
        <v>10183425</v>
      </c>
      <c r="CE9" s="23">
        <f t="shared" si="0"/>
        <v>51223102</v>
      </c>
    </row>
    <row r="10" spans="1:83" ht="14.4" customHeight="1" x14ac:dyDescent="0.3">
      <c r="A10" s="20" t="s">
        <v>741</v>
      </c>
      <c r="B10" s="20">
        <v>19</v>
      </c>
      <c r="C10" s="20" t="s">
        <v>47</v>
      </c>
      <c r="D10" s="20">
        <v>80030002</v>
      </c>
      <c r="E10" s="20" t="s">
        <v>752</v>
      </c>
      <c r="F10" s="20" t="s">
        <v>719</v>
      </c>
      <c r="G10" s="20" t="s">
        <v>777</v>
      </c>
      <c r="H10" s="29">
        <v>75.596100000000007</v>
      </c>
      <c r="I10" s="30">
        <v>2022</v>
      </c>
      <c r="J10" s="30">
        <v>85</v>
      </c>
      <c r="K10" s="30">
        <v>1903</v>
      </c>
      <c r="L10" s="20" t="s">
        <v>48</v>
      </c>
      <c r="M10" s="30">
        <v>1903023</v>
      </c>
      <c r="N10" s="62" t="s">
        <v>1100</v>
      </c>
      <c r="O10" s="79">
        <v>202500000009649</v>
      </c>
      <c r="P10" s="20" t="s">
        <v>53</v>
      </c>
      <c r="Q10" s="46"/>
      <c r="R10" s="20" t="s">
        <v>54</v>
      </c>
      <c r="S10" s="20" t="s">
        <v>55</v>
      </c>
      <c r="T10" s="30">
        <v>190302300</v>
      </c>
      <c r="U10" s="20" t="s">
        <v>56</v>
      </c>
      <c r="V10" s="20" t="s">
        <v>18</v>
      </c>
      <c r="W10" s="30">
        <v>3.4</v>
      </c>
      <c r="X10" s="20" t="s">
        <v>770</v>
      </c>
      <c r="Y10" s="22">
        <v>12</v>
      </c>
      <c r="Z10" s="22">
        <v>12</v>
      </c>
      <c r="AA10" s="22">
        <v>3</v>
      </c>
      <c r="AB10" s="22">
        <v>3</v>
      </c>
      <c r="AC10" s="22">
        <v>3</v>
      </c>
      <c r="AD10" s="22">
        <v>3</v>
      </c>
      <c r="AE10" s="22">
        <v>3</v>
      </c>
      <c r="AF10" s="19">
        <f t="shared" si="1"/>
        <v>25</v>
      </c>
      <c r="AG10" s="22">
        <v>4</v>
      </c>
      <c r="AH10" s="73">
        <v>133.33333333333334</v>
      </c>
      <c r="AI10" s="23">
        <v>0</v>
      </c>
      <c r="AJ10" s="23">
        <v>0</v>
      </c>
      <c r="AK10" s="23">
        <v>0</v>
      </c>
      <c r="AL10" s="23">
        <v>10500000</v>
      </c>
      <c r="AM10" s="23">
        <v>0</v>
      </c>
      <c r="AN10" s="23">
        <v>0</v>
      </c>
      <c r="AO10" s="23">
        <v>0</v>
      </c>
      <c r="AP10" s="23">
        <v>0</v>
      </c>
      <c r="AQ10" s="23">
        <v>0</v>
      </c>
      <c r="AR10" s="23">
        <v>0</v>
      </c>
      <c r="AS10" s="23">
        <v>0</v>
      </c>
      <c r="AT10" s="23">
        <v>10500000</v>
      </c>
      <c r="AU10" s="23">
        <v>0</v>
      </c>
      <c r="AV10" s="23">
        <v>0</v>
      </c>
      <c r="AW10" s="23">
        <v>0</v>
      </c>
      <c r="AX10" s="23">
        <v>10500000</v>
      </c>
      <c r="AY10" s="23">
        <v>0</v>
      </c>
      <c r="AZ10" s="23">
        <v>0</v>
      </c>
      <c r="BA10" s="23">
        <v>0</v>
      </c>
      <c r="BB10" s="23">
        <v>0</v>
      </c>
      <c r="BC10" s="23">
        <v>0</v>
      </c>
      <c r="BD10" s="23">
        <v>0</v>
      </c>
      <c r="BE10" s="23">
        <v>0</v>
      </c>
      <c r="BF10" s="23">
        <v>10500000</v>
      </c>
      <c r="BG10" s="23">
        <v>0</v>
      </c>
      <c r="BH10" s="23">
        <v>0</v>
      </c>
      <c r="BI10" s="23">
        <v>0</v>
      </c>
      <c r="BJ10" s="23">
        <v>10500000</v>
      </c>
      <c r="BK10" s="23">
        <v>0</v>
      </c>
      <c r="BL10" s="23">
        <v>0</v>
      </c>
      <c r="BM10" s="23">
        <v>0</v>
      </c>
      <c r="BN10" s="23">
        <v>0</v>
      </c>
      <c r="BO10" s="23">
        <v>0</v>
      </c>
      <c r="BP10" s="23">
        <v>0</v>
      </c>
      <c r="BQ10" s="23">
        <v>0</v>
      </c>
      <c r="BR10" s="23">
        <v>10500000</v>
      </c>
      <c r="BS10" s="23">
        <v>0</v>
      </c>
      <c r="BT10" s="23">
        <v>0</v>
      </c>
      <c r="BU10" s="23">
        <v>0</v>
      </c>
      <c r="BV10" s="23">
        <v>1050000</v>
      </c>
      <c r="BW10" s="23">
        <v>0</v>
      </c>
      <c r="BX10" s="23">
        <v>9450000</v>
      </c>
      <c r="BY10" s="23">
        <v>0</v>
      </c>
      <c r="BZ10" s="23">
        <v>0</v>
      </c>
      <c r="CA10" s="23">
        <v>0</v>
      </c>
      <c r="CB10" s="23">
        <v>0</v>
      </c>
      <c r="CC10" s="23">
        <v>0</v>
      </c>
      <c r="CD10" s="23">
        <v>10500000</v>
      </c>
      <c r="CE10" s="23">
        <f t="shared" si="0"/>
        <v>42000000</v>
      </c>
    </row>
    <row r="11" spans="1:83" ht="14.4" customHeight="1" x14ac:dyDescent="0.3">
      <c r="A11" s="20" t="s">
        <v>741</v>
      </c>
      <c r="B11" s="20">
        <v>19</v>
      </c>
      <c r="C11" s="20" t="s">
        <v>47</v>
      </c>
      <c r="D11" s="20">
        <v>50020063</v>
      </c>
      <c r="E11" s="20" t="s">
        <v>746</v>
      </c>
      <c r="F11" s="20" t="s">
        <v>747</v>
      </c>
      <c r="G11" s="20" t="s">
        <v>776</v>
      </c>
      <c r="H11" s="29">
        <v>0</v>
      </c>
      <c r="I11" s="30">
        <v>2021</v>
      </c>
      <c r="J11" s="30">
        <v>0</v>
      </c>
      <c r="K11" s="30">
        <v>1903</v>
      </c>
      <c r="L11" s="20" t="s">
        <v>48</v>
      </c>
      <c r="M11" s="30">
        <v>1903031</v>
      </c>
      <c r="N11" s="62" t="s">
        <v>1100</v>
      </c>
      <c r="O11" s="79">
        <v>202500000009649</v>
      </c>
      <c r="P11" s="20" t="s">
        <v>57</v>
      </c>
      <c r="Q11" s="46" t="s">
        <v>808</v>
      </c>
      <c r="R11" s="20" t="s">
        <v>58</v>
      </c>
      <c r="S11" s="20" t="s">
        <v>59</v>
      </c>
      <c r="T11" s="30">
        <v>190303100</v>
      </c>
      <c r="U11" s="20" t="s">
        <v>58</v>
      </c>
      <c r="V11" s="20" t="s">
        <v>18</v>
      </c>
      <c r="W11" s="30">
        <v>3.4</v>
      </c>
      <c r="X11" s="20" t="s">
        <v>770</v>
      </c>
      <c r="Y11" s="22">
        <v>208</v>
      </c>
      <c r="Z11" s="22">
        <v>208</v>
      </c>
      <c r="AA11" s="22">
        <v>52</v>
      </c>
      <c r="AB11" s="22">
        <v>52</v>
      </c>
      <c r="AC11" s="22">
        <v>52</v>
      </c>
      <c r="AD11" s="22">
        <v>52</v>
      </c>
      <c r="AE11" s="22">
        <v>52</v>
      </c>
      <c r="AF11" s="19">
        <f t="shared" si="1"/>
        <v>25</v>
      </c>
      <c r="AG11" s="22">
        <v>23</v>
      </c>
      <c r="AH11" s="73">
        <v>44.230769230769234</v>
      </c>
      <c r="AI11" s="23">
        <v>0</v>
      </c>
      <c r="AJ11" s="23">
        <v>0</v>
      </c>
      <c r="AK11" s="23">
        <v>0</v>
      </c>
      <c r="AL11" s="23">
        <v>5200000</v>
      </c>
      <c r="AM11" s="23">
        <v>0</v>
      </c>
      <c r="AN11" s="23">
        <v>0</v>
      </c>
      <c r="AO11" s="23">
        <v>0</v>
      </c>
      <c r="AP11" s="23">
        <v>0</v>
      </c>
      <c r="AQ11" s="23">
        <v>0</v>
      </c>
      <c r="AR11" s="23">
        <v>0</v>
      </c>
      <c r="AS11" s="23">
        <v>0</v>
      </c>
      <c r="AT11" s="23">
        <v>5200000</v>
      </c>
      <c r="AU11" s="23">
        <v>0</v>
      </c>
      <c r="AV11" s="23">
        <v>0</v>
      </c>
      <c r="AW11" s="23">
        <v>0</v>
      </c>
      <c r="AX11" s="23">
        <v>5200000</v>
      </c>
      <c r="AY11" s="23">
        <v>0</v>
      </c>
      <c r="AZ11" s="23">
        <v>0</v>
      </c>
      <c r="BA11" s="23">
        <v>0</v>
      </c>
      <c r="BB11" s="23">
        <v>0</v>
      </c>
      <c r="BC11" s="23">
        <v>0</v>
      </c>
      <c r="BD11" s="23">
        <v>0</v>
      </c>
      <c r="BE11" s="23">
        <v>0</v>
      </c>
      <c r="BF11" s="23">
        <v>5200000</v>
      </c>
      <c r="BG11" s="23">
        <v>0</v>
      </c>
      <c r="BH11" s="23">
        <v>0</v>
      </c>
      <c r="BI11" s="23">
        <v>0</v>
      </c>
      <c r="BJ11" s="23">
        <v>5200000</v>
      </c>
      <c r="BK11" s="23">
        <v>0</v>
      </c>
      <c r="BL11" s="23">
        <v>0</v>
      </c>
      <c r="BM11" s="23">
        <v>0</v>
      </c>
      <c r="BN11" s="23">
        <v>0</v>
      </c>
      <c r="BO11" s="23">
        <v>0</v>
      </c>
      <c r="BP11" s="23">
        <v>0</v>
      </c>
      <c r="BQ11" s="23">
        <v>0</v>
      </c>
      <c r="BR11" s="23">
        <v>5200000</v>
      </c>
      <c r="BS11" s="23">
        <v>0</v>
      </c>
      <c r="BT11" s="23">
        <v>0</v>
      </c>
      <c r="BU11" s="23">
        <v>0</v>
      </c>
      <c r="BV11" s="23">
        <v>5200000</v>
      </c>
      <c r="BW11" s="23">
        <v>0</v>
      </c>
      <c r="BX11" s="23">
        <v>0</v>
      </c>
      <c r="BY11" s="23">
        <v>0</v>
      </c>
      <c r="BZ11" s="23">
        <v>0</v>
      </c>
      <c r="CA11" s="23">
        <v>0</v>
      </c>
      <c r="CB11" s="23">
        <v>0</v>
      </c>
      <c r="CC11" s="23">
        <v>0</v>
      </c>
      <c r="CD11" s="23">
        <v>5200000</v>
      </c>
      <c r="CE11" s="23">
        <f t="shared" si="0"/>
        <v>20800000</v>
      </c>
    </row>
    <row r="12" spans="1:83" ht="14.4" customHeight="1" x14ac:dyDescent="0.3">
      <c r="A12" s="20" t="s">
        <v>741</v>
      </c>
      <c r="B12" s="20">
        <v>19</v>
      </c>
      <c r="C12" s="20" t="s">
        <v>47</v>
      </c>
      <c r="D12" s="20">
        <v>80030002</v>
      </c>
      <c r="E12" s="20" t="s">
        <v>752</v>
      </c>
      <c r="F12" s="20" t="s">
        <v>719</v>
      </c>
      <c r="G12" s="20" t="s">
        <v>777</v>
      </c>
      <c r="H12" s="29">
        <v>75.596100000000007</v>
      </c>
      <c r="I12" s="30">
        <v>2022</v>
      </c>
      <c r="J12" s="30">
        <v>85</v>
      </c>
      <c r="K12" s="30">
        <v>1903</v>
      </c>
      <c r="L12" s="20" t="s">
        <v>48</v>
      </c>
      <c r="M12" s="30">
        <v>1903011</v>
      </c>
      <c r="N12" s="62" t="s">
        <v>1100</v>
      </c>
      <c r="O12" s="79">
        <v>202500000009649</v>
      </c>
      <c r="P12" s="20" t="s">
        <v>60</v>
      </c>
      <c r="Q12" s="46"/>
      <c r="R12" s="20" t="s">
        <v>61</v>
      </c>
      <c r="S12" s="20" t="s">
        <v>62</v>
      </c>
      <c r="T12" s="30">
        <v>190301100</v>
      </c>
      <c r="U12" s="20" t="s">
        <v>63</v>
      </c>
      <c r="V12" s="20" t="s">
        <v>18</v>
      </c>
      <c r="W12" s="30">
        <v>3.4</v>
      </c>
      <c r="X12" s="20" t="s">
        <v>770</v>
      </c>
      <c r="Y12" s="22">
        <v>7</v>
      </c>
      <c r="Z12" s="22">
        <v>28</v>
      </c>
      <c r="AA12" s="22">
        <v>7</v>
      </c>
      <c r="AB12" s="22">
        <v>7</v>
      </c>
      <c r="AC12" s="22">
        <v>7</v>
      </c>
      <c r="AD12" s="22">
        <v>7</v>
      </c>
      <c r="AE12" s="22">
        <v>7</v>
      </c>
      <c r="AF12" s="19">
        <f t="shared" si="1"/>
        <v>25</v>
      </c>
      <c r="AG12" s="22">
        <v>0</v>
      </c>
      <c r="AH12" s="73">
        <v>0</v>
      </c>
      <c r="AI12" s="23">
        <v>0</v>
      </c>
      <c r="AJ12" s="23">
        <v>0</v>
      </c>
      <c r="AK12" s="23">
        <v>0</v>
      </c>
      <c r="AL12" s="23">
        <v>1050000</v>
      </c>
      <c r="AM12" s="23">
        <v>0</v>
      </c>
      <c r="AN12" s="23">
        <v>0</v>
      </c>
      <c r="AO12" s="23">
        <v>0</v>
      </c>
      <c r="AP12" s="23">
        <v>0</v>
      </c>
      <c r="AQ12" s="23">
        <v>0</v>
      </c>
      <c r="AR12" s="23">
        <v>0</v>
      </c>
      <c r="AS12" s="23">
        <v>0</v>
      </c>
      <c r="AT12" s="23">
        <v>1050000</v>
      </c>
      <c r="AU12" s="23">
        <v>0</v>
      </c>
      <c r="AV12" s="23">
        <v>0</v>
      </c>
      <c r="AW12" s="23">
        <v>0</v>
      </c>
      <c r="AX12" s="23">
        <v>1050000</v>
      </c>
      <c r="AY12" s="23">
        <v>0</v>
      </c>
      <c r="AZ12" s="23">
        <v>0</v>
      </c>
      <c r="BA12" s="23">
        <v>0</v>
      </c>
      <c r="BB12" s="23">
        <v>0</v>
      </c>
      <c r="BC12" s="23">
        <v>0</v>
      </c>
      <c r="BD12" s="23">
        <v>0</v>
      </c>
      <c r="BE12" s="23">
        <v>0</v>
      </c>
      <c r="BF12" s="23">
        <v>1050000</v>
      </c>
      <c r="BG12" s="23">
        <v>0</v>
      </c>
      <c r="BH12" s="23">
        <v>0</v>
      </c>
      <c r="BI12" s="23">
        <v>0</v>
      </c>
      <c r="BJ12" s="23">
        <v>1050000</v>
      </c>
      <c r="BK12" s="23">
        <v>0</v>
      </c>
      <c r="BL12" s="23">
        <v>0</v>
      </c>
      <c r="BM12" s="23">
        <v>0</v>
      </c>
      <c r="BN12" s="23">
        <v>0</v>
      </c>
      <c r="BO12" s="23">
        <v>0</v>
      </c>
      <c r="BP12" s="23">
        <v>0</v>
      </c>
      <c r="BQ12" s="23">
        <v>0</v>
      </c>
      <c r="BR12" s="23">
        <v>1050000</v>
      </c>
      <c r="BS12" s="23">
        <v>0</v>
      </c>
      <c r="BT12" s="23">
        <v>0</v>
      </c>
      <c r="BU12" s="23">
        <v>0</v>
      </c>
      <c r="BV12" s="23">
        <v>1050000</v>
      </c>
      <c r="BW12" s="23">
        <v>0</v>
      </c>
      <c r="BX12" s="23">
        <v>0</v>
      </c>
      <c r="BY12" s="23">
        <v>0</v>
      </c>
      <c r="BZ12" s="23">
        <v>0</v>
      </c>
      <c r="CA12" s="23">
        <v>0</v>
      </c>
      <c r="CB12" s="23">
        <v>0</v>
      </c>
      <c r="CC12" s="23">
        <v>0</v>
      </c>
      <c r="CD12" s="23">
        <v>1050000</v>
      </c>
      <c r="CE12" s="23">
        <f t="shared" si="0"/>
        <v>4200000</v>
      </c>
    </row>
    <row r="13" spans="1:83" ht="15" customHeight="1" x14ac:dyDescent="0.3">
      <c r="A13" s="20" t="s">
        <v>741</v>
      </c>
      <c r="B13" s="20">
        <v>22</v>
      </c>
      <c r="C13" s="20" t="s">
        <v>93</v>
      </c>
      <c r="D13" s="20">
        <v>40010006</v>
      </c>
      <c r="E13" s="20" t="s">
        <v>676</v>
      </c>
      <c r="F13" s="20" t="s">
        <v>679</v>
      </c>
      <c r="G13" s="20" t="s">
        <v>778</v>
      </c>
      <c r="H13" s="29">
        <v>101.0859</v>
      </c>
      <c r="I13" s="30">
        <v>2022</v>
      </c>
      <c r="J13" s="30">
        <v>101</v>
      </c>
      <c r="K13" s="30">
        <v>2201</v>
      </c>
      <c r="L13" s="20" t="s">
        <v>94</v>
      </c>
      <c r="M13" s="30">
        <v>2201001</v>
      </c>
      <c r="N13" s="80" t="s">
        <v>1101</v>
      </c>
      <c r="O13" s="79">
        <v>202500000002049</v>
      </c>
      <c r="P13" s="20" t="s">
        <v>95</v>
      </c>
      <c r="Q13" s="46" t="s">
        <v>809</v>
      </c>
      <c r="R13" s="20" t="s">
        <v>96</v>
      </c>
      <c r="S13" s="20" t="s">
        <v>26</v>
      </c>
      <c r="T13" s="30">
        <v>220100100</v>
      </c>
      <c r="U13" s="20" t="s">
        <v>97</v>
      </c>
      <c r="V13" s="20" t="s">
        <v>18</v>
      </c>
      <c r="W13" s="30">
        <v>4.0999999999999996</v>
      </c>
      <c r="X13" s="20" t="s">
        <v>770</v>
      </c>
      <c r="Y13" s="22">
        <v>0</v>
      </c>
      <c r="Z13" s="22">
        <v>1</v>
      </c>
      <c r="AA13" s="22">
        <v>0</v>
      </c>
      <c r="AB13" s="22">
        <v>0</v>
      </c>
      <c r="AC13" s="22">
        <v>1</v>
      </c>
      <c r="AD13" s="22">
        <v>0</v>
      </c>
      <c r="AE13" s="22"/>
      <c r="AF13" s="19">
        <f t="shared" si="1"/>
        <v>0</v>
      </c>
      <c r="AG13" s="22" t="s">
        <v>1048</v>
      </c>
      <c r="AH13" s="73" t="s">
        <v>1048</v>
      </c>
      <c r="AI13" s="23">
        <v>0</v>
      </c>
      <c r="AJ13" s="23">
        <v>0</v>
      </c>
      <c r="AK13" s="23">
        <v>0</v>
      </c>
      <c r="AL13" s="23">
        <v>0</v>
      </c>
      <c r="AM13" s="23">
        <v>0</v>
      </c>
      <c r="AN13" s="23">
        <v>0</v>
      </c>
      <c r="AO13" s="23">
        <v>0</v>
      </c>
      <c r="AP13" s="23">
        <v>0</v>
      </c>
      <c r="AQ13" s="23">
        <v>0</v>
      </c>
      <c r="AR13" s="23">
        <v>0</v>
      </c>
      <c r="AS13" s="23">
        <v>0</v>
      </c>
      <c r="AT13" s="23">
        <v>0</v>
      </c>
      <c r="AU13" s="23">
        <v>0</v>
      </c>
      <c r="AV13" s="23">
        <v>0</v>
      </c>
      <c r="AW13" s="23">
        <v>0</v>
      </c>
      <c r="AX13" s="23">
        <v>0</v>
      </c>
      <c r="AY13" s="23">
        <v>0</v>
      </c>
      <c r="AZ13" s="23">
        <v>0</v>
      </c>
      <c r="BA13" s="23">
        <v>0</v>
      </c>
      <c r="BB13" s="23">
        <v>0</v>
      </c>
      <c r="BC13" s="23">
        <v>0</v>
      </c>
      <c r="BD13" s="23">
        <v>0</v>
      </c>
      <c r="BE13" s="23">
        <v>0</v>
      </c>
      <c r="BF13" s="23">
        <v>0</v>
      </c>
      <c r="BG13" s="23">
        <v>0</v>
      </c>
      <c r="BH13" s="23">
        <v>0</v>
      </c>
      <c r="BI13" s="23">
        <v>15000000</v>
      </c>
      <c r="BJ13" s="23">
        <v>0</v>
      </c>
      <c r="BK13" s="23">
        <v>0</v>
      </c>
      <c r="BL13" s="23">
        <v>0</v>
      </c>
      <c r="BM13" s="23">
        <v>0</v>
      </c>
      <c r="BN13" s="23">
        <v>0</v>
      </c>
      <c r="BO13" s="23">
        <v>0</v>
      </c>
      <c r="BP13" s="23">
        <v>0</v>
      </c>
      <c r="BQ13" s="23">
        <v>0</v>
      </c>
      <c r="BR13" s="23">
        <v>15000000</v>
      </c>
      <c r="BS13" s="23">
        <v>0</v>
      </c>
      <c r="BT13" s="23">
        <v>0</v>
      </c>
      <c r="BU13" s="23">
        <v>0</v>
      </c>
      <c r="BV13" s="23">
        <v>0</v>
      </c>
      <c r="BW13" s="23">
        <v>0</v>
      </c>
      <c r="BX13" s="23">
        <v>0</v>
      </c>
      <c r="BY13" s="23">
        <v>0</v>
      </c>
      <c r="BZ13" s="23">
        <v>0</v>
      </c>
      <c r="CA13" s="23">
        <v>0</v>
      </c>
      <c r="CB13" s="23">
        <v>0</v>
      </c>
      <c r="CC13" s="23">
        <v>0</v>
      </c>
      <c r="CD13" s="23">
        <v>0</v>
      </c>
      <c r="CE13" s="23">
        <f t="shared" si="0"/>
        <v>15000000</v>
      </c>
    </row>
    <row r="14" spans="1:83" ht="15" customHeight="1" x14ac:dyDescent="0.3">
      <c r="A14" s="20" t="s">
        <v>741</v>
      </c>
      <c r="B14" s="20">
        <v>22</v>
      </c>
      <c r="C14" s="20" t="s">
        <v>93</v>
      </c>
      <c r="D14" s="20">
        <v>40010006</v>
      </c>
      <c r="E14" s="20" t="s">
        <v>676</v>
      </c>
      <c r="F14" s="20" t="s">
        <v>679</v>
      </c>
      <c r="G14" s="20" t="s">
        <v>778</v>
      </c>
      <c r="H14" s="29">
        <v>101.0859</v>
      </c>
      <c r="I14" s="30">
        <v>2022</v>
      </c>
      <c r="J14" s="30">
        <v>101</v>
      </c>
      <c r="K14" s="30">
        <v>2201</v>
      </c>
      <c r="L14" s="20" t="s">
        <v>94</v>
      </c>
      <c r="M14" s="30">
        <v>2201003</v>
      </c>
      <c r="N14" s="80" t="s">
        <v>1101</v>
      </c>
      <c r="O14" s="79">
        <v>202500000002049</v>
      </c>
      <c r="P14" s="20" t="s">
        <v>98</v>
      </c>
      <c r="Q14" s="46"/>
      <c r="R14" s="20" t="s">
        <v>99</v>
      </c>
      <c r="S14" s="20" t="s">
        <v>40</v>
      </c>
      <c r="T14" s="30">
        <v>220100300</v>
      </c>
      <c r="U14" s="20" t="s">
        <v>100</v>
      </c>
      <c r="V14" s="20" t="s">
        <v>18</v>
      </c>
      <c r="W14" s="30">
        <v>4.0999999999999996</v>
      </c>
      <c r="X14" s="20" t="s">
        <v>770</v>
      </c>
      <c r="Y14" s="22">
        <v>28</v>
      </c>
      <c r="Z14" s="22">
        <v>60</v>
      </c>
      <c r="AA14" s="22">
        <v>15</v>
      </c>
      <c r="AB14" s="22">
        <v>15</v>
      </c>
      <c r="AC14" s="22">
        <v>15</v>
      </c>
      <c r="AD14" s="22">
        <v>15</v>
      </c>
      <c r="AE14" s="22">
        <v>25</v>
      </c>
      <c r="AF14" s="19">
        <f t="shared" si="1"/>
        <v>41.666666666666671</v>
      </c>
      <c r="AG14" s="22">
        <v>0</v>
      </c>
      <c r="AH14" s="73">
        <v>0</v>
      </c>
      <c r="AI14" s="23">
        <v>0</v>
      </c>
      <c r="AJ14" s="23">
        <v>0</v>
      </c>
      <c r="AK14" s="23">
        <v>1500000</v>
      </c>
      <c r="AL14" s="23">
        <v>0</v>
      </c>
      <c r="AM14" s="23">
        <v>0</v>
      </c>
      <c r="AN14" s="23">
        <v>0</v>
      </c>
      <c r="AO14" s="23">
        <v>0</v>
      </c>
      <c r="AP14" s="23">
        <v>0</v>
      </c>
      <c r="AQ14" s="23">
        <v>0</v>
      </c>
      <c r="AR14" s="23">
        <v>0</v>
      </c>
      <c r="AS14" s="23">
        <v>0</v>
      </c>
      <c r="AT14" s="23">
        <v>1500000</v>
      </c>
      <c r="AU14" s="23">
        <v>0</v>
      </c>
      <c r="AV14" s="23">
        <v>0</v>
      </c>
      <c r="AW14" s="23">
        <v>1500000</v>
      </c>
      <c r="AX14" s="23">
        <v>0</v>
      </c>
      <c r="AY14" s="23">
        <v>0</v>
      </c>
      <c r="AZ14" s="23"/>
      <c r="BA14" s="23">
        <v>0</v>
      </c>
      <c r="BB14" s="23">
        <v>0</v>
      </c>
      <c r="BC14" s="23">
        <v>0</v>
      </c>
      <c r="BD14" s="23">
        <v>0</v>
      </c>
      <c r="BE14" s="23">
        <v>0</v>
      </c>
      <c r="BF14" s="23">
        <v>1500000</v>
      </c>
      <c r="BG14" s="23">
        <v>0</v>
      </c>
      <c r="BH14" s="23">
        <v>0</v>
      </c>
      <c r="BI14" s="23">
        <v>1500000</v>
      </c>
      <c r="BJ14" s="23">
        <v>0</v>
      </c>
      <c r="BK14" s="23">
        <v>0</v>
      </c>
      <c r="BL14" s="23">
        <v>0</v>
      </c>
      <c r="BM14" s="23">
        <v>0</v>
      </c>
      <c r="BN14" s="23">
        <v>0</v>
      </c>
      <c r="BO14" s="23">
        <v>0</v>
      </c>
      <c r="BP14" s="23">
        <v>0</v>
      </c>
      <c r="BQ14" s="23">
        <v>0</v>
      </c>
      <c r="BR14" s="23">
        <v>1500000</v>
      </c>
      <c r="BS14" s="23">
        <v>0</v>
      </c>
      <c r="BT14" s="23">
        <v>0</v>
      </c>
      <c r="BU14" s="23">
        <v>1500000</v>
      </c>
      <c r="BV14" s="23">
        <v>0</v>
      </c>
      <c r="BW14" s="23">
        <v>0</v>
      </c>
      <c r="BX14" s="23">
        <v>0</v>
      </c>
      <c r="BY14" s="23">
        <v>0</v>
      </c>
      <c r="BZ14" s="23">
        <v>0</v>
      </c>
      <c r="CA14" s="23">
        <v>0</v>
      </c>
      <c r="CB14" s="23">
        <v>0</v>
      </c>
      <c r="CC14" s="23">
        <v>0</v>
      </c>
      <c r="CD14" s="23">
        <v>1500000</v>
      </c>
      <c r="CE14" s="23">
        <f t="shared" si="0"/>
        <v>6000000</v>
      </c>
    </row>
    <row r="15" spans="1:83" ht="15" customHeight="1" x14ac:dyDescent="0.3">
      <c r="A15" s="20" t="s">
        <v>741</v>
      </c>
      <c r="B15" s="20">
        <v>22</v>
      </c>
      <c r="C15" s="20" t="s">
        <v>93</v>
      </c>
      <c r="D15" s="20">
        <v>40010006</v>
      </c>
      <c r="E15" s="20" t="s">
        <v>676</v>
      </c>
      <c r="F15" s="20" t="s">
        <v>679</v>
      </c>
      <c r="G15" s="20" t="s">
        <v>778</v>
      </c>
      <c r="H15" s="29">
        <v>101.0859</v>
      </c>
      <c r="I15" s="30">
        <v>2022</v>
      </c>
      <c r="J15" s="30">
        <v>101</v>
      </c>
      <c r="K15" s="30">
        <v>2201</v>
      </c>
      <c r="L15" s="20" t="s">
        <v>94</v>
      </c>
      <c r="M15" s="30">
        <v>2201006</v>
      </c>
      <c r="N15" s="80" t="s">
        <v>1101</v>
      </c>
      <c r="O15" s="79">
        <v>202500000002049</v>
      </c>
      <c r="P15" s="20" t="s">
        <v>101</v>
      </c>
      <c r="Q15" s="46" t="s">
        <v>810</v>
      </c>
      <c r="R15" s="20" t="s">
        <v>102</v>
      </c>
      <c r="S15" s="20" t="s">
        <v>103</v>
      </c>
      <c r="T15" s="30">
        <v>220100602</v>
      </c>
      <c r="U15" s="20" t="s">
        <v>104</v>
      </c>
      <c r="V15" s="20" t="s">
        <v>18</v>
      </c>
      <c r="W15" s="30">
        <v>4.0999999999999996</v>
      </c>
      <c r="X15" s="20" t="s">
        <v>770</v>
      </c>
      <c r="Y15" s="22">
        <v>4</v>
      </c>
      <c r="Z15" s="22">
        <v>8</v>
      </c>
      <c r="AA15" s="22">
        <v>2</v>
      </c>
      <c r="AB15" s="22">
        <v>2</v>
      </c>
      <c r="AC15" s="22">
        <v>2</v>
      </c>
      <c r="AD15" s="22">
        <v>2</v>
      </c>
      <c r="AE15" s="22">
        <v>2</v>
      </c>
      <c r="AF15" s="19">
        <f t="shared" si="1"/>
        <v>25</v>
      </c>
      <c r="AG15" s="22">
        <v>2</v>
      </c>
      <c r="AH15" s="73">
        <v>100</v>
      </c>
      <c r="AI15" s="23">
        <v>0</v>
      </c>
      <c r="AJ15" s="23">
        <v>0</v>
      </c>
      <c r="AK15" s="23">
        <v>4000000</v>
      </c>
      <c r="AL15" s="23">
        <v>0</v>
      </c>
      <c r="AM15" s="23">
        <v>0</v>
      </c>
      <c r="AN15" s="23">
        <v>0</v>
      </c>
      <c r="AO15" s="23">
        <v>0</v>
      </c>
      <c r="AP15" s="23">
        <v>0</v>
      </c>
      <c r="AQ15" s="23">
        <v>0</v>
      </c>
      <c r="AR15" s="23">
        <v>0</v>
      </c>
      <c r="AS15" s="23">
        <v>0</v>
      </c>
      <c r="AT15" s="23">
        <v>4000000</v>
      </c>
      <c r="AU15" s="23">
        <v>0</v>
      </c>
      <c r="AV15" s="23">
        <v>0</v>
      </c>
      <c r="AW15" s="23">
        <v>4000000</v>
      </c>
      <c r="AX15" s="23">
        <v>0</v>
      </c>
      <c r="AY15" s="23">
        <v>0</v>
      </c>
      <c r="AZ15" s="23">
        <v>0</v>
      </c>
      <c r="BA15" s="23">
        <v>0</v>
      </c>
      <c r="BB15" s="23">
        <v>0</v>
      </c>
      <c r="BC15" s="23">
        <v>0</v>
      </c>
      <c r="BD15" s="23">
        <v>0</v>
      </c>
      <c r="BE15" s="23">
        <v>0</v>
      </c>
      <c r="BF15" s="23">
        <v>4000000</v>
      </c>
      <c r="BG15" s="23">
        <v>0</v>
      </c>
      <c r="BH15" s="23">
        <v>0</v>
      </c>
      <c r="BI15" s="23">
        <v>4000000</v>
      </c>
      <c r="BJ15" s="23">
        <v>0</v>
      </c>
      <c r="BK15" s="23">
        <v>0</v>
      </c>
      <c r="BL15" s="23">
        <v>0</v>
      </c>
      <c r="BM15" s="23">
        <v>0</v>
      </c>
      <c r="BN15" s="23">
        <v>0</v>
      </c>
      <c r="BO15" s="23">
        <v>0</v>
      </c>
      <c r="BP15" s="23">
        <v>0</v>
      </c>
      <c r="BQ15" s="23">
        <v>0</v>
      </c>
      <c r="BR15" s="23">
        <v>4000000</v>
      </c>
      <c r="BS15" s="23">
        <v>0</v>
      </c>
      <c r="BT15" s="23">
        <v>0</v>
      </c>
      <c r="BU15" s="23">
        <v>4000000</v>
      </c>
      <c r="BV15" s="23">
        <v>0</v>
      </c>
      <c r="BW15" s="23">
        <v>0</v>
      </c>
      <c r="BX15" s="23">
        <v>0</v>
      </c>
      <c r="BY15" s="23">
        <v>0</v>
      </c>
      <c r="BZ15" s="23">
        <v>0</v>
      </c>
      <c r="CA15" s="23">
        <v>0</v>
      </c>
      <c r="CB15" s="23">
        <v>0</v>
      </c>
      <c r="CC15" s="23">
        <v>0</v>
      </c>
      <c r="CD15" s="23">
        <v>4000000</v>
      </c>
      <c r="CE15" s="23">
        <f t="shared" si="0"/>
        <v>16000000</v>
      </c>
    </row>
    <row r="16" spans="1:83" ht="15" customHeight="1" x14ac:dyDescent="0.3">
      <c r="A16" s="20" t="s">
        <v>741</v>
      </c>
      <c r="B16" s="20">
        <v>22</v>
      </c>
      <c r="C16" s="20" t="s">
        <v>93</v>
      </c>
      <c r="D16" s="20">
        <v>40010006</v>
      </c>
      <c r="E16" s="20" t="s">
        <v>676</v>
      </c>
      <c r="F16" s="20" t="s">
        <v>679</v>
      </c>
      <c r="G16" s="20" t="s">
        <v>778</v>
      </c>
      <c r="H16" s="29">
        <v>101.0859</v>
      </c>
      <c r="I16" s="30">
        <v>2022</v>
      </c>
      <c r="J16" s="30">
        <v>101</v>
      </c>
      <c r="K16" s="30">
        <v>2201</v>
      </c>
      <c r="L16" s="20" t="s">
        <v>94</v>
      </c>
      <c r="M16" s="30">
        <v>2201018</v>
      </c>
      <c r="N16" s="80" t="s">
        <v>1101</v>
      </c>
      <c r="O16" s="79">
        <v>202500000002049</v>
      </c>
      <c r="P16" s="20" t="s">
        <v>105</v>
      </c>
      <c r="Q16" s="46" t="s">
        <v>811</v>
      </c>
      <c r="R16" s="20" t="s">
        <v>106</v>
      </c>
      <c r="S16" s="20" t="s">
        <v>107</v>
      </c>
      <c r="T16" s="30">
        <v>220101800</v>
      </c>
      <c r="U16" s="20" t="s">
        <v>108</v>
      </c>
      <c r="V16" s="20" t="s">
        <v>18</v>
      </c>
      <c r="W16" s="30">
        <v>17.18</v>
      </c>
      <c r="X16" s="20" t="s">
        <v>770</v>
      </c>
      <c r="Y16" s="22">
        <v>4</v>
      </c>
      <c r="Z16" s="22">
        <v>4</v>
      </c>
      <c r="AA16" s="22">
        <v>1</v>
      </c>
      <c r="AB16" s="22">
        <v>1</v>
      </c>
      <c r="AC16" s="22">
        <v>1</v>
      </c>
      <c r="AD16" s="22">
        <v>1</v>
      </c>
      <c r="AE16" s="22">
        <v>1</v>
      </c>
      <c r="AF16" s="19">
        <f t="shared" si="1"/>
        <v>25</v>
      </c>
      <c r="AG16" s="22">
        <v>1</v>
      </c>
      <c r="AH16" s="73">
        <v>100</v>
      </c>
      <c r="AI16" s="23">
        <v>0</v>
      </c>
      <c r="AJ16" s="23">
        <v>0</v>
      </c>
      <c r="AK16" s="23">
        <v>1000000</v>
      </c>
      <c r="AL16" s="23">
        <v>0</v>
      </c>
      <c r="AM16" s="23">
        <v>0</v>
      </c>
      <c r="AN16" s="23">
        <v>0</v>
      </c>
      <c r="AO16" s="23">
        <v>0</v>
      </c>
      <c r="AP16" s="23">
        <v>0</v>
      </c>
      <c r="AQ16" s="23">
        <v>0</v>
      </c>
      <c r="AR16" s="23">
        <v>0</v>
      </c>
      <c r="AS16" s="23">
        <v>0</v>
      </c>
      <c r="AT16" s="23">
        <v>1000000</v>
      </c>
      <c r="AU16" s="23">
        <v>0</v>
      </c>
      <c r="AV16" s="23">
        <v>0</v>
      </c>
      <c r="AW16" s="23">
        <v>1000000</v>
      </c>
      <c r="AX16" s="23">
        <v>0</v>
      </c>
      <c r="AY16" s="23">
        <v>0</v>
      </c>
      <c r="AZ16" s="23">
        <v>0</v>
      </c>
      <c r="BA16" s="23">
        <v>0</v>
      </c>
      <c r="BB16" s="23">
        <v>0</v>
      </c>
      <c r="BC16" s="23">
        <v>0</v>
      </c>
      <c r="BD16" s="23">
        <v>0</v>
      </c>
      <c r="BE16" s="23">
        <v>0</v>
      </c>
      <c r="BF16" s="23">
        <v>1000000</v>
      </c>
      <c r="BG16" s="23">
        <v>0</v>
      </c>
      <c r="BH16" s="23">
        <v>0</v>
      </c>
      <c r="BI16" s="23">
        <v>1000000</v>
      </c>
      <c r="BJ16" s="23">
        <v>0</v>
      </c>
      <c r="BK16" s="23">
        <v>0</v>
      </c>
      <c r="BL16" s="23">
        <v>0</v>
      </c>
      <c r="BM16" s="23">
        <v>0</v>
      </c>
      <c r="BN16" s="23">
        <v>0</v>
      </c>
      <c r="BO16" s="23">
        <v>0</v>
      </c>
      <c r="BP16" s="23">
        <v>0</v>
      </c>
      <c r="BQ16" s="23">
        <v>0</v>
      </c>
      <c r="BR16" s="23">
        <v>1000000</v>
      </c>
      <c r="BS16" s="23">
        <v>0</v>
      </c>
      <c r="BT16" s="23">
        <v>0</v>
      </c>
      <c r="BU16" s="23">
        <v>1000000</v>
      </c>
      <c r="BV16" s="23">
        <v>0</v>
      </c>
      <c r="BW16" s="23">
        <v>0</v>
      </c>
      <c r="BX16" s="23">
        <v>0</v>
      </c>
      <c r="BY16" s="23">
        <v>0</v>
      </c>
      <c r="BZ16" s="23">
        <v>0</v>
      </c>
      <c r="CA16" s="23">
        <v>0</v>
      </c>
      <c r="CB16" s="23">
        <v>0</v>
      </c>
      <c r="CC16" s="23">
        <v>0</v>
      </c>
      <c r="CD16" s="23">
        <v>1000000</v>
      </c>
      <c r="CE16" s="23">
        <f t="shared" si="0"/>
        <v>4000000</v>
      </c>
    </row>
    <row r="17" spans="1:83" ht="15" customHeight="1" x14ac:dyDescent="0.3">
      <c r="A17" s="20" t="s">
        <v>741</v>
      </c>
      <c r="B17" s="20">
        <v>22</v>
      </c>
      <c r="C17" s="20" t="s">
        <v>93</v>
      </c>
      <c r="D17" s="20">
        <v>40010006</v>
      </c>
      <c r="E17" s="20" t="s">
        <v>676</v>
      </c>
      <c r="F17" s="20" t="s">
        <v>679</v>
      </c>
      <c r="G17" s="20" t="s">
        <v>778</v>
      </c>
      <c r="H17" s="29">
        <v>101.0859</v>
      </c>
      <c r="I17" s="30">
        <v>2022</v>
      </c>
      <c r="J17" s="30">
        <v>101</v>
      </c>
      <c r="K17" s="30">
        <v>2201</v>
      </c>
      <c r="L17" s="20" t="s">
        <v>94</v>
      </c>
      <c r="M17" s="30">
        <v>2201028</v>
      </c>
      <c r="N17" s="80" t="s">
        <v>1101</v>
      </c>
      <c r="O17" s="79">
        <v>202500000002049</v>
      </c>
      <c r="P17" s="20" t="s">
        <v>113</v>
      </c>
      <c r="Q17" s="46"/>
      <c r="R17" s="20" t="s">
        <v>114</v>
      </c>
      <c r="S17" s="20" t="s">
        <v>115</v>
      </c>
      <c r="T17" s="30">
        <v>220102800</v>
      </c>
      <c r="U17" s="20" t="s">
        <v>116</v>
      </c>
      <c r="V17" s="20" t="s">
        <v>18</v>
      </c>
      <c r="W17" s="30">
        <v>4.0999999999999996</v>
      </c>
      <c r="X17" s="20" t="s">
        <v>770</v>
      </c>
      <c r="Y17" s="22">
        <v>128350</v>
      </c>
      <c r="Z17" s="22">
        <v>362800</v>
      </c>
      <c r="AA17" s="22">
        <v>85800</v>
      </c>
      <c r="AB17" s="22">
        <v>90000</v>
      </c>
      <c r="AC17" s="22">
        <v>93000</v>
      </c>
      <c r="AD17" s="22">
        <v>94000</v>
      </c>
      <c r="AE17" s="22">
        <v>83349</v>
      </c>
      <c r="AF17" s="19">
        <f t="shared" si="1"/>
        <v>22.973814773980155</v>
      </c>
      <c r="AG17" s="22">
        <v>45360</v>
      </c>
      <c r="AH17" s="73">
        <v>50.4</v>
      </c>
      <c r="AI17" s="23">
        <v>0</v>
      </c>
      <c r="AJ17" s="23">
        <v>0</v>
      </c>
      <c r="AK17" s="23">
        <v>108757253</v>
      </c>
      <c r="AL17" s="23">
        <v>0</v>
      </c>
      <c r="AM17" s="23">
        <v>0</v>
      </c>
      <c r="AN17" s="23">
        <v>0</v>
      </c>
      <c r="AO17" s="23">
        <v>21807198</v>
      </c>
      <c r="AP17" s="23">
        <v>0</v>
      </c>
      <c r="AQ17" s="23">
        <v>133000000</v>
      </c>
      <c r="AR17" s="23">
        <v>0</v>
      </c>
      <c r="AS17" s="23">
        <v>0</v>
      </c>
      <c r="AT17" s="23">
        <v>263564451</v>
      </c>
      <c r="AU17" s="23">
        <v>0</v>
      </c>
      <c r="AV17" s="23">
        <v>0</v>
      </c>
      <c r="AW17" s="23">
        <v>116370260.14</v>
      </c>
      <c r="AX17" s="23">
        <v>0</v>
      </c>
      <c r="AY17" s="23">
        <v>0</v>
      </c>
      <c r="AZ17" s="23">
        <v>0</v>
      </c>
      <c r="BA17" s="23">
        <v>23333701.859999999</v>
      </c>
      <c r="BB17" s="23">
        <v>53021410</v>
      </c>
      <c r="BC17" s="23">
        <v>101746038</v>
      </c>
      <c r="BD17" s="23">
        <v>0</v>
      </c>
      <c r="BE17" s="23">
        <v>0</v>
      </c>
      <c r="BF17" s="23">
        <v>294471410</v>
      </c>
      <c r="BG17" s="23">
        <v>0</v>
      </c>
      <c r="BH17" s="23">
        <v>0</v>
      </c>
      <c r="BI17" s="23">
        <v>124516178.0098</v>
      </c>
      <c r="BJ17" s="23">
        <v>0</v>
      </c>
      <c r="BK17" s="23">
        <v>0</v>
      </c>
      <c r="BL17" s="23">
        <v>0</v>
      </c>
      <c r="BM17" s="23">
        <v>24967060.990199998</v>
      </c>
      <c r="BN17" s="23">
        <v>8714495</v>
      </c>
      <c r="BO17" s="23">
        <v>147000000</v>
      </c>
      <c r="BP17" s="23">
        <v>0</v>
      </c>
      <c r="BQ17" s="23">
        <v>0</v>
      </c>
      <c r="BR17" s="23">
        <f>+BO17+BN17+BM17+BI17</f>
        <v>305197734</v>
      </c>
      <c r="BS17" s="23">
        <v>0</v>
      </c>
      <c r="BT17" s="23">
        <v>0</v>
      </c>
      <c r="BU17" s="23">
        <v>133232310.740486</v>
      </c>
      <c r="BV17" s="23">
        <v>0</v>
      </c>
      <c r="BW17" s="23">
        <v>0</v>
      </c>
      <c r="BX17" s="23">
        <v>0</v>
      </c>
      <c r="BY17" s="23">
        <v>26714755.259513997</v>
      </c>
      <c r="BZ17" s="23">
        <v>0</v>
      </c>
      <c r="CA17" s="23">
        <v>172502934</v>
      </c>
      <c r="CB17" s="23">
        <v>0</v>
      </c>
      <c r="CC17" s="23">
        <v>0</v>
      </c>
      <c r="CD17" s="23">
        <f>+CA17+BU17</f>
        <v>305735244.74048603</v>
      </c>
      <c r="CE17" s="23">
        <f t="shared" si="0"/>
        <v>1168968839.7404861</v>
      </c>
    </row>
    <row r="18" spans="1:83" ht="15" customHeight="1" x14ac:dyDescent="0.3">
      <c r="A18" s="20" t="s">
        <v>741</v>
      </c>
      <c r="B18" s="20">
        <v>22</v>
      </c>
      <c r="C18" s="20" t="s">
        <v>93</v>
      </c>
      <c r="D18" s="20">
        <v>40010006</v>
      </c>
      <c r="E18" s="20" t="s">
        <v>676</v>
      </c>
      <c r="F18" s="20" t="s">
        <v>679</v>
      </c>
      <c r="G18" s="20" t="s">
        <v>778</v>
      </c>
      <c r="H18" s="29">
        <v>101.0859</v>
      </c>
      <c r="I18" s="30">
        <v>2022</v>
      </c>
      <c r="J18" s="30">
        <v>101</v>
      </c>
      <c r="K18" s="30">
        <v>2201</v>
      </c>
      <c r="L18" s="20" t="s">
        <v>94</v>
      </c>
      <c r="M18" s="30">
        <v>2201029</v>
      </c>
      <c r="N18" s="80" t="s">
        <v>1101</v>
      </c>
      <c r="O18" s="79">
        <v>202500000002049</v>
      </c>
      <c r="P18" s="20" t="s">
        <v>117</v>
      </c>
      <c r="Q18" s="46"/>
      <c r="R18" s="20" t="s">
        <v>118</v>
      </c>
      <c r="S18" s="20" t="s">
        <v>119</v>
      </c>
      <c r="T18" s="30">
        <v>220102900</v>
      </c>
      <c r="U18" s="20" t="s">
        <v>120</v>
      </c>
      <c r="V18" s="20" t="s">
        <v>18</v>
      </c>
      <c r="W18" s="30">
        <v>4.2</v>
      </c>
      <c r="X18" s="20" t="s">
        <v>770</v>
      </c>
      <c r="Y18" s="22">
        <v>25</v>
      </c>
      <c r="Z18" s="22">
        <v>122</v>
      </c>
      <c r="AA18" s="22">
        <v>32</v>
      </c>
      <c r="AB18" s="22">
        <v>30</v>
      </c>
      <c r="AC18" s="22">
        <v>30</v>
      </c>
      <c r="AD18" s="22">
        <v>30</v>
      </c>
      <c r="AE18" s="22">
        <v>144</v>
      </c>
      <c r="AF18" s="19">
        <f t="shared" si="1"/>
        <v>118.0327868852459</v>
      </c>
      <c r="AG18" s="22">
        <v>29</v>
      </c>
      <c r="AH18" s="73">
        <v>96.666666666666671</v>
      </c>
      <c r="AI18" s="23">
        <v>0</v>
      </c>
      <c r="AJ18" s="23">
        <v>48000000</v>
      </c>
      <c r="AK18" s="23">
        <v>15307198</v>
      </c>
      <c r="AL18" s="23">
        <v>0</v>
      </c>
      <c r="AM18" s="23">
        <v>0</v>
      </c>
      <c r="AN18" s="23">
        <v>144692802</v>
      </c>
      <c r="AO18" s="23">
        <v>0</v>
      </c>
      <c r="AP18" s="23">
        <v>0</v>
      </c>
      <c r="AQ18" s="23">
        <v>0</v>
      </c>
      <c r="AR18" s="23">
        <v>0</v>
      </c>
      <c r="AS18" s="23">
        <v>0</v>
      </c>
      <c r="AT18" s="23">
        <v>208000000</v>
      </c>
      <c r="AU18" s="23">
        <v>45000000</v>
      </c>
      <c r="AV18" s="23">
        <v>0</v>
      </c>
      <c r="AW18" s="23">
        <v>16833703</v>
      </c>
      <c r="AX18" s="23">
        <v>0</v>
      </c>
      <c r="AY18" s="23">
        <v>0</v>
      </c>
      <c r="AZ18" s="23">
        <v>33166297</v>
      </c>
      <c r="BA18" s="23">
        <v>0</v>
      </c>
      <c r="BB18" s="23">
        <v>0</v>
      </c>
      <c r="BC18" s="23">
        <v>100000000</v>
      </c>
      <c r="BD18" s="23">
        <v>0</v>
      </c>
      <c r="BE18" s="23">
        <v>0</v>
      </c>
      <c r="BF18" s="23">
        <v>195000000</v>
      </c>
      <c r="BG18" s="23">
        <v>0</v>
      </c>
      <c r="BH18" s="23">
        <v>0</v>
      </c>
      <c r="BI18" s="23">
        <v>3467062</v>
      </c>
      <c r="BJ18" s="23">
        <v>0</v>
      </c>
      <c r="BK18" s="23">
        <v>0</v>
      </c>
      <c r="BL18" s="23">
        <v>41532938</v>
      </c>
      <c r="BM18" s="23">
        <v>0</v>
      </c>
      <c r="BN18" s="23">
        <v>0</v>
      </c>
      <c r="BO18" s="23">
        <v>150000000</v>
      </c>
      <c r="BP18" s="23">
        <v>0</v>
      </c>
      <c r="BQ18" s="23">
        <v>0</v>
      </c>
      <c r="BR18" s="23">
        <v>195000000</v>
      </c>
      <c r="BS18" s="23">
        <v>0</v>
      </c>
      <c r="BT18" s="23">
        <v>0</v>
      </c>
      <c r="BU18" s="23">
        <v>20214756</v>
      </c>
      <c r="BV18" s="23">
        <v>0</v>
      </c>
      <c r="BW18" s="23">
        <v>0</v>
      </c>
      <c r="BX18" s="23">
        <v>19785244</v>
      </c>
      <c r="BY18" s="23">
        <v>0</v>
      </c>
      <c r="BZ18" s="23">
        <v>0</v>
      </c>
      <c r="CA18" s="23">
        <v>155000000</v>
      </c>
      <c r="CB18" s="23">
        <v>0</v>
      </c>
      <c r="CC18" s="23">
        <v>0</v>
      </c>
      <c r="CD18" s="23">
        <v>195000000</v>
      </c>
      <c r="CE18" s="23">
        <f t="shared" si="0"/>
        <v>793000000</v>
      </c>
    </row>
    <row r="19" spans="1:83" ht="15" customHeight="1" x14ac:dyDescent="0.3">
      <c r="A19" s="20" t="s">
        <v>741</v>
      </c>
      <c r="B19" s="20">
        <v>22</v>
      </c>
      <c r="C19" s="20" t="s">
        <v>93</v>
      </c>
      <c r="D19" s="20">
        <v>40010006</v>
      </c>
      <c r="E19" s="20" t="s">
        <v>676</v>
      </c>
      <c r="F19" s="20" t="s">
        <v>679</v>
      </c>
      <c r="G19" s="20" t="s">
        <v>778</v>
      </c>
      <c r="H19" s="29">
        <v>101.0859</v>
      </c>
      <c r="I19" s="30">
        <v>2022</v>
      </c>
      <c r="J19" s="30">
        <v>101</v>
      </c>
      <c r="K19" s="30">
        <v>2201</v>
      </c>
      <c r="L19" s="20" t="s">
        <v>94</v>
      </c>
      <c r="M19" s="30">
        <v>2201034</v>
      </c>
      <c r="N19" s="80" t="s">
        <v>1101</v>
      </c>
      <c r="O19" s="79">
        <v>202500000002049</v>
      </c>
      <c r="P19" s="20" t="s">
        <v>121</v>
      </c>
      <c r="Q19" s="46"/>
      <c r="R19" s="20" t="s">
        <v>122</v>
      </c>
      <c r="S19" s="20" t="s">
        <v>123</v>
      </c>
      <c r="T19" s="30">
        <v>220103400</v>
      </c>
      <c r="U19" s="20" t="s">
        <v>124</v>
      </c>
      <c r="V19" s="20" t="s">
        <v>18</v>
      </c>
      <c r="W19" s="30">
        <v>4.7</v>
      </c>
      <c r="X19" s="20" t="s">
        <v>770</v>
      </c>
      <c r="Y19" s="22">
        <v>0</v>
      </c>
      <c r="Z19" s="22">
        <v>60</v>
      </c>
      <c r="AA19" s="22">
        <v>15</v>
      </c>
      <c r="AB19" s="22">
        <v>15</v>
      </c>
      <c r="AC19" s="22">
        <v>15</v>
      </c>
      <c r="AD19" s="22">
        <v>15</v>
      </c>
      <c r="AE19" s="22">
        <v>50</v>
      </c>
      <c r="AF19" s="19">
        <f t="shared" si="1"/>
        <v>83.333333333333343</v>
      </c>
      <c r="AG19" s="22">
        <v>0</v>
      </c>
      <c r="AH19" s="73">
        <v>0</v>
      </c>
      <c r="AI19" s="23">
        <v>0</v>
      </c>
      <c r="AJ19" s="23">
        <v>0</v>
      </c>
      <c r="AK19" s="23">
        <v>0</v>
      </c>
      <c r="AL19" s="23">
        <v>0</v>
      </c>
      <c r="AM19" s="23">
        <v>0</v>
      </c>
      <c r="AN19" s="23">
        <v>3000000</v>
      </c>
      <c r="AO19" s="23">
        <v>0</v>
      </c>
      <c r="AP19" s="23">
        <v>0</v>
      </c>
      <c r="AQ19" s="23">
        <v>0</v>
      </c>
      <c r="AR19" s="23">
        <v>0</v>
      </c>
      <c r="AS19" s="23">
        <v>0</v>
      </c>
      <c r="AT19" s="23">
        <v>3000000</v>
      </c>
      <c r="AU19" s="23">
        <v>3000000</v>
      </c>
      <c r="AV19" s="23">
        <v>0</v>
      </c>
      <c r="AW19" s="23">
        <v>0</v>
      </c>
      <c r="AX19" s="23">
        <v>0</v>
      </c>
      <c r="AY19" s="23">
        <v>0</v>
      </c>
      <c r="AZ19" s="23">
        <v>0</v>
      </c>
      <c r="BA19" s="23">
        <v>0</v>
      </c>
      <c r="BB19" s="23">
        <v>0</v>
      </c>
      <c r="BC19" s="23">
        <v>0</v>
      </c>
      <c r="BD19" s="23">
        <v>0</v>
      </c>
      <c r="BE19" s="23">
        <v>0</v>
      </c>
      <c r="BF19" s="23">
        <v>3000000</v>
      </c>
      <c r="BG19" s="23">
        <v>0</v>
      </c>
      <c r="BH19" s="23">
        <v>0</v>
      </c>
      <c r="BI19" s="23">
        <v>0</v>
      </c>
      <c r="BJ19" s="23">
        <v>0</v>
      </c>
      <c r="BK19" s="23">
        <v>0</v>
      </c>
      <c r="BL19" s="23">
        <v>3000000</v>
      </c>
      <c r="BM19" s="23">
        <v>0</v>
      </c>
      <c r="BN19" s="23">
        <v>0</v>
      </c>
      <c r="BO19" s="23">
        <v>0</v>
      </c>
      <c r="BP19" s="23">
        <v>0</v>
      </c>
      <c r="BQ19" s="23">
        <v>0</v>
      </c>
      <c r="BR19" s="23">
        <v>3000000</v>
      </c>
      <c r="BS19" s="23">
        <v>3000000</v>
      </c>
      <c r="BT19" s="23">
        <v>0</v>
      </c>
      <c r="BU19" s="23">
        <v>0</v>
      </c>
      <c r="BV19" s="23">
        <v>0</v>
      </c>
      <c r="BW19" s="23">
        <v>0</v>
      </c>
      <c r="BX19" s="23">
        <v>0</v>
      </c>
      <c r="BY19" s="23">
        <v>0</v>
      </c>
      <c r="BZ19" s="23">
        <v>0</v>
      </c>
      <c r="CA19" s="23">
        <v>0</v>
      </c>
      <c r="CB19" s="23">
        <v>0</v>
      </c>
      <c r="CC19" s="23">
        <v>0</v>
      </c>
      <c r="CD19" s="23">
        <v>3000000</v>
      </c>
      <c r="CE19" s="23">
        <f t="shared" si="0"/>
        <v>12000000</v>
      </c>
    </row>
    <row r="20" spans="1:83" ht="15" customHeight="1" x14ac:dyDescent="0.3">
      <c r="A20" s="20" t="s">
        <v>741</v>
      </c>
      <c r="B20" s="20">
        <v>22</v>
      </c>
      <c r="C20" s="20" t="s">
        <v>93</v>
      </c>
      <c r="D20" s="20">
        <v>40010028</v>
      </c>
      <c r="E20" s="20" t="s">
        <v>677</v>
      </c>
      <c r="F20" s="20" t="s">
        <v>428</v>
      </c>
      <c r="G20" s="20" t="s">
        <v>779</v>
      </c>
      <c r="H20" s="29">
        <v>11.1111</v>
      </c>
      <c r="I20" s="30">
        <v>2022</v>
      </c>
      <c r="J20" s="30">
        <v>13</v>
      </c>
      <c r="K20" s="30">
        <v>2202</v>
      </c>
      <c r="L20" s="20" t="s">
        <v>125</v>
      </c>
      <c r="M20" s="30">
        <v>2202005</v>
      </c>
      <c r="N20" s="77" t="s">
        <v>1102</v>
      </c>
      <c r="O20" s="79"/>
      <c r="P20" s="20" t="s">
        <v>126</v>
      </c>
      <c r="Q20" s="46" t="s">
        <v>812</v>
      </c>
      <c r="R20" s="20" t="s">
        <v>127</v>
      </c>
      <c r="S20" s="20" t="s">
        <v>119</v>
      </c>
      <c r="T20" s="30">
        <v>220200500</v>
      </c>
      <c r="U20" s="20" t="s">
        <v>128</v>
      </c>
      <c r="V20" s="20" t="s">
        <v>18</v>
      </c>
      <c r="W20" s="30">
        <v>4.3</v>
      </c>
      <c r="X20" s="20" t="s">
        <v>770</v>
      </c>
      <c r="Y20" s="22" t="s">
        <v>636</v>
      </c>
      <c r="Z20" s="22">
        <v>75</v>
      </c>
      <c r="AA20" s="22">
        <v>10</v>
      </c>
      <c r="AB20" s="22">
        <v>20</v>
      </c>
      <c r="AC20" s="22">
        <v>20</v>
      </c>
      <c r="AD20" s="22">
        <v>25</v>
      </c>
      <c r="AE20" s="22">
        <v>0</v>
      </c>
      <c r="AF20" s="19">
        <f t="shared" si="1"/>
        <v>0</v>
      </c>
      <c r="AG20" s="22">
        <v>0</v>
      </c>
      <c r="AH20" s="73">
        <v>0</v>
      </c>
      <c r="AI20" s="23">
        <v>0</v>
      </c>
      <c r="AJ20" s="23">
        <v>0</v>
      </c>
      <c r="AK20" s="23">
        <v>0</v>
      </c>
      <c r="AL20" s="23">
        <v>0</v>
      </c>
      <c r="AM20" s="23">
        <v>0</v>
      </c>
      <c r="AN20" s="23">
        <v>15000000</v>
      </c>
      <c r="AO20" s="23">
        <v>0</v>
      </c>
      <c r="AP20" s="23">
        <v>0</v>
      </c>
      <c r="AQ20" s="23">
        <v>0</v>
      </c>
      <c r="AR20" s="23">
        <v>0</v>
      </c>
      <c r="AS20" s="23">
        <v>0</v>
      </c>
      <c r="AT20" s="23">
        <v>15000000</v>
      </c>
      <c r="AU20" s="23">
        <v>30000000</v>
      </c>
      <c r="AV20" s="23">
        <v>0</v>
      </c>
      <c r="AW20" s="23">
        <v>0</v>
      </c>
      <c r="AX20" s="23">
        <v>0</v>
      </c>
      <c r="AY20" s="23">
        <v>0</v>
      </c>
      <c r="AZ20" s="23">
        <v>0</v>
      </c>
      <c r="BA20" s="23">
        <v>0</v>
      </c>
      <c r="BB20" s="23">
        <v>0</v>
      </c>
      <c r="BC20" s="23">
        <v>0</v>
      </c>
      <c r="BD20" s="23">
        <v>0</v>
      </c>
      <c r="BE20" s="23">
        <v>0</v>
      </c>
      <c r="BF20" s="23">
        <v>30000000</v>
      </c>
      <c r="BG20" s="23">
        <v>5000000</v>
      </c>
      <c r="BH20" s="23">
        <v>0</v>
      </c>
      <c r="BI20" s="23">
        <v>0</v>
      </c>
      <c r="BJ20" s="23">
        <v>0</v>
      </c>
      <c r="BK20" s="23">
        <v>0</v>
      </c>
      <c r="BL20" s="23">
        <v>0</v>
      </c>
      <c r="BM20" s="23">
        <v>0</v>
      </c>
      <c r="BN20" s="23">
        <v>0</v>
      </c>
      <c r="BO20" s="23">
        <v>25000000</v>
      </c>
      <c r="BP20" s="23">
        <v>0</v>
      </c>
      <c r="BQ20" s="23">
        <v>0</v>
      </c>
      <c r="BR20" s="23">
        <v>30000000</v>
      </c>
      <c r="BS20" s="23">
        <v>4500000</v>
      </c>
      <c r="BT20" s="23">
        <v>0</v>
      </c>
      <c r="BU20" s="23">
        <v>0</v>
      </c>
      <c r="BV20" s="23">
        <v>0</v>
      </c>
      <c r="BW20" s="23">
        <v>0</v>
      </c>
      <c r="BX20" s="23">
        <v>0</v>
      </c>
      <c r="BY20" s="23">
        <v>0</v>
      </c>
      <c r="BZ20" s="23">
        <v>0</v>
      </c>
      <c r="CA20" s="23">
        <v>33000000</v>
      </c>
      <c r="CB20" s="23">
        <v>0</v>
      </c>
      <c r="CC20" s="23">
        <v>0</v>
      </c>
      <c r="CD20" s="23">
        <v>37500000</v>
      </c>
      <c r="CE20" s="23">
        <f t="shared" si="0"/>
        <v>112500000</v>
      </c>
    </row>
    <row r="21" spans="1:83" ht="15" customHeight="1" x14ac:dyDescent="0.3">
      <c r="A21" s="20" t="s">
        <v>741</v>
      </c>
      <c r="B21" s="20">
        <v>22</v>
      </c>
      <c r="C21" s="20" t="s">
        <v>93</v>
      </c>
      <c r="D21" s="20">
        <v>40010028</v>
      </c>
      <c r="E21" s="20" t="s">
        <v>677</v>
      </c>
      <c r="F21" s="20" t="s">
        <v>428</v>
      </c>
      <c r="G21" s="20" t="s">
        <v>779</v>
      </c>
      <c r="H21" s="29">
        <v>11.1111</v>
      </c>
      <c r="I21" s="30">
        <v>2022</v>
      </c>
      <c r="J21" s="30">
        <v>13</v>
      </c>
      <c r="K21" s="30">
        <v>2202</v>
      </c>
      <c r="L21" s="20" t="s">
        <v>125</v>
      </c>
      <c r="M21" s="30">
        <v>2202005</v>
      </c>
      <c r="N21" s="77" t="s">
        <v>1102</v>
      </c>
      <c r="O21" s="79"/>
      <c r="P21" s="20" t="s">
        <v>126</v>
      </c>
      <c r="Q21" s="46"/>
      <c r="R21" s="20" t="s">
        <v>127</v>
      </c>
      <c r="S21" s="20" t="s">
        <v>119</v>
      </c>
      <c r="T21" s="30">
        <v>220200503</v>
      </c>
      <c r="U21" s="20" t="s">
        <v>129</v>
      </c>
      <c r="V21" s="20" t="s">
        <v>18</v>
      </c>
      <c r="W21" s="30">
        <v>4.3</v>
      </c>
      <c r="X21" s="20" t="s">
        <v>770</v>
      </c>
      <c r="Y21" s="22" t="s">
        <v>636</v>
      </c>
      <c r="Z21" s="22">
        <v>8</v>
      </c>
      <c r="AA21" s="22">
        <v>2</v>
      </c>
      <c r="AB21" s="22">
        <v>2</v>
      </c>
      <c r="AC21" s="22">
        <v>2</v>
      </c>
      <c r="AD21" s="22">
        <v>2</v>
      </c>
      <c r="AE21" s="22">
        <v>0</v>
      </c>
      <c r="AF21" s="19">
        <f t="shared" si="1"/>
        <v>0</v>
      </c>
      <c r="AG21" s="22">
        <v>0</v>
      </c>
      <c r="AH21" s="73">
        <v>0</v>
      </c>
      <c r="AI21" s="23">
        <v>0</v>
      </c>
      <c r="AJ21" s="23">
        <v>0</v>
      </c>
      <c r="AK21" s="23">
        <v>0</v>
      </c>
      <c r="AL21" s="23">
        <v>0</v>
      </c>
      <c r="AM21" s="23">
        <v>0</v>
      </c>
      <c r="AN21" s="23">
        <v>3000000</v>
      </c>
      <c r="AO21" s="23">
        <v>0</v>
      </c>
      <c r="AP21" s="23">
        <v>0</v>
      </c>
      <c r="AQ21" s="23">
        <v>0</v>
      </c>
      <c r="AR21" s="23">
        <v>0</v>
      </c>
      <c r="AS21" s="23">
        <v>0</v>
      </c>
      <c r="AT21" s="23">
        <v>3000000</v>
      </c>
      <c r="AU21" s="23">
        <v>3000000</v>
      </c>
      <c r="AV21" s="23">
        <v>0</v>
      </c>
      <c r="AW21" s="23">
        <v>0</v>
      </c>
      <c r="AX21" s="23">
        <v>0</v>
      </c>
      <c r="AY21" s="23">
        <v>0</v>
      </c>
      <c r="AZ21" s="23">
        <v>0</v>
      </c>
      <c r="BA21" s="23">
        <v>0</v>
      </c>
      <c r="BB21" s="23">
        <v>0</v>
      </c>
      <c r="BC21" s="23">
        <v>0</v>
      </c>
      <c r="BD21" s="23">
        <v>0</v>
      </c>
      <c r="BE21" s="23">
        <v>0</v>
      </c>
      <c r="BF21" s="23">
        <v>3000000</v>
      </c>
      <c r="BG21" s="23">
        <v>0</v>
      </c>
      <c r="BH21" s="23">
        <v>0</v>
      </c>
      <c r="BI21" s="23">
        <v>0</v>
      </c>
      <c r="BJ21" s="23">
        <v>0</v>
      </c>
      <c r="BK21" s="23">
        <v>0</v>
      </c>
      <c r="BL21" s="23">
        <v>3000000</v>
      </c>
      <c r="BM21" s="23">
        <v>0</v>
      </c>
      <c r="BN21" s="23">
        <v>0</v>
      </c>
      <c r="BO21" s="23">
        <v>0</v>
      </c>
      <c r="BP21" s="23">
        <v>0</v>
      </c>
      <c r="BQ21" s="23">
        <v>0</v>
      </c>
      <c r="BR21" s="23">
        <v>3000000</v>
      </c>
      <c r="BS21" s="23">
        <v>0</v>
      </c>
      <c r="BT21" s="23">
        <v>0</v>
      </c>
      <c r="BU21" s="23">
        <v>0</v>
      </c>
      <c r="BV21" s="23">
        <v>0</v>
      </c>
      <c r="BW21" s="23">
        <v>0</v>
      </c>
      <c r="BX21" s="23">
        <v>3000000</v>
      </c>
      <c r="BY21" s="23">
        <v>0</v>
      </c>
      <c r="BZ21" s="23">
        <v>0</v>
      </c>
      <c r="CA21" s="23">
        <v>0</v>
      </c>
      <c r="CB21" s="23">
        <v>0</v>
      </c>
      <c r="CC21" s="23">
        <v>0</v>
      </c>
      <c r="CD21" s="23">
        <v>3000000</v>
      </c>
      <c r="CE21" s="23">
        <f t="shared" si="0"/>
        <v>12000000</v>
      </c>
    </row>
    <row r="22" spans="1:83" ht="15" customHeight="1" x14ac:dyDescent="0.3">
      <c r="A22" s="20" t="s">
        <v>741</v>
      </c>
      <c r="B22" s="20">
        <v>43</v>
      </c>
      <c r="C22" s="20" t="s">
        <v>158</v>
      </c>
      <c r="D22" s="20">
        <v>270030003</v>
      </c>
      <c r="E22" s="20" t="s">
        <v>722</v>
      </c>
      <c r="F22" s="20" t="s">
        <v>797</v>
      </c>
      <c r="G22" s="20" t="s">
        <v>798</v>
      </c>
      <c r="H22" s="29" t="s">
        <v>803</v>
      </c>
      <c r="I22" s="30" t="s">
        <v>803</v>
      </c>
      <c r="J22" s="30">
        <v>480</v>
      </c>
      <c r="K22" s="30">
        <v>4301</v>
      </c>
      <c r="L22" s="20" t="s">
        <v>159</v>
      </c>
      <c r="M22" s="30">
        <v>4301001</v>
      </c>
      <c r="N22" s="77" t="s">
        <v>1103</v>
      </c>
      <c r="O22" s="79">
        <v>202500000001898</v>
      </c>
      <c r="P22" s="20" t="s">
        <v>160</v>
      </c>
      <c r="Q22" s="46"/>
      <c r="R22" s="20" t="s">
        <v>161</v>
      </c>
      <c r="S22" s="20" t="s">
        <v>40</v>
      </c>
      <c r="T22" s="30">
        <v>430100100</v>
      </c>
      <c r="U22" s="20" t="s">
        <v>162</v>
      </c>
      <c r="V22" s="20" t="s">
        <v>18</v>
      </c>
      <c r="W22" s="30">
        <v>3.4</v>
      </c>
      <c r="X22" s="20" t="s">
        <v>770</v>
      </c>
      <c r="Y22" s="22">
        <v>3420</v>
      </c>
      <c r="Z22" s="22">
        <v>5000</v>
      </c>
      <c r="AA22" s="22">
        <v>1250</v>
      </c>
      <c r="AB22" s="22">
        <v>1250</v>
      </c>
      <c r="AC22" s="22">
        <v>1250</v>
      </c>
      <c r="AD22" s="22">
        <v>1250</v>
      </c>
      <c r="AE22" s="22">
        <v>1100</v>
      </c>
      <c r="AF22" s="19">
        <f t="shared" si="1"/>
        <v>22</v>
      </c>
      <c r="AG22" s="22">
        <v>1983</v>
      </c>
      <c r="AH22" s="73">
        <v>158.63999999999999</v>
      </c>
      <c r="AI22" s="23">
        <v>0</v>
      </c>
      <c r="AJ22" s="23">
        <v>59831000</v>
      </c>
      <c r="AK22" s="23">
        <v>0</v>
      </c>
      <c r="AL22" s="23">
        <v>0</v>
      </c>
      <c r="AM22" s="23">
        <v>0</v>
      </c>
      <c r="AN22" s="23">
        <v>0</v>
      </c>
      <c r="AO22" s="23">
        <v>7669000</v>
      </c>
      <c r="AP22" s="23">
        <v>0</v>
      </c>
      <c r="AQ22" s="23">
        <v>0</v>
      </c>
      <c r="AR22" s="23">
        <v>0</v>
      </c>
      <c r="AS22" s="23">
        <v>0</v>
      </c>
      <c r="AT22" s="23">
        <v>67500000</v>
      </c>
      <c r="AU22" s="23">
        <v>27500000</v>
      </c>
      <c r="AV22" s="23">
        <v>40000000</v>
      </c>
      <c r="AW22" s="23">
        <v>0</v>
      </c>
      <c r="AX22" s="23">
        <v>0</v>
      </c>
      <c r="AY22" s="23">
        <v>0</v>
      </c>
      <c r="AZ22" s="23">
        <v>0</v>
      </c>
      <c r="BA22" s="23">
        <v>0</v>
      </c>
      <c r="BB22" s="23">
        <v>0</v>
      </c>
      <c r="BC22" s="23">
        <v>0</v>
      </c>
      <c r="BD22" s="23">
        <v>0</v>
      </c>
      <c r="BE22" s="23">
        <v>0</v>
      </c>
      <c r="BF22" s="23">
        <v>67500000</v>
      </c>
      <c r="BG22" s="23">
        <v>0</v>
      </c>
      <c r="BH22" s="23">
        <v>0</v>
      </c>
      <c r="BI22" s="23">
        <v>0</v>
      </c>
      <c r="BJ22" s="23">
        <v>0</v>
      </c>
      <c r="BK22" s="23">
        <v>0</v>
      </c>
      <c r="BL22" s="23">
        <v>27500000</v>
      </c>
      <c r="BM22" s="23">
        <v>40000000</v>
      </c>
      <c r="BN22" s="23">
        <v>0</v>
      </c>
      <c r="BO22" s="23">
        <v>0</v>
      </c>
      <c r="BP22" s="23">
        <v>0</v>
      </c>
      <c r="BQ22" s="23">
        <v>0</v>
      </c>
      <c r="BR22" s="23">
        <v>67500000</v>
      </c>
      <c r="BS22" s="23">
        <v>0</v>
      </c>
      <c r="BT22" s="23">
        <v>67500000</v>
      </c>
      <c r="BU22" s="23">
        <v>0</v>
      </c>
      <c r="BV22" s="23">
        <v>0</v>
      </c>
      <c r="BW22" s="23">
        <v>0</v>
      </c>
      <c r="BX22" s="23">
        <v>0</v>
      </c>
      <c r="BY22" s="23">
        <v>0</v>
      </c>
      <c r="BZ22" s="23">
        <v>0</v>
      </c>
      <c r="CA22" s="23">
        <v>0</v>
      </c>
      <c r="CB22" s="23">
        <v>0</v>
      </c>
      <c r="CC22" s="23">
        <v>0</v>
      </c>
      <c r="CD22" s="23">
        <v>67500000</v>
      </c>
      <c r="CE22" s="23">
        <f t="shared" si="0"/>
        <v>270000000</v>
      </c>
    </row>
    <row r="23" spans="1:83" ht="15" customHeight="1" x14ac:dyDescent="0.3">
      <c r="A23" s="20" t="s">
        <v>741</v>
      </c>
      <c r="B23" s="20">
        <v>43</v>
      </c>
      <c r="C23" s="20" t="s">
        <v>158</v>
      </c>
      <c r="D23" s="20">
        <v>270030003</v>
      </c>
      <c r="E23" s="20" t="s">
        <v>722</v>
      </c>
      <c r="F23" s="20" t="s">
        <v>797</v>
      </c>
      <c r="G23" s="20" t="s">
        <v>798</v>
      </c>
      <c r="H23" s="29" t="s">
        <v>803</v>
      </c>
      <c r="I23" s="30" t="s">
        <v>803</v>
      </c>
      <c r="J23" s="30">
        <v>480</v>
      </c>
      <c r="K23" s="30">
        <v>4301</v>
      </c>
      <c r="L23" s="20" t="s">
        <v>159</v>
      </c>
      <c r="M23" s="30">
        <v>4301007</v>
      </c>
      <c r="N23" s="77" t="s">
        <v>1103</v>
      </c>
      <c r="O23" s="79">
        <v>202500000001898</v>
      </c>
      <c r="P23" s="20" t="s">
        <v>167</v>
      </c>
      <c r="Q23" s="46" t="s">
        <v>813</v>
      </c>
      <c r="R23" s="20" t="s">
        <v>168</v>
      </c>
      <c r="S23" s="20" t="s">
        <v>169</v>
      </c>
      <c r="T23" s="30">
        <v>430100700</v>
      </c>
      <c r="U23" s="20" t="s">
        <v>170</v>
      </c>
      <c r="V23" s="20" t="s">
        <v>18</v>
      </c>
      <c r="W23" s="30" t="s">
        <v>587</v>
      </c>
      <c r="X23" s="20" t="s">
        <v>770</v>
      </c>
      <c r="Y23" s="22">
        <v>780</v>
      </c>
      <c r="Z23" s="22">
        <v>1200</v>
      </c>
      <c r="AA23" s="22">
        <v>300</v>
      </c>
      <c r="AB23" s="22">
        <v>300</v>
      </c>
      <c r="AC23" s="22">
        <v>300</v>
      </c>
      <c r="AD23" s="22">
        <v>300</v>
      </c>
      <c r="AE23" s="22">
        <v>310</v>
      </c>
      <c r="AF23" s="19">
        <f t="shared" si="1"/>
        <v>25.833333333333336</v>
      </c>
      <c r="AG23" s="22">
        <v>160</v>
      </c>
      <c r="AH23" s="73">
        <v>53.333333333333336</v>
      </c>
      <c r="AI23" s="23">
        <v>0</v>
      </c>
      <c r="AJ23" s="23">
        <v>20400000</v>
      </c>
      <c r="AK23" s="23">
        <v>0</v>
      </c>
      <c r="AL23" s="23">
        <v>0</v>
      </c>
      <c r="AM23" s="23">
        <v>0</v>
      </c>
      <c r="AN23" s="23">
        <v>0</v>
      </c>
      <c r="AO23" s="23">
        <v>9600000</v>
      </c>
      <c r="AP23" s="23">
        <v>0</v>
      </c>
      <c r="AQ23" s="23">
        <v>0</v>
      </c>
      <c r="AR23" s="23">
        <v>0</v>
      </c>
      <c r="AS23" s="23">
        <v>0</v>
      </c>
      <c r="AT23" s="23">
        <v>30000000</v>
      </c>
      <c r="AU23" s="23">
        <v>0</v>
      </c>
      <c r="AV23" s="23">
        <v>20400000</v>
      </c>
      <c r="AW23" s="23">
        <v>0</v>
      </c>
      <c r="AX23" s="23">
        <v>0</v>
      </c>
      <c r="AY23" s="23">
        <v>0</v>
      </c>
      <c r="AZ23" s="23">
        <v>9600000</v>
      </c>
      <c r="BA23" s="23">
        <v>0</v>
      </c>
      <c r="BB23" s="23">
        <v>0</v>
      </c>
      <c r="BC23" s="23">
        <v>0</v>
      </c>
      <c r="BD23" s="23">
        <v>0</v>
      </c>
      <c r="BE23" s="23">
        <v>0</v>
      </c>
      <c r="BF23" s="23">
        <v>30000000</v>
      </c>
      <c r="BG23" s="23">
        <v>20400000</v>
      </c>
      <c r="BH23" s="23">
        <v>0</v>
      </c>
      <c r="BI23" s="23">
        <v>0</v>
      </c>
      <c r="BJ23" s="23">
        <v>0</v>
      </c>
      <c r="BK23" s="23">
        <v>0</v>
      </c>
      <c r="BL23" s="23">
        <v>0</v>
      </c>
      <c r="BM23" s="23">
        <v>9600000</v>
      </c>
      <c r="BN23" s="23">
        <v>0</v>
      </c>
      <c r="BO23" s="23">
        <v>0</v>
      </c>
      <c r="BP23" s="23">
        <v>0</v>
      </c>
      <c r="BQ23" s="23">
        <v>0</v>
      </c>
      <c r="BR23" s="23">
        <v>30000000</v>
      </c>
      <c r="BS23" s="23">
        <v>0</v>
      </c>
      <c r="BT23" s="23">
        <v>20400000</v>
      </c>
      <c r="BU23" s="23">
        <v>0</v>
      </c>
      <c r="BV23" s="23">
        <v>0</v>
      </c>
      <c r="BW23" s="23">
        <v>0</v>
      </c>
      <c r="BX23" s="23">
        <v>0</v>
      </c>
      <c r="BY23" s="23">
        <v>9600000</v>
      </c>
      <c r="BZ23" s="23">
        <v>0</v>
      </c>
      <c r="CA23" s="23">
        <v>0</v>
      </c>
      <c r="CB23" s="23">
        <v>0</v>
      </c>
      <c r="CC23" s="23">
        <v>0</v>
      </c>
      <c r="CD23" s="23">
        <v>30000000</v>
      </c>
      <c r="CE23" s="23">
        <f t="shared" si="0"/>
        <v>120000000</v>
      </c>
    </row>
    <row r="24" spans="1:83" ht="15" customHeight="1" x14ac:dyDescent="0.3">
      <c r="A24" s="20" t="s">
        <v>741</v>
      </c>
      <c r="B24" s="20">
        <v>43</v>
      </c>
      <c r="C24" s="20" t="s">
        <v>158</v>
      </c>
      <c r="D24" s="20">
        <v>270030003</v>
      </c>
      <c r="E24" s="20" t="s">
        <v>722</v>
      </c>
      <c r="F24" s="20" t="s">
        <v>797</v>
      </c>
      <c r="G24" s="20" t="s">
        <v>798</v>
      </c>
      <c r="H24" s="29" t="s">
        <v>803</v>
      </c>
      <c r="I24" s="30" t="s">
        <v>803</v>
      </c>
      <c r="J24" s="30">
        <v>480</v>
      </c>
      <c r="K24" s="30">
        <v>4302</v>
      </c>
      <c r="L24" s="20" t="s">
        <v>183</v>
      </c>
      <c r="M24" s="30">
        <v>4302062</v>
      </c>
      <c r="N24" s="77" t="s">
        <v>1104</v>
      </c>
      <c r="O24" s="79"/>
      <c r="P24" s="20" t="s">
        <v>186</v>
      </c>
      <c r="Q24" s="46"/>
      <c r="R24" s="20" t="s">
        <v>187</v>
      </c>
      <c r="S24" s="20" t="s">
        <v>188</v>
      </c>
      <c r="T24" s="30">
        <v>430206200</v>
      </c>
      <c r="U24" s="20" t="s">
        <v>189</v>
      </c>
      <c r="V24" s="20" t="s">
        <v>18</v>
      </c>
      <c r="W24" s="30">
        <v>3.4</v>
      </c>
      <c r="X24" s="20" t="s">
        <v>770</v>
      </c>
      <c r="Y24" s="22">
        <v>0</v>
      </c>
      <c r="Z24" s="22">
        <v>3</v>
      </c>
      <c r="AA24" s="22">
        <v>0</v>
      </c>
      <c r="AB24" s="22">
        <v>1</v>
      </c>
      <c r="AC24" s="22">
        <v>1</v>
      </c>
      <c r="AD24" s="22">
        <v>1</v>
      </c>
      <c r="AE24" s="22"/>
      <c r="AF24" s="19">
        <f t="shared" si="1"/>
        <v>0</v>
      </c>
      <c r="AG24" s="22">
        <v>0</v>
      </c>
      <c r="AH24" s="73">
        <v>0</v>
      </c>
      <c r="AI24" s="23">
        <v>0</v>
      </c>
      <c r="AJ24" s="23">
        <v>0</v>
      </c>
      <c r="AK24" s="23">
        <v>0</v>
      </c>
      <c r="AL24" s="23">
        <v>0</v>
      </c>
      <c r="AM24" s="23">
        <v>0</v>
      </c>
      <c r="AN24" s="23">
        <v>0</v>
      </c>
      <c r="AO24" s="23">
        <v>0</v>
      </c>
      <c r="AP24" s="23">
        <v>0</v>
      </c>
      <c r="AQ24" s="23">
        <v>0</v>
      </c>
      <c r="AR24" s="23">
        <v>0</v>
      </c>
      <c r="AS24" s="23">
        <v>0</v>
      </c>
      <c r="AT24" s="23">
        <v>0</v>
      </c>
      <c r="AU24" s="23">
        <v>0</v>
      </c>
      <c r="AV24" s="23">
        <v>5000000</v>
      </c>
      <c r="AW24" s="23">
        <v>0</v>
      </c>
      <c r="AX24" s="23">
        <v>0</v>
      </c>
      <c r="AY24" s="23">
        <v>0</v>
      </c>
      <c r="AZ24" s="23">
        <v>0</v>
      </c>
      <c r="BA24" s="23">
        <v>0</v>
      </c>
      <c r="BB24" s="23">
        <v>0</v>
      </c>
      <c r="BC24" s="23">
        <v>0</v>
      </c>
      <c r="BD24" s="23">
        <v>0</v>
      </c>
      <c r="BE24" s="23">
        <v>0</v>
      </c>
      <c r="BF24" s="23">
        <v>5000000</v>
      </c>
      <c r="BG24" s="23">
        <v>0</v>
      </c>
      <c r="BH24" s="23">
        <v>0</v>
      </c>
      <c r="BI24" s="23">
        <v>0</v>
      </c>
      <c r="BJ24" s="23">
        <v>0</v>
      </c>
      <c r="BK24" s="23">
        <v>0</v>
      </c>
      <c r="BL24" s="23">
        <v>0</v>
      </c>
      <c r="BM24" s="23">
        <v>5000000</v>
      </c>
      <c r="BN24" s="23">
        <v>0</v>
      </c>
      <c r="BO24" s="23">
        <v>0</v>
      </c>
      <c r="BP24" s="23">
        <v>0</v>
      </c>
      <c r="BQ24" s="23">
        <v>0</v>
      </c>
      <c r="BR24" s="23">
        <v>5000000</v>
      </c>
      <c r="BS24" s="23">
        <v>0</v>
      </c>
      <c r="BT24" s="23">
        <v>0</v>
      </c>
      <c r="BU24" s="23">
        <v>0</v>
      </c>
      <c r="BV24" s="23">
        <v>0</v>
      </c>
      <c r="BW24" s="23">
        <v>0</v>
      </c>
      <c r="BX24" s="23">
        <v>0</v>
      </c>
      <c r="BY24" s="23">
        <v>5000000</v>
      </c>
      <c r="BZ24" s="23">
        <v>0</v>
      </c>
      <c r="CA24" s="23">
        <v>0</v>
      </c>
      <c r="CB24" s="23">
        <v>0</v>
      </c>
      <c r="CC24" s="23">
        <v>0</v>
      </c>
      <c r="CD24" s="23">
        <v>5000000</v>
      </c>
      <c r="CE24" s="23">
        <f t="shared" si="0"/>
        <v>15000000</v>
      </c>
    </row>
    <row r="25" spans="1:83" ht="15" customHeight="1" x14ac:dyDescent="0.3">
      <c r="A25" s="20" t="s">
        <v>741</v>
      </c>
      <c r="B25" s="20">
        <v>33</v>
      </c>
      <c r="C25" s="20" t="s">
        <v>83</v>
      </c>
      <c r="D25" s="20">
        <v>270030002</v>
      </c>
      <c r="E25" s="20" t="s">
        <v>760</v>
      </c>
      <c r="F25" s="20" t="s">
        <v>428</v>
      </c>
      <c r="G25" s="20" t="s">
        <v>798</v>
      </c>
      <c r="H25" s="29" t="s">
        <v>803</v>
      </c>
      <c r="I25" s="30" t="s">
        <v>803</v>
      </c>
      <c r="J25" s="30">
        <v>80</v>
      </c>
      <c r="K25" s="30">
        <v>3301</v>
      </c>
      <c r="L25" s="20" t="s">
        <v>84</v>
      </c>
      <c r="M25" s="30">
        <v>3301054</v>
      </c>
      <c r="N25" s="77" t="s">
        <v>1105</v>
      </c>
      <c r="O25" s="79">
        <v>202500000002378</v>
      </c>
      <c r="P25" s="20" t="s">
        <v>190</v>
      </c>
      <c r="Q25" s="46" t="s">
        <v>814</v>
      </c>
      <c r="R25" s="20" t="s">
        <v>191</v>
      </c>
      <c r="S25" s="20" t="s">
        <v>192</v>
      </c>
      <c r="T25" s="30">
        <v>330105400</v>
      </c>
      <c r="U25" s="20" t="s">
        <v>193</v>
      </c>
      <c r="V25" s="20" t="s">
        <v>18</v>
      </c>
      <c r="W25" s="30">
        <v>11.4</v>
      </c>
      <c r="X25" s="20" t="s">
        <v>770</v>
      </c>
      <c r="Y25" s="22">
        <v>0</v>
      </c>
      <c r="Z25" s="22">
        <v>3</v>
      </c>
      <c r="AA25" s="22">
        <v>0</v>
      </c>
      <c r="AB25" s="22">
        <v>1</v>
      </c>
      <c r="AC25" s="22">
        <v>1</v>
      </c>
      <c r="AD25" s="22">
        <v>1</v>
      </c>
      <c r="AE25" s="22"/>
      <c r="AF25" s="19">
        <f t="shared" si="1"/>
        <v>0</v>
      </c>
      <c r="AG25" s="22">
        <v>0</v>
      </c>
      <c r="AH25" s="73">
        <v>0</v>
      </c>
      <c r="AI25" s="23">
        <v>0</v>
      </c>
      <c r="AJ25" s="23">
        <v>0</v>
      </c>
      <c r="AK25" s="23">
        <v>0</v>
      </c>
      <c r="AL25" s="23">
        <v>0</v>
      </c>
      <c r="AM25" s="23">
        <v>0</v>
      </c>
      <c r="AN25" s="23">
        <v>0</v>
      </c>
      <c r="AO25" s="23">
        <v>0</v>
      </c>
      <c r="AP25" s="23">
        <v>0</v>
      </c>
      <c r="AQ25" s="23">
        <v>0</v>
      </c>
      <c r="AR25" s="23">
        <v>0</v>
      </c>
      <c r="AS25" s="23">
        <v>0</v>
      </c>
      <c r="AT25" s="23">
        <v>0</v>
      </c>
      <c r="AU25" s="23">
        <v>0</v>
      </c>
      <c r="AV25" s="23">
        <v>0</v>
      </c>
      <c r="AW25" s="23">
        <v>0</v>
      </c>
      <c r="AX25" s="23">
        <v>0</v>
      </c>
      <c r="AY25" s="23">
        <v>0</v>
      </c>
      <c r="AZ25" s="23">
        <v>0</v>
      </c>
      <c r="BA25" s="23">
        <v>2000000</v>
      </c>
      <c r="BB25" s="23">
        <v>0</v>
      </c>
      <c r="BC25" s="23">
        <v>0</v>
      </c>
      <c r="BD25" s="23">
        <v>0</v>
      </c>
      <c r="BE25" s="23">
        <v>0</v>
      </c>
      <c r="BF25" s="23">
        <v>2000000</v>
      </c>
      <c r="BG25" s="23">
        <v>0</v>
      </c>
      <c r="BH25" s="23">
        <v>0</v>
      </c>
      <c r="BI25" s="23">
        <v>0</v>
      </c>
      <c r="BJ25" s="23">
        <v>0</v>
      </c>
      <c r="BK25" s="23">
        <v>0</v>
      </c>
      <c r="BL25" s="23">
        <v>0</v>
      </c>
      <c r="BM25" s="23">
        <v>2000000</v>
      </c>
      <c r="BN25" s="23">
        <v>0</v>
      </c>
      <c r="BO25" s="23">
        <v>0</v>
      </c>
      <c r="BP25" s="23">
        <v>0</v>
      </c>
      <c r="BQ25" s="23">
        <v>0</v>
      </c>
      <c r="BR25" s="23">
        <v>2000000</v>
      </c>
      <c r="BS25" s="23">
        <v>0</v>
      </c>
      <c r="BT25" s="23">
        <v>0</v>
      </c>
      <c r="BU25" s="23">
        <v>0</v>
      </c>
      <c r="BV25" s="23">
        <v>0</v>
      </c>
      <c r="BW25" s="23">
        <v>0</v>
      </c>
      <c r="BX25" s="23">
        <v>0</v>
      </c>
      <c r="BY25" s="23">
        <v>2000000</v>
      </c>
      <c r="BZ25" s="23">
        <v>0</v>
      </c>
      <c r="CA25" s="23">
        <v>0</v>
      </c>
      <c r="CB25" s="23">
        <v>0</v>
      </c>
      <c r="CC25" s="23">
        <v>0</v>
      </c>
      <c r="CD25" s="23">
        <v>2000000</v>
      </c>
      <c r="CE25" s="23">
        <f t="shared" si="0"/>
        <v>6000000</v>
      </c>
    </row>
    <row r="26" spans="1:83" ht="15" customHeight="1" x14ac:dyDescent="0.3">
      <c r="A26" s="20" t="s">
        <v>741</v>
      </c>
      <c r="B26" s="20">
        <v>41</v>
      </c>
      <c r="C26" s="20" t="s">
        <v>12</v>
      </c>
      <c r="D26" s="20">
        <v>140010051</v>
      </c>
      <c r="E26" s="20" t="s">
        <v>720</v>
      </c>
      <c r="F26" s="20" t="s">
        <v>428</v>
      </c>
      <c r="G26" s="20" t="s">
        <v>774</v>
      </c>
      <c r="H26" s="29">
        <v>77.937399999999997</v>
      </c>
      <c r="I26" s="30">
        <v>2023</v>
      </c>
      <c r="J26" s="30">
        <v>72</v>
      </c>
      <c r="K26" s="30">
        <v>4102</v>
      </c>
      <c r="L26" s="20" t="s">
        <v>13</v>
      </c>
      <c r="M26" s="30">
        <v>4102042</v>
      </c>
      <c r="N26" s="77" t="s">
        <v>1098</v>
      </c>
      <c r="O26" s="79">
        <v>202500000001968</v>
      </c>
      <c r="P26" s="20" t="s">
        <v>345</v>
      </c>
      <c r="Q26" s="46"/>
      <c r="R26" s="20" t="s">
        <v>346</v>
      </c>
      <c r="S26" s="20" t="s">
        <v>347</v>
      </c>
      <c r="T26" s="30">
        <v>410204201</v>
      </c>
      <c r="U26" s="20" t="s">
        <v>348</v>
      </c>
      <c r="V26" s="20" t="s">
        <v>18</v>
      </c>
      <c r="W26" s="30">
        <v>16.7</v>
      </c>
      <c r="X26" s="20" t="s">
        <v>19</v>
      </c>
      <c r="Y26" s="22">
        <v>10</v>
      </c>
      <c r="Z26" s="22">
        <v>80</v>
      </c>
      <c r="AA26" s="22">
        <v>20</v>
      </c>
      <c r="AB26" s="22">
        <v>20</v>
      </c>
      <c r="AC26" s="22">
        <v>20</v>
      </c>
      <c r="AD26" s="22">
        <v>20</v>
      </c>
      <c r="AE26" s="22">
        <v>20</v>
      </c>
      <c r="AF26" s="19">
        <f t="shared" si="1"/>
        <v>25</v>
      </c>
      <c r="AG26" s="57">
        <v>5</v>
      </c>
      <c r="AH26" s="74">
        <v>25</v>
      </c>
      <c r="AI26" s="23">
        <v>0</v>
      </c>
      <c r="AJ26" s="23">
        <v>4000000</v>
      </c>
      <c r="AK26" s="23">
        <v>0</v>
      </c>
      <c r="AL26" s="23">
        <v>0</v>
      </c>
      <c r="AM26" s="23">
        <v>0</v>
      </c>
      <c r="AN26" s="23">
        <v>0</v>
      </c>
      <c r="AO26" s="23">
        <v>0</v>
      </c>
      <c r="AP26" s="23">
        <v>0</v>
      </c>
      <c r="AQ26" s="23">
        <v>0</v>
      </c>
      <c r="AR26" s="23">
        <v>0</v>
      </c>
      <c r="AS26" s="23">
        <v>0</v>
      </c>
      <c r="AT26" s="23">
        <v>4000000</v>
      </c>
      <c r="AU26" s="23">
        <v>0</v>
      </c>
      <c r="AV26" s="23">
        <v>4000000</v>
      </c>
      <c r="AW26" s="23">
        <v>0</v>
      </c>
      <c r="AX26" s="23">
        <v>0</v>
      </c>
      <c r="AY26" s="23">
        <v>0</v>
      </c>
      <c r="AZ26" s="23">
        <v>0</v>
      </c>
      <c r="BA26" s="23">
        <v>0</v>
      </c>
      <c r="BB26" s="23">
        <v>0</v>
      </c>
      <c r="BC26" s="23">
        <v>0</v>
      </c>
      <c r="BD26" s="23">
        <v>0</v>
      </c>
      <c r="BE26" s="23">
        <v>0</v>
      </c>
      <c r="BF26" s="23">
        <v>4000000</v>
      </c>
      <c r="BG26" s="23">
        <v>0</v>
      </c>
      <c r="BH26" s="23">
        <v>4000000</v>
      </c>
      <c r="BI26" s="23">
        <v>0</v>
      </c>
      <c r="BJ26" s="23">
        <v>0</v>
      </c>
      <c r="BK26" s="23">
        <v>0</v>
      </c>
      <c r="BL26" s="23">
        <v>0</v>
      </c>
      <c r="BM26" s="23">
        <v>0</v>
      </c>
      <c r="BN26" s="23">
        <v>0</v>
      </c>
      <c r="BO26" s="23">
        <v>0</v>
      </c>
      <c r="BP26" s="23">
        <v>0</v>
      </c>
      <c r="BQ26" s="23">
        <v>0</v>
      </c>
      <c r="BR26" s="23">
        <v>4000000</v>
      </c>
      <c r="BS26" s="23">
        <v>0</v>
      </c>
      <c r="BT26" s="23">
        <v>4000000</v>
      </c>
      <c r="BU26" s="23">
        <v>0</v>
      </c>
      <c r="BV26" s="23">
        <v>0</v>
      </c>
      <c r="BW26" s="23">
        <v>0</v>
      </c>
      <c r="BX26" s="23">
        <v>0</v>
      </c>
      <c r="BY26" s="23">
        <v>0</v>
      </c>
      <c r="BZ26" s="23">
        <v>0</v>
      </c>
      <c r="CA26" s="23">
        <v>0</v>
      </c>
      <c r="CB26" s="23">
        <v>0</v>
      </c>
      <c r="CC26" s="23">
        <v>0</v>
      </c>
      <c r="CD26" s="23">
        <v>4000000</v>
      </c>
      <c r="CE26" s="23">
        <f t="shared" si="0"/>
        <v>16000000</v>
      </c>
    </row>
    <row r="27" spans="1:83" ht="15" customHeight="1" x14ac:dyDescent="0.3">
      <c r="A27" s="20" t="s">
        <v>741</v>
      </c>
      <c r="B27" s="20">
        <v>41</v>
      </c>
      <c r="C27" s="20" t="s">
        <v>12</v>
      </c>
      <c r="D27" s="20">
        <v>140010051</v>
      </c>
      <c r="E27" s="20" t="s">
        <v>720</v>
      </c>
      <c r="F27" s="20" t="s">
        <v>428</v>
      </c>
      <c r="G27" s="20" t="s">
        <v>774</v>
      </c>
      <c r="H27" s="29">
        <v>77.937399999999997</v>
      </c>
      <c r="I27" s="30">
        <v>2023</v>
      </c>
      <c r="J27" s="30">
        <v>72</v>
      </c>
      <c r="K27" s="30">
        <v>4102</v>
      </c>
      <c r="L27" s="20" t="s">
        <v>13</v>
      </c>
      <c r="M27" s="30">
        <v>4102043</v>
      </c>
      <c r="N27" s="77" t="s">
        <v>1098</v>
      </c>
      <c r="O27" s="79">
        <v>202500000001968</v>
      </c>
      <c r="P27" s="20" t="s">
        <v>349</v>
      </c>
      <c r="Q27" s="46"/>
      <c r="R27" s="20" t="s">
        <v>350</v>
      </c>
      <c r="S27" s="20" t="s">
        <v>351</v>
      </c>
      <c r="T27" s="30">
        <v>410204301</v>
      </c>
      <c r="U27" s="20" t="s">
        <v>352</v>
      </c>
      <c r="V27" s="20" t="s">
        <v>18</v>
      </c>
      <c r="W27" s="30">
        <v>16.3</v>
      </c>
      <c r="X27" s="20" t="s">
        <v>19</v>
      </c>
      <c r="Y27" s="22">
        <v>20</v>
      </c>
      <c r="Z27" s="22">
        <v>120</v>
      </c>
      <c r="AA27" s="22">
        <v>30</v>
      </c>
      <c r="AB27" s="22">
        <v>30</v>
      </c>
      <c r="AC27" s="22">
        <v>30</v>
      </c>
      <c r="AD27" s="22">
        <v>30</v>
      </c>
      <c r="AE27" s="22">
        <v>42</v>
      </c>
      <c r="AF27" s="19">
        <f t="shared" si="1"/>
        <v>35</v>
      </c>
      <c r="AG27" s="22">
        <v>24</v>
      </c>
      <c r="AH27" s="73">
        <v>80</v>
      </c>
      <c r="AI27" s="23">
        <v>10500000</v>
      </c>
      <c r="AJ27" s="23">
        <v>0</v>
      </c>
      <c r="AK27" s="23">
        <v>0</v>
      </c>
      <c r="AL27" s="23">
        <v>0</v>
      </c>
      <c r="AM27" s="23">
        <v>0</v>
      </c>
      <c r="AN27" s="23">
        <v>0</v>
      </c>
      <c r="AO27" s="23">
        <v>0</v>
      </c>
      <c r="AP27" s="23">
        <v>0</v>
      </c>
      <c r="AQ27" s="23">
        <v>0</v>
      </c>
      <c r="AR27" s="23">
        <v>0</v>
      </c>
      <c r="AS27" s="23">
        <v>0</v>
      </c>
      <c r="AT27" s="23">
        <v>10500000</v>
      </c>
      <c r="AU27" s="23">
        <v>10500000</v>
      </c>
      <c r="AV27" s="23">
        <v>0</v>
      </c>
      <c r="AW27" s="23">
        <v>0</v>
      </c>
      <c r="AX27" s="23">
        <v>0</v>
      </c>
      <c r="AY27" s="23">
        <v>0</v>
      </c>
      <c r="AZ27" s="23">
        <v>0</v>
      </c>
      <c r="BA27" s="23">
        <v>0</v>
      </c>
      <c r="BB27" s="23">
        <v>0</v>
      </c>
      <c r="BC27" s="23">
        <v>0</v>
      </c>
      <c r="BD27" s="23">
        <v>0</v>
      </c>
      <c r="BE27" s="23">
        <v>0</v>
      </c>
      <c r="BF27" s="23">
        <v>10500000</v>
      </c>
      <c r="BG27" s="23">
        <v>10500000</v>
      </c>
      <c r="BH27" s="23">
        <v>0</v>
      </c>
      <c r="BI27" s="23">
        <v>0</v>
      </c>
      <c r="BJ27" s="23">
        <v>0</v>
      </c>
      <c r="BK27" s="23">
        <v>0</v>
      </c>
      <c r="BL27" s="23">
        <v>0</v>
      </c>
      <c r="BM27" s="23">
        <v>0</v>
      </c>
      <c r="BN27" s="23">
        <v>0</v>
      </c>
      <c r="BO27" s="23">
        <v>0</v>
      </c>
      <c r="BP27" s="23">
        <v>0</v>
      </c>
      <c r="BQ27" s="23">
        <v>0</v>
      </c>
      <c r="BR27" s="23">
        <v>10500000</v>
      </c>
      <c r="BS27" s="23">
        <v>10500000</v>
      </c>
      <c r="BT27" s="23">
        <v>0</v>
      </c>
      <c r="BU27" s="23">
        <v>0</v>
      </c>
      <c r="BV27" s="23">
        <v>0</v>
      </c>
      <c r="BW27" s="23">
        <v>0</v>
      </c>
      <c r="BX27" s="23">
        <v>0</v>
      </c>
      <c r="BY27" s="23">
        <v>0</v>
      </c>
      <c r="BZ27" s="23">
        <v>0</v>
      </c>
      <c r="CA27" s="23">
        <v>0</v>
      </c>
      <c r="CB27" s="23">
        <v>0</v>
      </c>
      <c r="CC27" s="23">
        <v>0</v>
      </c>
      <c r="CD27" s="23">
        <v>10500000</v>
      </c>
      <c r="CE27" s="23">
        <f t="shared" si="0"/>
        <v>42000000</v>
      </c>
    </row>
    <row r="28" spans="1:83" ht="15" customHeight="1" x14ac:dyDescent="0.3">
      <c r="A28" s="20" t="s">
        <v>741</v>
      </c>
      <c r="B28" s="20">
        <v>43</v>
      </c>
      <c r="C28" s="20" t="s">
        <v>158</v>
      </c>
      <c r="D28" s="20">
        <v>270030003</v>
      </c>
      <c r="E28" s="20" t="s">
        <v>722</v>
      </c>
      <c r="F28" s="20" t="s">
        <v>797</v>
      </c>
      <c r="G28" s="20" t="s">
        <v>798</v>
      </c>
      <c r="H28" s="29" t="s">
        <v>803</v>
      </c>
      <c r="I28" s="30" t="s">
        <v>803</v>
      </c>
      <c r="J28" s="30">
        <v>480</v>
      </c>
      <c r="K28" s="30">
        <v>4301</v>
      </c>
      <c r="L28" s="20" t="s">
        <v>159</v>
      </c>
      <c r="M28" s="30">
        <v>4301037</v>
      </c>
      <c r="N28" s="77" t="s">
        <v>1103</v>
      </c>
      <c r="O28" s="79">
        <v>202500000001898</v>
      </c>
      <c r="P28" s="20" t="s">
        <v>353</v>
      </c>
      <c r="Q28" s="46" t="s">
        <v>815</v>
      </c>
      <c r="R28" s="20" t="s">
        <v>354</v>
      </c>
      <c r="S28" s="20" t="s">
        <v>40</v>
      </c>
      <c r="T28" s="30">
        <v>430103700</v>
      </c>
      <c r="U28" s="20" t="s">
        <v>355</v>
      </c>
      <c r="V28" s="20" t="s">
        <v>18</v>
      </c>
      <c r="W28" s="30">
        <v>3.4</v>
      </c>
      <c r="X28" s="20" t="s">
        <v>770</v>
      </c>
      <c r="Y28" s="22">
        <v>2145</v>
      </c>
      <c r="Z28" s="22">
        <v>3200</v>
      </c>
      <c r="AA28" s="22">
        <v>800</v>
      </c>
      <c r="AB28" s="22">
        <v>800</v>
      </c>
      <c r="AC28" s="22">
        <v>800</v>
      </c>
      <c r="AD28" s="22">
        <v>800</v>
      </c>
      <c r="AE28" s="22">
        <v>842</v>
      </c>
      <c r="AF28" s="19">
        <f t="shared" si="1"/>
        <v>26.3125</v>
      </c>
      <c r="AG28" s="22">
        <v>280</v>
      </c>
      <c r="AH28" s="73">
        <v>35</v>
      </c>
      <c r="AI28" s="23">
        <v>0</v>
      </c>
      <c r="AJ28" s="23">
        <v>0</v>
      </c>
      <c r="AK28" s="23">
        <v>0</v>
      </c>
      <c r="AL28" s="23">
        <v>0</v>
      </c>
      <c r="AM28" s="23">
        <v>0</v>
      </c>
      <c r="AN28" s="23">
        <v>0</v>
      </c>
      <c r="AO28" s="23">
        <v>8000000</v>
      </c>
      <c r="AP28" s="23">
        <v>0</v>
      </c>
      <c r="AQ28" s="23">
        <v>0</v>
      </c>
      <c r="AR28" s="23">
        <v>0</v>
      </c>
      <c r="AS28" s="23">
        <v>0</v>
      </c>
      <c r="AT28" s="23">
        <v>8000000</v>
      </c>
      <c r="AU28" s="23">
        <v>0</v>
      </c>
      <c r="AV28" s="23">
        <v>8000000</v>
      </c>
      <c r="AW28" s="23">
        <v>0</v>
      </c>
      <c r="AX28" s="23">
        <v>0</v>
      </c>
      <c r="AY28" s="23">
        <v>0</v>
      </c>
      <c r="AZ28" s="23">
        <v>0</v>
      </c>
      <c r="BA28" s="23">
        <v>0</v>
      </c>
      <c r="BB28" s="23">
        <v>0</v>
      </c>
      <c r="BC28" s="23">
        <v>0</v>
      </c>
      <c r="BD28" s="23">
        <v>0</v>
      </c>
      <c r="BE28" s="23">
        <v>0</v>
      </c>
      <c r="BF28" s="23">
        <v>8000000</v>
      </c>
      <c r="BG28" s="23">
        <v>0</v>
      </c>
      <c r="BH28" s="23">
        <v>0</v>
      </c>
      <c r="BI28" s="23">
        <v>0</v>
      </c>
      <c r="BJ28" s="23">
        <v>0</v>
      </c>
      <c r="BK28" s="23">
        <v>0</v>
      </c>
      <c r="BL28" s="23">
        <v>0</v>
      </c>
      <c r="BM28" s="23">
        <v>8000000</v>
      </c>
      <c r="BN28" s="23">
        <v>0</v>
      </c>
      <c r="BO28" s="23">
        <v>0</v>
      </c>
      <c r="BP28" s="23">
        <v>0</v>
      </c>
      <c r="BQ28" s="23">
        <v>0</v>
      </c>
      <c r="BR28" s="23">
        <v>8000000</v>
      </c>
      <c r="BS28" s="23">
        <v>0</v>
      </c>
      <c r="BT28" s="23">
        <v>0</v>
      </c>
      <c r="BU28" s="23">
        <v>0</v>
      </c>
      <c r="BV28" s="23">
        <v>0</v>
      </c>
      <c r="BW28" s="23">
        <v>0</v>
      </c>
      <c r="BX28" s="23">
        <v>0</v>
      </c>
      <c r="BY28" s="23">
        <v>8000000</v>
      </c>
      <c r="BZ28" s="23">
        <v>0</v>
      </c>
      <c r="CA28" s="23">
        <v>0</v>
      </c>
      <c r="CB28" s="23">
        <v>0</v>
      </c>
      <c r="CC28" s="23">
        <v>0</v>
      </c>
      <c r="CD28" s="23">
        <v>8000000</v>
      </c>
      <c r="CE28" s="23">
        <f t="shared" si="0"/>
        <v>32000000</v>
      </c>
    </row>
    <row r="29" spans="1:83" ht="15" customHeight="1" x14ac:dyDescent="0.3">
      <c r="A29" s="20" t="s">
        <v>741</v>
      </c>
      <c r="B29" s="20">
        <v>22</v>
      </c>
      <c r="C29" s="20" t="s">
        <v>93</v>
      </c>
      <c r="D29" s="20">
        <v>40010006</v>
      </c>
      <c r="E29" s="20" t="s">
        <v>676</v>
      </c>
      <c r="F29" s="20" t="s">
        <v>679</v>
      </c>
      <c r="G29" s="20" t="s">
        <v>778</v>
      </c>
      <c r="H29" s="29">
        <v>101.0859</v>
      </c>
      <c r="I29" s="30">
        <v>2022</v>
      </c>
      <c r="J29" s="30">
        <v>101</v>
      </c>
      <c r="K29" s="30">
        <v>2201</v>
      </c>
      <c r="L29" s="20" t="s">
        <v>94</v>
      </c>
      <c r="M29" s="30">
        <v>2201049</v>
      </c>
      <c r="N29" s="80" t="s">
        <v>1101</v>
      </c>
      <c r="O29" s="79">
        <v>202500000002049</v>
      </c>
      <c r="P29" s="20" t="s">
        <v>186</v>
      </c>
      <c r="Q29" s="46"/>
      <c r="R29" s="20" t="s">
        <v>360</v>
      </c>
      <c r="S29" s="20" t="s">
        <v>40</v>
      </c>
      <c r="T29" s="30">
        <v>220104902</v>
      </c>
      <c r="U29" s="20" t="s">
        <v>361</v>
      </c>
      <c r="V29" s="20" t="s">
        <v>18</v>
      </c>
      <c r="W29" s="30">
        <v>4.7</v>
      </c>
      <c r="X29" s="20" t="s">
        <v>770</v>
      </c>
      <c r="Y29" s="22">
        <v>1</v>
      </c>
      <c r="Z29" s="22">
        <v>4</v>
      </c>
      <c r="AA29" s="22">
        <v>1</v>
      </c>
      <c r="AB29" s="22">
        <v>1</v>
      </c>
      <c r="AC29" s="22">
        <v>1</v>
      </c>
      <c r="AD29" s="22">
        <v>1</v>
      </c>
      <c r="AE29" s="22">
        <v>0</v>
      </c>
      <c r="AF29" s="19">
        <f t="shared" si="1"/>
        <v>0</v>
      </c>
      <c r="AG29" s="22">
        <v>1</v>
      </c>
      <c r="AH29" s="73">
        <v>100</v>
      </c>
      <c r="AI29" s="23">
        <v>3500000</v>
      </c>
      <c r="AJ29" s="23">
        <v>0</v>
      </c>
      <c r="AK29" s="23">
        <v>0</v>
      </c>
      <c r="AL29" s="23">
        <v>0</v>
      </c>
      <c r="AM29" s="23">
        <v>0</v>
      </c>
      <c r="AN29" s="23">
        <v>0</v>
      </c>
      <c r="AO29" s="23">
        <v>0</v>
      </c>
      <c r="AP29" s="23">
        <v>0</v>
      </c>
      <c r="AQ29" s="23">
        <v>0</v>
      </c>
      <c r="AR29" s="23">
        <v>0</v>
      </c>
      <c r="AS29" s="23">
        <v>0</v>
      </c>
      <c r="AT29" s="23">
        <v>3500000</v>
      </c>
      <c r="AU29" s="23">
        <v>0</v>
      </c>
      <c r="AV29" s="23">
        <v>0</v>
      </c>
      <c r="AW29" s="23">
        <v>0</v>
      </c>
      <c r="AX29" s="23">
        <v>0</v>
      </c>
      <c r="AY29" s="23">
        <v>0</v>
      </c>
      <c r="AZ29" s="23">
        <v>3500000</v>
      </c>
      <c r="BA29" s="23">
        <v>0</v>
      </c>
      <c r="BB29" s="23">
        <v>0</v>
      </c>
      <c r="BC29" s="23">
        <v>0</v>
      </c>
      <c r="BD29" s="23">
        <v>0</v>
      </c>
      <c r="BE29" s="23">
        <v>0</v>
      </c>
      <c r="BF29" s="23">
        <v>3500000</v>
      </c>
      <c r="BG29" s="23">
        <v>0</v>
      </c>
      <c r="BH29" s="23">
        <v>0</v>
      </c>
      <c r="BI29" s="23">
        <v>0</v>
      </c>
      <c r="BJ29" s="23">
        <v>0</v>
      </c>
      <c r="BK29" s="23">
        <v>0</v>
      </c>
      <c r="BL29" s="23">
        <v>3500000</v>
      </c>
      <c r="BM29" s="23">
        <v>0</v>
      </c>
      <c r="BN29" s="23">
        <v>0</v>
      </c>
      <c r="BO29" s="23">
        <v>0</v>
      </c>
      <c r="BP29" s="23">
        <v>0</v>
      </c>
      <c r="BQ29" s="23">
        <v>0</v>
      </c>
      <c r="BR29" s="23">
        <v>3500000</v>
      </c>
      <c r="BS29" s="23">
        <v>0</v>
      </c>
      <c r="BT29" s="23">
        <v>0</v>
      </c>
      <c r="BU29" s="23">
        <v>0</v>
      </c>
      <c r="BV29" s="23">
        <v>0</v>
      </c>
      <c r="BW29" s="23">
        <v>0</v>
      </c>
      <c r="BX29" s="23">
        <v>3500000</v>
      </c>
      <c r="BY29" s="23">
        <v>0</v>
      </c>
      <c r="BZ29" s="23">
        <v>0</v>
      </c>
      <c r="CA29" s="23">
        <v>0</v>
      </c>
      <c r="CB29" s="23">
        <v>0</v>
      </c>
      <c r="CC29" s="23">
        <v>0</v>
      </c>
      <c r="CD29" s="23">
        <v>3500000</v>
      </c>
      <c r="CE29" s="23">
        <f t="shared" si="0"/>
        <v>14000000</v>
      </c>
    </row>
    <row r="30" spans="1:83" ht="15" customHeight="1" x14ac:dyDescent="0.3">
      <c r="A30" s="20" t="s">
        <v>741</v>
      </c>
      <c r="B30" s="20">
        <v>22</v>
      </c>
      <c r="C30" s="20" t="s">
        <v>93</v>
      </c>
      <c r="D30" s="20">
        <v>40010006</v>
      </c>
      <c r="E30" s="20" t="s">
        <v>676</v>
      </c>
      <c r="F30" s="20" t="s">
        <v>679</v>
      </c>
      <c r="G30" s="20" t="s">
        <v>778</v>
      </c>
      <c r="H30" s="29">
        <v>101.0859</v>
      </c>
      <c r="I30" s="30">
        <v>2022</v>
      </c>
      <c r="J30" s="30">
        <v>101</v>
      </c>
      <c r="K30" s="30">
        <v>2201</v>
      </c>
      <c r="L30" s="20" t="s">
        <v>94</v>
      </c>
      <c r="M30" s="30">
        <v>2201069</v>
      </c>
      <c r="N30" s="80" t="s">
        <v>1101</v>
      </c>
      <c r="O30" s="79">
        <v>202500000002049</v>
      </c>
      <c r="P30" s="20" t="s">
        <v>362</v>
      </c>
      <c r="Q30" s="46"/>
      <c r="R30" s="20" t="s">
        <v>363</v>
      </c>
      <c r="S30" s="20" t="s">
        <v>318</v>
      </c>
      <c r="T30" s="30">
        <v>220106900</v>
      </c>
      <c r="U30" s="20" t="s">
        <v>364</v>
      </c>
      <c r="V30" s="20" t="s">
        <v>18</v>
      </c>
      <c r="W30" s="30" t="s">
        <v>590</v>
      </c>
      <c r="X30" s="20" t="s">
        <v>770</v>
      </c>
      <c r="Y30" s="22">
        <v>1</v>
      </c>
      <c r="Z30" s="22">
        <v>2</v>
      </c>
      <c r="AA30" s="22">
        <v>0</v>
      </c>
      <c r="AB30" s="22">
        <v>1</v>
      </c>
      <c r="AC30" s="22">
        <v>0</v>
      </c>
      <c r="AD30" s="22">
        <v>1</v>
      </c>
      <c r="AE30" s="22"/>
      <c r="AF30" s="19">
        <f t="shared" si="1"/>
        <v>0</v>
      </c>
      <c r="AG30" s="22">
        <v>0</v>
      </c>
      <c r="AH30" s="73">
        <v>0</v>
      </c>
      <c r="AI30" s="23">
        <v>0</v>
      </c>
      <c r="AJ30" s="23">
        <v>0</v>
      </c>
      <c r="AK30" s="23">
        <v>0</v>
      </c>
      <c r="AL30" s="23">
        <v>0</v>
      </c>
      <c r="AM30" s="23">
        <v>0</v>
      </c>
      <c r="AN30" s="23">
        <v>0</v>
      </c>
      <c r="AO30" s="23">
        <v>0</v>
      </c>
      <c r="AP30" s="23">
        <v>0</v>
      </c>
      <c r="AQ30" s="23">
        <v>0</v>
      </c>
      <c r="AR30" s="23">
        <v>0</v>
      </c>
      <c r="AS30" s="23">
        <v>0</v>
      </c>
      <c r="AT30" s="23">
        <v>0</v>
      </c>
      <c r="AU30" s="23">
        <v>0</v>
      </c>
      <c r="AV30" s="23">
        <v>0</v>
      </c>
      <c r="AW30" s="23">
        <v>0</v>
      </c>
      <c r="AX30" s="23">
        <v>0</v>
      </c>
      <c r="AY30" s="23">
        <v>0</v>
      </c>
      <c r="AZ30" s="23">
        <v>25000000</v>
      </c>
      <c r="BA30" s="23">
        <v>0</v>
      </c>
      <c r="BB30" s="23">
        <v>0</v>
      </c>
      <c r="BC30" s="23">
        <v>0</v>
      </c>
      <c r="BD30" s="23">
        <v>0</v>
      </c>
      <c r="BE30" s="23">
        <v>0</v>
      </c>
      <c r="BF30" s="23">
        <v>25000000</v>
      </c>
      <c r="BG30" s="23">
        <v>0</v>
      </c>
      <c r="BH30" s="23">
        <v>0</v>
      </c>
      <c r="BI30" s="23">
        <v>0</v>
      </c>
      <c r="BJ30" s="23">
        <v>0</v>
      </c>
      <c r="BK30" s="23">
        <v>0</v>
      </c>
      <c r="BL30" s="23">
        <v>0</v>
      </c>
      <c r="BM30" s="23">
        <v>0</v>
      </c>
      <c r="BN30" s="23">
        <v>0</v>
      </c>
      <c r="BO30" s="23">
        <v>0</v>
      </c>
      <c r="BP30" s="23">
        <v>0</v>
      </c>
      <c r="BQ30" s="23">
        <v>0</v>
      </c>
      <c r="BR30" s="23">
        <v>0</v>
      </c>
      <c r="BS30" s="23">
        <v>5000000</v>
      </c>
      <c r="BT30" s="23">
        <v>0</v>
      </c>
      <c r="BU30" s="23">
        <v>0</v>
      </c>
      <c r="BV30" s="23">
        <v>0</v>
      </c>
      <c r="BW30" s="23">
        <v>0</v>
      </c>
      <c r="BX30" s="23">
        <v>0</v>
      </c>
      <c r="BY30" s="23">
        <v>0</v>
      </c>
      <c r="BZ30" s="23">
        <v>0</v>
      </c>
      <c r="CA30" s="23">
        <v>20000000</v>
      </c>
      <c r="CB30" s="23">
        <v>0</v>
      </c>
      <c r="CC30" s="23">
        <v>0</v>
      </c>
      <c r="CD30" s="23">
        <v>25000000</v>
      </c>
      <c r="CE30" s="23">
        <f t="shared" si="0"/>
        <v>50000000</v>
      </c>
    </row>
    <row r="31" spans="1:83" ht="15" customHeight="1" x14ac:dyDescent="0.3">
      <c r="A31" s="20" t="s">
        <v>741</v>
      </c>
      <c r="B31" s="20">
        <v>33</v>
      </c>
      <c r="C31" s="20" t="s">
        <v>83</v>
      </c>
      <c r="D31" s="20">
        <v>270030002</v>
      </c>
      <c r="E31" s="20" t="s">
        <v>760</v>
      </c>
      <c r="F31" s="20" t="s">
        <v>428</v>
      </c>
      <c r="G31" s="20" t="s">
        <v>798</v>
      </c>
      <c r="H31" s="29" t="s">
        <v>803</v>
      </c>
      <c r="I31" s="30" t="s">
        <v>803</v>
      </c>
      <c r="J31" s="30">
        <v>80</v>
      </c>
      <c r="K31" s="30">
        <v>3301</v>
      </c>
      <c r="L31" s="20" t="s">
        <v>84</v>
      </c>
      <c r="M31" s="30">
        <v>3301085</v>
      </c>
      <c r="N31" s="77" t="s">
        <v>1105</v>
      </c>
      <c r="O31" s="79">
        <v>202500000002378</v>
      </c>
      <c r="P31" s="20" t="s">
        <v>365</v>
      </c>
      <c r="Q31" s="46"/>
      <c r="R31" s="20" t="s">
        <v>366</v>
      </c>
      <c r="S31" s="20" t="s">
        <v>367</v>
      </c>
      <c r="T31" s="30">
        <v>330108500</v>
      </c>
      <c r="U31" s="20" t="s">
        <v>368</v>
      </c>
      <c r="V31" s="20" t="s">
        <v>18</v>
      </c>
      <c r="W31" s="30" t="s">
        <v>590</v>
      </c>
      <c r="X31" s="20" t="s">
        <v>770</v>
      </c>
      <c r="Y31" s="22">
        <v>650</v>
      </c>
      <c r="Z31" s="22">
        <v>800</v>
      </c>
      <c r="AA31" s="22">
        <v>200</v>
      </c>
      <c r="AB31" s="22">
        <v>200</v>
      </c>
      <c r="AC31" s="22">
        <v>200</v>
      </c>
      <c r="AD31" s="22">
        <v>200</v>
      </c>
      <c r="AE31" s="22">
        <v>756</v>
      </c>
      <c r="AF31" s="19">
        <f t="shared" si="1"/>
        <v>94.5</v>
      </c>
      <c r="AG31" s="22">
        <v>100</v>
      </c>
      <c r="AH31" s="73">
        <v>50</v>
      </c>
      <c r="AI31" s="23">
        <v>0</v>
      </c>
      <c r="AJ31" s="23">
        <v>0</v>
      </c>
      <c r="AK31" s="23">
        <v>0</v>
      </c>
      <c r="AL31" s="23">
        <v>0</v>
      </c>
      <c r="AM31" s="23">
        <v>0</v>
      </c>
      <c r="AN31" s="23">
        <v>0</v>
      </c>
      <c r="AO31" s="23">
        <v>25000000</v>
      </c>
      <c r="AP31" s="23">
        <v>0</v>
      </c>
      <c r="AQ31" s="23">
        <v>0</v>
      </c>
      <c r="AR31" s="23">
        <v>0</v>
      </c>
      <c r="AS31" s="23">
        <v>0</v>
      </c>
      <c r="AT31" s="23">
        <v>25000000</v>
      </c>
      <c r="AU31" s="23">
        <v>0</v>
      </c>
      <c r="AV31" s="23">
        <v>0</v>
      </c>
      <c r="AW31" s="23">
        <v>0</v>
      </c>
      <c r="AX31" s="23">
        <v>0</v>
      </c>
      <c r="AY31" s="23">
        <v>0</v>
      </c>
      <c r="AZ31" s="23">
        <v>0</v>
      </c>
      <c r="BA31" s="23">
        <v>25000000</v>
      </c>
      <c r="BB31" s="23">
        <v>0</v>
      </c>
      <c r="BC31" s="23">
        <v>0</v>
      </c>
      <c r="BD31" s="23">
        <v>0</v>
      </c>
      <c r="BE31" s="23">
        <v>0</v>
      </c>
      <c r="BF31" s="23">
        <v>25000000</v>
      </c>
      <c r="BG31" s="23">
        <v>0</v>
      </c>
      <c r="BH31" s="23">
        <v>0</v>
      </c>
      <c r="BI31" s="23">
        <v>0</v>
      </c>
      <c r="BJ31" s="23">
        <v>0</v>
      </c>
      <c r="BK31" s="23">
        <v>0</v>
      </c>
      <c r="BL31" s="23">
        <v>0</v>
      </c>
      <c r="BM31" s="23">
        <v>25000000</v>
      </c>
      <c r="BN31" s="23">
        <v>0</v>
      </c>
      <c r="BO31" s="23">
        <v>0</v>
      </c>
      <c r="BP31" s="23">
        <v>0</v>
      </c>
      <c r="BQ31" s="23">
        <v>0</v>
      </c>
      <c r="BR31" s="23">
        <v>25000000</v>
      </c>
      <c r="BS31" s="23">
        <v>0</v>
      </c>
      <c r="BT31" s="23">
        <v>0</v>
      </c>
      <c r="BU31" s="23">
        <v>0</v>
      </c>
      <c r="BV31" s="23">
        <v>0</v>
      </c>
      <c r="BW31" s="23">
        <v>0</v>
      </c>
      <c r="BX31" s="23">
        <v>0</v>
      </c>
      <c r="BY31" s="23">
        <v>25000000</v>
      </c>
      <c r="BZ31" s="23">
        <v>0</v>
      </c>
      <c r="CA31" s="23">
        <v>0</v>
      </c>
      <c r="CB31" s="23">
        <v>0</v>
      </c>
      <c r="CC31" s="23">
        <v>0</v>
      </c>
      <c r="CD31" s="23">
        <v>25000000</v>
      </c>
      <c r="CE31" s="23">
        <f t="shared" si="0"/>
        <v>100000000</v>
      </c>
    </row>
    <row r="32" spans="1:83" ht="15" customHeight="1" x14ac:dyDescent="0.3">
      <c r="A32" s="20" t="s">
        <v>741</v>
      </c>
      <c r="B32" s="20">
        <v>22</v>
      </c>
      <c r="C32" s="20" t="s">
        <v>93</v>
      </c>
      <c r="D32" s="20">
        <v>40010006</v>
      </c>
      <c r="E32" s="20" t="s">
        <v>676</v>
      </c>
      <c r="F32" s="20" t="s">
        <v>679</v>
      </c>
      <c r="G32" s="20" t="s">
        <v>778</v>
      </c>
      <c r="H32" s="29">
        <v>101.0859</v>
      </c>
      <c r="I32" s="30">
        <v>2022</v>
      </c>
      <c r="J32" s="30">
        <v>101</v>
      </c>
      <c r="K32" s="30">
        <v>2201</v>
      </c>
      <c r="L32" s="20" t="s">
        <v>94</v>
      </c>
      <c r="M32" s="30">
        <v>2201073</v>
      </c>
      <c r="N32" s="80" t="s">
        <v>1101</v>
      </c>
      <c r="O32" s="79">
        <v>202500000002049</v>
      </c>
      <c r="P32" s="20" t="s">
        <v>370</v>
      </c>
      <c r="Q32" s="46" t="s">
        <v>816</v>
      </c>
      <c r="R32" s="20" t="s">
        <v>371</v>
      </c>
      <c r="S32" s="20" t="s">
        <v>123</v>
      </c>
      <c r="T32" s="30">
        <v>220107304</v>
      </c>
      <c r="U32" s="20" t="s">
        <v>372</v>
      </c>
      <c r="V32" s="20" t="s">
        <v>18</v>
      </c>
      <c r="W32" s="30">
        <v>17.18</v>
      </c>
      <c r="X32" s="20" t="s">
        <v>770</v>
      </c>
      <c r="Y32" s="22">
        <v>138</v>
      </c>
      <c r="Z32" s="22">
        <v>200</v>
      </c>
      <c r="AA32" s="22">
        <v>50</v>
      </c>
      <c r="AB32" s="22">
        <v>50</v>
      </c>
      <c r="AC32" s="22">
        <v>50</v>
      </c>
      <c r="AD32" s="22">
        <v>50</v>
      </c>
      <c r="AE32" s="22">
        <v>30</v>
      </c>
      <c r="AF32" s="19">
        <f t="shared" si="1"/>
        <v>15</v>
      </c>
      <c r="AG32" s="22">
        <v>30</v>
      </c>
      <c r="AH32" s="73">
        <v>60</v>
      </c>
      <c r="AI32" s="23">
        <v>5000000</v>
      </c>
      <c r="AJ32" s="23">
        <v>0</v>
      </c>
      <c r="AK32" s="23">
        <v>0</v>
      </c>
      <c r="AL32" s="23">
        <v>0</v>
      </c>
      <c r="AM32" s="23">
        <v>0</v>
      </c>
      <c r="AN32" s="23">
        <v>0</v>
      </c>
      <c r="AO32" s="23">
        <v>0</v>
      </c>
      <c r="AP32" s="23">
        <v>0</v>
      </c>
      <c r="AQ32" s="23">
        <v>0</v>
      </c>
      <c r="AR32" s="23">
        <v>0</v>
      </c>
      <c r="AS32" s="23">
        <v>0</v>
      </c>
      <c r="AT32" s="23">
        <v>5000000</v>
      </c>
      <c r="AU32" s="23">
        <v>5000000</v>
      </c>
      <c r="AV32" s="23">
        <v>0</v>
      </c>
      <c r="AW32" s="23">
        <v>0</v>
      </c>
      <c r="AX32" s="23">
        <v>0</v>
      </c>
      <c r="AY32" s="23">
        <v>0</v>
      </c>
      <c r="AZ32" s="23">
        <v>0</v>
      </c>
      <c r="BA32" s="23">
        <v>0</v>
      </c>
      <c r="BB32" s="23">
        <v>0</v>
      </c>
      <c r="BC32" s="23">
        <v>0</v>
      </c>
      <c r="BD32" s="23">
        <v>0</v>
      </c>
      <c r="BE32" s="23">
        <v>0</v>
      </c>
      <c r="BF32" s="23">
        <v>5000000</v>
      </c>
      <c r="BG32" s="23">
        <v>0</v>
      </c>
      <c r="BH32" s="23">
        <v>0</v>
      </c>
      <c r="BI32" s="23">
        <v>0</v>
      </c>
      <c r="BJ32" s="23">
        <v>0</v>
      </c>
      <c r="BK32" s="23">
        <v>0</v>
      </c>
      <c r="BL32" s="23">
        <v>5000000</v>
      </c>
      <c r="BM32" s="23">
        <v>0</v>
      </c>
      <c r="BN32" s="23">
        <v>0</v>
      </c>
      <c r="BO32" s="23">
        <v>0</v>
      </c>
      <c r="BP32" s="23">
        <v>0</v>
      </c>
      <c r="BQ32" s="23">
        <v>0</v>
      </c>
      <c r="BR32" s="23">
        <v>5000000</v>
      </c>
      <c r="BS32" s="23">
        <v>0</v>
      </c>
      <c r="BT32" s="23">
        <v>0</v>
      </c>
      <c r="BU32" s="23">
        <v>0</v>
      </c>
      <c r="BV32" s="23">
        <v>0</v>
      </c>
      <c r="BW32" s="23">
        <v>0</v>
      </c>
      <c r="BX32" s="23">
        <v>5000000</v>
      </c>
      <c r="BY32" s="23">
        <v>0</v>
      </c>
      <c r="BZ32" s="23">
        <v>0</v>
      </c>
      <c r="CA32" s="23">
        <v>0</v>
      </c>
      <c r="CB32" s="23">
        <v>0</v>
      </c>
      <c r="CC32" s="23">
        <v>0</v>
      </c>
      <c r="CD32" s="23">
        <v>5000000</v>
      </c>
      <c r="CE32" s="23">
        <f t="shared" si="0"/>
        <v>20000000</v>
      </c>
    </row>
    <row r="33" spans="1:83" ht="15" customHeight="1" x14ac:dyDescent="0.3">
      <c r="A33" s="20" t="s">
        <v>741</v>
      </c>
      <c r="B33" s="20">
        <v>33</v>
      </c>
      <c r="C33" s="20" t="s">
        <v>83</v>
      </c>
      <c r="D33" s="20">
        <v>270030002</v>
      </c>
      <c r="E33" s="20" t="s">
        <v>760</v>
      </c>
      <c r="F33" s="20" t="s">
        <v>428</v>
      </c>
      <c r="G33" s="20" t="s">
        <v>798</v>
      </c>
      <c r="H33" s="29" t="s">
        <v>803</v>
      </c>
      <c r="I33" s="30" t="s">
        <v>803</v>
      </c>
      <c r="J33" s="30">
        <v>80</v>
      </c>
      <c r="K33" s="30">
        <v>3301</v>
      </c>
      <c r="L33" s="20" t="s">
        <v>84</v>
      </c>
      <c r="M33" s="30">
        <v>3301053</v>
      </c>
      <c r="N33" s="77" t="s">
        <v>1105</v>
      </c>
      <c r="O33" s="79">
        <v>202500000002378</v>
      </c>
      <c r="P33" s="20" t="s">
        <v>373</v>
      </c>
      <c r="Q33" s="46" t="s">
        <v>817</v>
      </c>
      <c r="R33" s="20" t="s">
        <v>374</v>
      </c>
      <c r="S33" s="20" t="s">
        <v>375</v>
      </c>
      <c r="T33" s="30">
        <v>330105300</v>
      </c>
      <c r="U33" s="20" t="s">
        <v>376</v>
      </c>
      <c r="V33" s="20" t="s">
        <v>18</v>
      </c>
      <c r="W33" s="30">
        <v>11.4</v>
      </c>
      <c r="X33" s="20" t="s">
        <v>770</v>
      </c>
      <c r="Y33" s="22">
        <v>10</v>
      </c>
      <c r="Z33" s="22">
        <v>20</v>
      </c>
      <c r="AA33" s="22">
        <v>5</v>
      </c>
      <c r="AB33" s="22">
        <v>5</v>
      </c>
      <c r="AC33" s="22">
        <v>5</v>
      </c>
      <c r="AD33" s="22">
        <v>5</v>
      </c>
      <c r="AE33" s="22">
        <v>15</v>
      </c>
      <c r="AF33" s="19">
        <f t="shared" si="1"/>
        <v>75</v>
      </c>
      <c r="AG33" s="22">
        <v>0</v>
      </c>
      <c r="AH33" s="73">
        <v>0</v>
      </c>
      <c r="AI33" s="23">
        <v>0</v>
      </c>
      <c r="AJ33" s="23">
        <v>0</v>
      </c>
      <c r="AK33" s="23">
        <v>0</v>
      </c>
      <c r="AL33" s="23">
        <v>0</v>
      </c>
      <c r="AM33" s="23">
        <v>0</v>
      </c>
      <c r="AN33" s="23">
        <v>0</v>
      </c>
      <c r="AO33" s="23">
        <v>15000000</v>
      </c>
      <c r="AP33" s="23">
        <v>0</v>
      </c>
      <c r="AQ33" s="23">
        <v>0</v>
      </c>
      <c r="AR33" s="23">
        <v>0</v>
      </c>
      <c r="AS33" s="23">
        <v>0</v>
      </c>
      <c r="AT33" s="23">
        <v>15000000</v>
      </c>
      <c r="AU33" s="23">
        <v>0</v>
      </c>
      <c r="AV33" s="23">
        <v>0</v>
      </c>
      <c r="AW33" s="23">
        <v>0</v>
      </c>
      <c r="AX33" s="23">
        <v>0</v>
      </c>
      <c r="AY33" s="23">
        <v>0</v>
      </c>
      <c r="AZ33" s="23">
        <v>0</v>
      </c>
      <c r="BA33" s="23">
        <v>15000000</v>
      </c>
      <c r="BB33" s="23">
        <v>0</v>
      </c>
      <c r="BC33" s="23">
        <v>0</v>
      </c>
      <c r="BD33" s="23">
        <v>0</v>
      </c>
      <c r="BE33" s="23">
        <v>0</v>
      </c>
      <c r="BF33" s="23">
        <v>15000000</v>
      </c>
      <c r="BG33" s="23">
        <v>0</v>
      </c>
      <c r="BH33" s="23">
        <v>0</v>
      </c>
      <c r="BI33" s="23">
        <v>0</v>
      </c>
      <c r="BJ33" s="23">
        <v>0</v>
      </c>
      <c r="BK33" s="23">
        <v>0</v>
      </c>
      <c r="BL33" s="23">
        <v>0</v>
      </c>
      <c r="BM33" s="23">
        <v>15000000</v>
      </c>
      <c r="BN33" s="23">
        <v>0</v>
      </c>
      <c r="BO33" s="23">
        <v>0</v>
      </c>
      <c r="BP33" s="23">
        <v>0</v>
      </c>
      <c r="BQ33" s="23">
        <v>0</v>
      </c>
      <c r="BR33" s="23">
        <v>15000000</v>
      </c>
      <c r="BS33" s="23">
        <v>0</v>
      </c>
      <c r="BT33" s="23">
        <v>0</v>
      </c>
      <c r="BU33" s="23">
        <v>0</v>
      </c>
      <c r="BV33" s="23">
        <v>0</v>
      </c>
      <c r="BW33" s="23">
        <v>0</v>
      </c>
      <c r="BX33" s="23">
        <v>0</v>
      </c>
      <c r="BY33" s="23">
        <v>15000000</v>
      </c>
      <c r="BZ33" s="23">
        <v>0</v>
      </c>
      <c r="CA33" s="23">
        <v>0</v>
      </c>
      <c r="CB33" s="23">
        <v>0</v>
      </c>
      <c r="CC33" s="23">
        <v>0</v>
      </c>
      <c r="CD33" s="23">
        <v>15000000</v>
      </c>
      <c r="CE33" s="23">
        <f t="shared" si="0"/>
        <v>60000000</v>
      </c>
    </row>
    <row r="34" spans="1:83" ht="15" customHeight="1" x14ac:dyDescent="0.3">
      <c r="A34" s="20" t="s">
        <v>741</v>
      </c>
      <c r="B34" s="20">
        <v>33</v>
      </c>
      <c r="C34" s="20" t="s">
        <v>83</v>
      </c>
      <c r="D34" s="20">
        <v>270030002</v>
      </c>
      <c r="E34" s="20" t="s">
        <v>760</v>
      </c>
      <c r="F34" s="20" t="s">
        <v>428</v>
      </c>
      <c r="G34" s="20" t="s">
        <v>798</v>
      </c>
      <c r="H34" s="29" t="s">
        <v>803</v>
      </c>
      <c r="I34" s="30" t="s">
        <v>803</v>
      </c>
      <c r="J34" s="30">
        <v>80</v>
      </c>
      <c r="K34" s="30">
        <v>3301</v>
      </c>
      <c r="L34" s="20" t="s">
        <v>84</v>
      </c>
      <c r="M34" s="30">
        <v>3301073</v>
      </c>
      <c r="N34" s="77" t="s">
        <v>1105</v>
      </c>
      <c r="O34" s="79">
        <v>202500000002378</v>
      </c>
      <c r="P34" s="20" t="s">
        <v>377</v>
      </c>
      <c r="Q34" s="46" t="s">
        <v>818</v>
      </c>
      <c r="R34" s="20" t="s">
        <v>378</v>
      </c>
      <c r="S34" s="20" t="s">
        <v>379</v>
      </c>
      <c r="T34" s="30">
        <v>330107300</v>
      </c>
      <c r="U34" s="20" t="s">
        <v>380</v>
      </c>
      <c r="V34" s="20" t="s">
        <v>18</v>
      </c>
      <c r="W34" s="30">
        <v>11.4</v>
      </c>
      <c r="X34" s="20" t="s">
        <v>770</v>
      </c>
      <c r="Y34" s="22">
        <v>7</v>
      </c>
      <c r="Z34" s="22">
        <v>12</v>
      </c>
      <c r="AA34" s="22">
        <v>3</v>
      </c>
      <c r="AB34" s="22">
        <v>3</v>
      </c>
      <c r="AC34" s="22">
        <v>3</v>
      </c>
      <c r="AD34" s="22">
        <v>3</v>
      </c>
      <c r="AE34" s="22">
        <v>5</v>
      </c>
      <c r="AF34" s="19">
        <f t="shared" si="1"/>
        <v>41.666666666666671</v>
      </c>
      <c r="AG34" s="22">
        <v>3</v>
      </c>
      <c r="AH34" s="73">
        <v>100</v>
      </c>
      <c r="AI34" s="23">
        <v>0</v>
      </c>
      <c r="AJ34" s="23">
        <v>14731000</v>
      </c>
      <c r="AK34" s="23">
        <v>0</v>
      </c>
      <c r="AL34" s="23">
        <v>0</v>
      </c>
      <c r="AM34" s="23">
        <v>0</v>
      </c>
      <c r="AN34" s="23">
        <v>0</v>
      </c>
      <c r="AO34" s="23">
        <v>269000</v>
      </c>
      <c r="AP34" s="23">
        <v>0</v>
      </c>
      <c r="AQ34" s="23">
        <v>0</v>
      </c>
      <c r="AR34" s="23">
        <v>0</v>
      </c>
      <c r="AS34" s="23">
        <v>0</v>
      </c>
      <c r="AT34" s="23">
        <v>15000000</v>
      </c>
      <c r="AU34" s="23">
        <v>0</v>
      </c>
      <c r="AV34" s="23">
        <v>13912170</v>
      </c>
      <c r="AW34" s="23">
        <v>0</v>
      </c>
      <c r="AX34" s="23">
        <v>0</v>
      </c>
      <c r="AY34" s="23">
        <v>0</v>
      </c>
      <c r="AZ34" s="23">
        <v>0</v>
      </c>
      <c r="BA34" s="23">
        <v>1087830</v>
      </c>
      <c r="BB34" s="23">
        <v>0</v>
      </c>
      <c r="BC34" s="23">
        <v>0</v>
      </c>
      <c r="BD34" s="23">
        <v>0</v>
      </c>
      <c r="BE34" s="23">
        <v>0</v>
      </c>
      <c r="BF34" s="23">
        <v>15000000</v>
      </c>
      <c r="BG34" s="23">
        <v>0</v>
      </c>
      <c r="BH34" s="23">
        <v>10896022</v>
      </c>
      <c r="BI34" s="23">
        <v>0</v>
      </c>
      <c r="BJ34" s="23">
        <v>0</v>
      </c>
      <c r="BK34" s="23">
        <v>0</v>
      </c>
      <c r="BL34" s="23">
        <v>0</v>
      </c>
      <c r="BM34" s="23">
        <v>4103978</v>
      </c>
      <c r="BN34" s="23">
        <v>0</v>
      </c>
      <c r="BO34" s="23">
        <v>0</v>
      </c>
      <c r="BP34" s="23">
        <v>0</v>
      </c>
      <c r="BQ34" s="23">
        <v>0</v>
      </c>
      <c r="BR34" s="23">
        <v>15000000</v>
      </c>
      <c r="BS34" s="23">
        <v>0</v>
      </c>
      <c r="BT34" s="23">
        <v>7668743</v>
      </c>
      <c r="BU34" s="23">
        <v>0</v>
      </c>
      <c r="BV34" s="23">
        <v>0</v>
      </c>
      <c r="BW34" s="23">
        <v>0</v>
      </c>
      <c r="BX34" s="23">
        <v>0</v>
      </c>
      <c r="BY34" s="23">
        <v>7331257</v>
      </c>
      <c r="BZ34" s="23">
        <v>0</v>
      </c>
      <c r="CA34" s="23">
        <v>0</v>
      </c>
      <c r="CB34" s="23">
        <v>0</v>
      </c>
      <c r="CC34" s="23">
        <v>0</v>
      </c>
      <c r="CD34" s="23">
        <v>15000000</v>
      </c>
      <c r="CE34" s="23">
        <f t="shared" si="0"/>
        <v>60000000</v>
      </c>
    </row>
    <row r="35" spans="1:83" ht="15" customHeight="1" x14ac:dyDescent="0.3">
      <c r="A35" s="20" t="s">
        <v>741</v>
      </c>
      <c r="B35" s="20">
        <v>33</v>
      </c>
      <c r="C35" s="20" t="s">
        <v>83</v>
      </c>
      <c r="D35" s="20">
        <v>270030002</v>
      </c>
      <c r="E35" s="20" t="s">
        <v>760</v>
      </c>
      <c r="F35" s="20" t="s">
        <v>760</v>
      </c>
      <c r="G35" s="20" t="s">
        <v>798</v>
      </c>
      <c r="H35" s="29" t="s">
        <v>803</v>
      </c>
      <c r="I35" s="30" t="s">
        <v>803</v>
      </c>
      <c r="J35" s="30">
        <v>80</v>
      </c>
      <c r="K35" s="30">
        <v>3301</v>
      </c>
      <c r="L35" s="20" t="s">
        <v>84</v>
      </c>
      <c r="M35" s="30">
        <v>3301126</v>
      </c>
      <c r="N35" s="77" t="s">
        <v>1105</v>
      </c>
      <c r="O35" s="79">
        <v>202500000002378</v>
      </c>
      <c r="P35" s="20" t="s">
        <v>381</v>
      </c>
      <c r="Q35" s="46" t="s">
        <v>819</v>
      </c>
      <c r="R35" s="20" t="s">
        <v>382</v>
      </c>
      <c r="S35" s="20" t="s">
        <v>383</v>
      </c>
      <c r="T35" s="30">
        <v>330112600</v>
      </c>
      <c r="U35" s="20" t="s">
        <v>384</v>
      </c>
      <c r="V35" s="20" t="s">
        <v>18</v>
      </c>
      <c r="W35" s="30" t="s">
        <v>590</v>
      </c>
      <c r="X35" s="20" t="s">
        <v>770</v>
      </c>
      <c r="Y35" s="22">
        <v>3</v>
      </c>
      <c r="Z35" s="22">
        <v>16</v>
      </c>
      <c r="AA35" s="22">
        <v>4</v>
      </c>
      <c r="AB35" s="22">
        <v>4</v>
      </c>
      <c r="AC35" s="22">
        <v>4</v>
      </c>
      <c r="AD35" s="22">
        <v>4</v>
      </c>
      <c r="AE35" s="22">
        <v>4</v>
      </c>
      <c r="AF35" s="19">
        <f t="shared" si="1"/>
        <v>25</v>
      </c>
      <c r="AG35" s="22">
        <v>4</v>
      </c>
      <c r="AH35" s="73">
        <v>100</v>
      </c>
      <c r="AI35" s="23">
        <v>0</v>
      </c>
      <c r="AJ35" s="23">
        <v>64000000</v>
      </c>
      <c r="AK35" s="23">
        <v>0</v>
      </c>
      <c r="AL35" s="23">
        <v>0</v>
      </c>
      <c r="AM35" s="23">
        <v>0</v>
      </c>
      <c r="AN35" s="23">
        <v>0</v>
      </c>
      <c r="AO35" s="23">
        <v>0</v>
      </c>
      <c r="AP35" s="23">
        <v>0</v>
      </c>
      <c r="AQ35" s="23">
        <v>0</v>
      </c>
      <c r="AR35" s="23">
        <v>0</v>
      </c>
      <c r="AS35" s="23">
        <v>0</v>
      </c>
      <c r="AT35" s="23">
        <v>64000000</v>
      </c>
      <c r="AU35" s="23">
        <v>0</v>
      </c>
      <c r="AV35" s="23">
        <v>64000000</v>
      </c>
      <c r="AW35" s="23">
        <v>0</v>
      </c>
      <c r="AX35" s="23">
        <v>0</v>
      </c>
      <c r="AY35" s="23">
        <v>0</v>
      </c>
      <c r="AZ35" s="23">
        <v>0</v>
      </c>
      <c r="BA35" s="23">
        <v>0</v>
      </c>
      <c r="BB35" s="23">
        <v>0</v>
      </c>
      <c r="BC35" s="23">
        <v>0</v>
      </c>
      <c r="BD35" s="23">
        <v>0</v>
      </c>
      <c r="BE35" s="23">
        <v>0</v>
      </c>
      <c r="BF35" s="23">
        <v>64000000</v>
      </c>
      <c r="BG35" s="23">
        <v>40000000</v>
      </c>
      <c r="BH35" s="23">
        <v>24000000</v>
      </c>
      <c r="BI35" s="23">
        <v>0</v>
      </c>
      <c r="BJ35" s="23">
        <v>0</v>
      </c>
      <c r="BK35" s="23">
        <v>0</v>
      </c>
      <c r="BL35" s="23">
        <v>0</v>
      </c>
      <c r="BM35" s="23">
        <v>0</v>
      </c>
      <c r="BN35" s="23">
        <v>0</v>
      </c>
      <c r="BO35" s="23">
        <v>0</v>
      </c>
      <c r="BP35" s="23">
        <v>0</v>
      </c>
      <c r="BQ35" s="23">
        <v>0</v>
      </c>
      <c r="BR35" s="23">
        <v>64000000</v>
      </c>
      <c r="BS35" s="23">
        <v>0</v>
      </c>
      <c r="BT35" s="23">
        <v>64000000</v>
      </c>
      <c r="BU35" s="23">
        <v>0</v>
      </c>
      <c r="BV35" s="23">
        <v>0</v>
      </c>
      <c r="BW35" s="23">
        <v>0</v>
      </c>
      <c r="BX35" s="23">
        <v>0</v>
      </c>
      <c r="BY35" s="23">
        <v>0</v>
      </c>
      <c r="BZ35" s="23">
        <v>0</v>
      </c>
      <c r="CA35" s="23">
        <v>0</v>
      </c>
      <c r="CB35" s="23">
        <v>0</v>
      </c>
      <c r="CC35" s="23">
        <v>0</v>
      </c>
      <c r="CD35" s="23">
        <v>64000000</v>
      </c>
      <c r="CE35" s="23">
        <f t="shared" ref="CE35:CE66" si="2">+CD35+BR35+BF35+AT35</f>
        <v>256000000</v>
      </c>
    </row>
    <row r="36" spans="1:83" ht="15" customHeight="1" x14ac:dyDescent="0.3">
      <c r="A36" s="20" t="s">
        <v>741</v>
      </c>
      <c r="B36" s="20">
        <v>41</v>
      </c>
      <c r="C36" s="20" t="s">
        <v>12</v>
      </c>
      <c r="D36" s="24">
        <v>20100040</v>
      </c>
      <c r="E36" s="20" t="s">
        <v>763</v>
      </c>
      <c r="F36" s="20" t="s">
        <v>719</v>
      </c>
      <c r="G36" s="20" t="s">
        <v>780</v>
      </c>
      <c r="H36" s="29">
        <v>0</v>
      </c>
      <c r="I36" s="30">
        <v>2021</v>
      </c>
      <c r="J36" s="30">
        <v>0</v>
      </c>
      <c r="K36" s="30">
        <v>4104</v>
      </c>
      <c r="L36" s="20" t="s">
        <v>482</v>
      </c>
      <c r="M36" s="30">
        <v>4104008</v>
      </c>
      <c r="N36" s="77" t="s">
        <v>1106</v>
      </c>
      <c r="O36" s="79">
        <v>202500000002043</v>
      </c>
      <c r="P36" s="20" t="s">
        <v>483</v>
      </c>
      <c r="Q36" s="46"/>
      <c r="R36" s="20" t="s">
        <v>484</v>
      </c>
      <c r="S36" s="20" t="s">
        <v>485</v>
      </c>
      <c r="T36" s="30">
        <v>410400800</v>
      </c>
      <c r="U36" s="20" t="s">
        <v>486</v>
      </c>
      <c r="V36" s="20" t="s">
        <v>18</v>
      </c>
      <c r="W36" s="30">
        <v>1.3</v>
      </c>
      <c r="X36" s="20" t="s">
        <v>770</v>
      </c>
      <c r="Y36" s="22">
        <v>700</v>
      </c>
      <c r="Z36" s="22">
        <v>720</v>
      </c>
      <c r="AA36" s="22">
        <v>180</v>
      </c>
      <c r="AB36" s="22">
        <v>180</v>
      </c>
      <c r="AC36" s="22">
        <v>180</v>
      </c>
      <c r="AD36" s="22">
        <v>180</v>
      </c>
      <c r="AE36" s="22">
        <v>200</v>
      </c>
      <c r="AF36" s="19">
        <f t="shared" si="1"/>
        <v>27.777777777777779</v>
      </c>
      <c r="AG36" s="22">
        <v>180</v>
      </c>
      <c r="AH36" s="73">
        <v>100</v>
      </c>
      <c r="AI36" s="23">
        <v>0</v>
      </c>
      <c r="AJ36" s="23">
        <v>135000000</v>
      </c>
      <c r="AK36" s="23">
        <v>0</v>
      </c>
      <c r="AL36" s="23">
        <v>0</v>
      </c>
      <c r="AM36" s="23">
        <v>0</v>
      </c>
      <c r="AN36" s="23">
        <v>0</v>
      </c>
      <c r="AO36" s="23">
        <v>0</v>
      </c>
      <c r="AP36" s="23">
        <v>0</v>
      </c>
      <c r="AQ36" s="23">
        <v>0</v>
      </c>
      <c r="AR36" s="23">
        <v>0</v>
      </c>
      <c r="AS36" s="23">
        <v>0</v>
      </c>
      <c r="AT36" s="23">
        <v>135000000</v>
      </c>
      <c r="AU36" s="23">
        <v>0</v>
      </c>
      <c r="AV36" s="23">
        <v>135000000</v>
      </c>
      <c r="AW36" s="23">
        <v>0</v>
      </c>
      <c r="AX36" s="23">
        <v>0</v>
      </c>
      <c r="AY36" s="23">
        <v>0</v>
      </c>
      <c r="AZ36" s="23">
        <v>0</v>
      </c>
      <c r="BA36" s="23">
        <v>0</v>
      </c>
      <c r="BB36" s="23">
        <v>0</v>
      </c>
      <c r="BC36" s="23">
        <v>0</v>
      </c>
      <c r="BD36" s="23">
        <v>0</v>
      </c>
      <c r="BE36" s="23">
        <v>0</v>
      </c>
      <c r="BF36" s="23">
        <v>135000000</v>
      </c>
      <c r="BG36" s="23">
        <v>0</v>
      </c>
      <c r="BH36" s="23">
        <v>135000000</v>
      </c>
      <c r="BI36" s="23">
        <v>0</v>
      </c>
      <c r="BJ36" s="23">
        <v>0</v>
      </c>
      <c r="BK36" s="23">
        <v>0</v>
      </c>
      <c r="BL36" s="23">
        <v>0</v>
      </c>
      <c r="BM36" s="23">
        <v>0</v>
      </c>
      <c r="BN36" s="23">
        <v>0</v>
      </c>
      <c r="BO36" s="23">
        <v>0</v>
      </c>
      <c r="BP36" s="23">
        <v>0</v>
      </c>
      <c r="BQ36" s="23">
        <v>0</v>
      </c>
      <c r="BR36" s="23">
        <v>135000000</v>
      </c>
      <c r="BS36" s="23">
        <v>0</v>
      </c>
      <c r="BT36" s="23">
        <v>135000000</v>
      </c>
      <c r="BU36" s="23">
        <v>0</v>
      </c>
      <c r="BV36" s="23">
        <v>0</v>
      </c>
      <c r="BW36" s="23">
        <v>0</v>
      </c>
      <c r="BX36" s="23">
        <v>0</v>
      </c>
      <c r="BY36" s="23">
        <v>0</v>
      </c>
      <c r="BZ36" s="23">
        <v>0</v>
      </c>
      <c r="CA36" s="23">
        <v>0</v>
      </c>
      <c r="CB36" s="23">
        <v>0</v>
      </c>
      <c r="CC36" s="23">
        <v>0</v>
      </c>
      <c r="CD36" s="23">
        <v>135000000</v>
      </c>
      <c r="CE36" s="23">
        <f t="shared" si="2"/>
        <v>540000000</v>
      </c>
    </row>
    <row r="37" spans="1:83" ht="15" customHeight="1" x14ac:dyDescent="0.3">
      <c r="A37" s="20" t="s">
        <v>741</v>
      </c>
      <c r="B37" s="20">
        <v>41</v>
      </c>
      <c r="C37" s="20" t="s">
        <v>12</v>
      </c>
      <c r="D37" s="24">
        <v>20100040</v>
      </c>
      <c r="E37" s="20" t="s">
        <v>763</v>
      </c>
      <c r="F37" s="20" t="s">
        <v>719</v>
      </c>
      <c r="G37" s="20" t="s">
        <v>780</v>
      </c>
      <c r="H37" s="29">
        <v>0</v>
      </c>
      <c r="I37" s="30">
        <v>2021</v>
      </c>
      <c r="J37" s="30">
        <v>0</v>
      </c>
      <c r="K37" s="30">
        <v>4104</v>
      </c>
      <c r="L37" s="20" t="s">
        <v>482</v>
      </c>
      <c r="M37" s="30">
        <v>4104014</v>
      </c>
      <c r="N37" s="77" t="s">
        <v>1106</v>
      </c>
      <c r="O37" s="79">
        <v>202500000002043</v>
      </c>
      <c r="P37" s="20" t="s">
        <v>487</v>
      </c>
      <c r="Q37" s="46"/>
      <c r="R37" s="20" t="s">
        <v>488</v>
      </c>
      <c r="S37" s="20" t="s">
        <v>489</v>
      </c>
      <c r="T37" s="30">
        <v>410401400</v>
      </c>
      <c r="U37" s="20" t="s">
        <v>490</v>
      </c>
      <c r="V37" s="20" t="s">
        <v>18</v>
      </c>
      <c r="W37" s="30">
        <v>1.3</v>
      </c>
      <c r="X37" s="20" t="s">
        <v>770</v>
      </c>
      <c r="Y37" s="22">
        <v>0</v>
      </c>
      <c r="Z37" s="22">
        <v>1</v>
      </c>
      <c r="AA37" s="22">
        <v>0</v>
      </c>
      <c r="AB37" s="22">
        <v>0</v>
      </c>
      <c r="AC37" s="22">
        <v>1</v>
      </c>
      <c r="AD37" s="22">
        <v>0</v>
      </c>
      <c r="AE37" s="22"/>
      <c r="AF37" s="19">
        <f t="shared" si="1"/>
        <v>0</v>
      </c>
      <c r="AG37" s="22" t="s">
        <v>1048</v>
      </c>
      <c r="AH37" s="73" t="s">
        <v>1048</v>
      </c>
      <c r="AI37" s="23">
        <v>0</v>
      </c>
      <c r="AJ37" s="23">
        <v>0</v>
      </c>
      <c r="AK37" s="23">
        <v>0</v>
      </c>
      <c r="AL37" s="23">
        <v>0</v>
      </c>
      <c r="AM37" s="23">
        <v>0</v>
      </c>
      <c r="AN37" s="23">
        <v>0</v>
      </c>
      <c r="AO37" s="23">
        <v>0</v>
      </c>
      <c r="AP37" s="23">
        <v>0</v>
      </c>
      <c r="AQ37" s="23">
        <v>0</v>
      </c>
      <c r="AR37" s="23">
        <v>0</v>
      </c>
      <c r="AS37" s="23">
        <v>0</v>
      </c>
      <c r="AT37" s="23">
        <v>0</v>
      </c>
      <c r="AU37" s="23">
        <v>0</v>
      </c>
      <c r="AV37" s="23">
        <v>0</v>
      </c>
      <c r="AW37" s="23">
        <v>0</v>
      </c>
      <c r="AX37" s="23">
        <v>0</v>
      </c>
      <c r="AY37" s="23">
        <v>0</v>
      </c>
      <c r="AZ37" s="23">
        <v>0</v>
      </c>
      <c r="BA37" s="23">
        <v>0</v>
      </c>
      <c r="BB37" s="23">
        <v>0</v>
      </c>
      <c r="BC37" s="23">
        <v>0</v>
      </c>
      <c r="BD37" s="23">
        <v>0</v>
      </c>
      <c r="BE37" s="23">
        <v>0</v>
      </c>
      <c r="BF37" s="23">
        <v>0</v>
      </c>
      <c r="BG37" s="23">
        <v>25000000</v>
      </c>
      <c r="BH37" s="23">
        <v>0</v>
      </c>
      <c r="BI37" s="23">
        <v>0</v>
      </c>
      <c r="BJ37" s="23">
        <v>0</v>
      </c>
      <c r="BK37" s="23">
        <v>0</v>
      </c>
      <c r="BL37" s="23">
        <v>0</v>
      </c>
      <c r="BM37" s="23">
        <v>0</v>
      </c>
      <c r="BN37" s="23">
        <v>0</v>
      </c>
      <c r="BO37" s="23">
        <v>0</v>
      </c>
      <c r="BP37" s="23">
        <v>0</v>
      </c>
      <c r="BQ37" s="23">
        <v>0</v>
      </c>
      <c r="BR37" s="23">
        <v>25000000</v>
      </c>
      <c r="BS37" s="23">
        <v>0</v>
      </c>
      <c r="BT37" s="23">
        <v>0</v>
      </c>
      <c r="BU37" s="23">
        <v>0</v>
      </c>
      <c r="BV37" s="23">
        <v>0</v>
      </c>
      <c r="BW37" s="23">
        <v>0</v>
      </c>
      <c r="BX37" s="23">
        <v>0</v>
      </c>
      <c r="BY37" s="23">
        <v>0</v>
      </c>
      <c r="BZ37" s="23">
        <v>0</v>
      </c>
      <c r="CA37" s="23">
        <v>0</v>
      </c>
      <c r="CB37" s="23">
        <v>0</v>
      </c>
      <c r="CC37" s="23">
        <v>0</v>
      </c>
      <c r="CD37" s="23">
        <v>0</v>
      </c>
      <c r="CE37" s="23">
        <f t="shared" si="2"/>
        <v>25000000</v>
      </c>
    </row>
    <row r="38" spans="1:83" ht="15" customHeight="1" x14ac:dyDescent="0.3">
      <c r="A38" s="20" t="s">
        <v>741</v>
      </c>
      <c r="B38" s="20">
        <v>41</v>
      </c>
      <c r="C38" s="20" t="s">
        <v>12</v>
      </c>
      <c r="D38" s="24">
        <v>20100040</v>
      </c>
      <c r="E38" s="20" t="s">
        <v>763</v>
      </c>
      <c r="F38" s="20" t="s">
        <v>719</v>
      </c>
      <c r="G38" s="20" t="s">
        <v>780</v>
      </c>
      <c r="H38" s="29">
        <v>0</v>
      </c>
      <c r="I38" s="30">
        <v>2021</v>
      </c>
      <c r="J38" s="30">
        <v>0</v>
      </c>
      <c r="K38" s="30">
        <v>4104</v>
      </c>
      <c r="L38" s="20" t="s">
        <v>482</v>
      </c>
      <c r="M38" s="30">
        <v>4104020</v>
      </c>
      <c r="N38" s="77" t="s">
        <v>1106</v>
      </c>
      <c r="O38" s="79">
        <v>202500000002043</v>
      </c>
      <c r="P38" s="20" t="s">
        <v>491</v>
      </c>
      <c r="Q38" s="46"/>
      <c r="R38" s="20" t="s">
        <v>492</v>
      </c>
      <c r="S38" s="20" t="s">
        <v>40</v>
      </c>
      <c r="T38" s="30">
        <v>410402000</v>
      </c>
      <c r="U38" s="20" t="s">
        <v>493</v>
      </c>
      <c r="V38" s="20" t="s">
        <v>18</v>
      </c>
      <c r="W38" s="30">
        <v>1.3</v>
      </c>
      <c r="X38" s="20" t="s">
        <v>770</v>
      </c>
      <c r="Y38" s="22" t="s">
        <v>636</v>
      </c>
      <c r="Z38" s="22">
        <v>100</v>
      </c>
      <c r="AA38" s="22">
        <v>25</v>
      </c>
      <c r="AB38" s="22">
        <v>25</v>
      </c>
      <c r="AC38" s="22">
        <v>25</v>
      </c>
      <c r="AD38" s="22">
        <v>25</v>
      </c>
      <c r="AE38" s="22">
        <v>30</v>
      </c>
      <c r="AF38" s="19">
        <f t="shared" si="1"/>
        <v>30</v>
      </c>
      <c r="AG38" s="22">
        <v>0</v>
      </c>
      <c r="AH38" s="73">
        <v>0</v>
      </c>
      <c r="AI38" s="23">
        <v>0</v>
      </c>
      <c r="AJ38" s="23">
        <v>18750000</v>
      </c>
      <c r="AK38" s="23">
        <v>0</v>
      </c>
      <c r="AL38" s="23">
        <v>0</v>
      </c>
      <c r="AM38" s="23">
        <v>0</v>
      </c>
      <c r="AN38" s="23">
        <v>0</v>
      </c>
      <c r="AO38" s="23">
        <v>0</v>
      </c>
      <c r="AP38" s="23">
        <v>0</v>
      </c>
      <c r="AQ38" s="23">
        <v>0</v>
      </c>
      <c r="AR38" s="23">
        <v>0</v>
      </c>
      <c r="AS38" s="23">
        <v>0</v>
      </c>
      <c r="AT38" s="23">
        <v>18750000</v>
      </c>
      <c r="AU38" s="23">
        <v>0</v>
      </c>
      <c r="AV38" s="23">
        <v>18750000</v>
      </c>
      <c r="AW38" s="23">
        <v>0</v>
      </c>
      <c r="AX38" s="23">
        <v>0</v>
      </c>
      <c r="AY38" s="23">
        <v>0</v>
      </c>
      <c r="AZ38" s="23">
        <v>0</v>
      </c>
      <c r="BA38" s="23">
        <v>0</v>
      </c>
      <c r="BB38" s="23">
        <v>0</v>
      </c>
      <c r="BC38" s="23">
        <v>0</v>
      </c>
      <c r="BD38" s="23">
        <v>0</v>
      </c>
      <c r="BE38" s="23">
        <v>0</v>
      </c>
      <c r="BF38" s="23">
        <v>18750000</v>
      </c>
      <c r="BG38" s="23">
        <v>0</v>
      </c>
      <c r="BH38" s="23">
        <v>18750000</v>
      </c>
      <c r="BI38" s="23">
        <v>0</v>
      </c>
      <c r="BJ38" s="23">
        <v>0</v>
      </c>
      <c r="BK38" s="23">
        <v>0</v>
      </c>
      <c r="BL38" s="23">
        <v>0</v>
      </c>
      <c r="BM38" s="23">
        <v>0</v>
      </c>
      <c r="BN38" s="23">
        <v>0</v>
      </c>
      <c r="BO38" s="23">
        <v>0</v>
      </c>
      <c r="BP38" s="23">
        <v>0</v>
      </c>
      <c r="BQ38" s="23">
        <v>0</v>
      </c>
      <c r="BR38" s="23">
        <v>18750000</v>
      </c>
      <c r="BS38" s="23">
        <v>0</v>
      </c>
      <c r="BT38" s="23">
        <v>18750000</v>
      </c>
      <c r="BU38" s="23">
        <v>0</v>
      </c>
      <c r="BV38" s="23">
        <v>0</v>
      </c>
      <c r="BW38" s="23">
        <v>0</v>
      </c>
      <c r="BX38" s="23">
        <v>0</v>
      </c>
      <c r="BY38" s="23">
        <v>0</v>
      </c>
      <c r="BZ38" s="23">
        <v>0</v>
      </c>
      <c r="CA38" s="23">
        <v>0</v>
      </c>
      <c r="CB38" s="23">
        <v>0</v>
      </c>
      <c r="CC38" s="23">
        <v>0</v>
      </c>
      <c r="CD38" s="23">
        <v>18750000</v>
      </c>
      <c r="CE38" s="23">
        <f t="shared" si="2"/>
        <v>75000000</v>
      </c>
    </row>
    <row r="39" spans="1:83" ht="15" customHeight="1" x14ac:dyDescent="0.3">
      <c r="A39" s="20" t="s">
        <v>741</v>
      </c>
      <c r="B39" s="20">
        <v>41</v>
      </c>
      <c r="C39" s="20" t="s">
        <v>12</v>
      </c>
      <c r="D39" s="20">
        <v>140010004</v>
      </c>
      <c r="E39" s="20" t="s">
        <v>709</v>
      </c>
      <c r="F39" s="20" t="s">
        <v>679</v>
      </c>
      <c r="G39" s="20" t="s">
        <v>774</v>
      </c>
      <c r="H39" s="29">
        <v>30.7</v>
      </c>
      <c r="I39" s="30">
        <v>2018</v>
      </c>
      <c r="J39" s="30">
        <v>35</v>
      </c>
      <c r="K39" s="30">
        <v>4104</v>
      </c>
      <c r="L39" s="20" t="s">
        <v>482</v>
      </c>
      <c r="M39" s="30">
        <v>4104027</v>
      </c>
      <c r="N39" s="77" t="s">
        <v>1106</v>
      </c>
      <c r="O39" s="79">
        <v>202500000002043</v>
      </c>
      <c r="P39" s="20" t="s">
        <v>494</v>
      </c>
      <c r="Q39" s="46"/>
      <c r="R39" s="20" t="s">
        <v>495</v>
      </c>
      <c r="S39" s="20" t="s">
        <v>40</v>
      </c>
      <c r="T39" s="30">
        <v>410402700</v>
      </c>
      <c r="U39" s="20" t="s">
        <v>496</v>
      </c>
      <c r="V39" s="20" t="s">
        <v>18</v>
      </c>
      <c r="W39" s="30">
        <v>1.3</v>
      </c>
      <c r="X39" s="20" t="s">
        <v>19</v>
      </c>
      <c r="Y39" s="22">
        <v>5</v>
      </c>
      <c r="Z39" s="22">
        <v>20</v>
      </c>
      <c r="AA39" s="22">
        <v>5</v>
      </c>
      <c r="AB39" s="22">
        <v>5</v>
      </c>
      <c r="AC39" s="22">
        <v>5</v>
      </c>
      <c r="AD39" s="22">
        <v>5</v>
      </c>
      <c r="AE39" s="22">
        <v>1</v>
      </c>
      <c r="AF39" s="19">
        <f t="shared" si="1"/>
        <v>5</v>
      </c>
      <c r="AG39" s="22">
        <v>0</v>
      </c>
      <c r="AH39" s="73">
        <v>0</v>
      </c>
      <c r="AI39" s="23">
        <v>0</v>
      </c>
      <c r="AJ39" s="23">
        <v>12500000</v>
      </c>
      <c r="AK39" s="23">
        <v>0</v>
      </c>
      <c r="AL39" s="23">
        <v>0</v>
      </c>
      <c r="AM39" s="23">
        <v>0</v>
      </c>
      <c r="AN39" s="23">
        <v>0</v>
      </c>
      <c r="AO39" s="23">
        <v>0</v>
      </c>
      <c r="AP39" s="23">
        <v>0</v>
      </c>
      <c r="AQ39" s="23">
        <v>0</v>
      </c>
      <c r="AR39" s="23">
        <v>0</v>
      </c>
      <c r="AS39" s="23">
        <v>0</v>
      </c>
      <c r="AT39" s="23">
        <v>12500000</v>
      </c>
      <c r="AU39" s="23">
        <v>0</v>
      </c>
      <c r="AV39" s="23">
        <v>12500000</v>
      </c>
      <c r="AW39" s="23">
        <v>0</v>
      </c>
      <c r="AX39" s="23">
        <v>0</v>
      </c>
      <c r="AY39" s="23">
        <v>0</v>
      </c>
      <c r="AZ39" s="23">
        <v>0</v>
      </c>
      <c r="BA39" s="23">
        <v>0</v>
      </c>
      <c r="BB39" s="23">
        <v>0</v>
      </c>
      <c r="BC39" s="23">
        <v>0</v>
      </c>
      <c r="BD39" s="23">
        <v>0</v>
      </c>
      <c r="BE39" s="23">
        <v>0</v>
      </c>
      <c r="BF39" s="23">
        <v>12500000</v>
      </c>
      <c r="BG39" s="23">
        <v>0</v>
      </c>
      <c r="BH39" s="23">
        <v>12500000</v>
      </c>
      <c r="BI39" s="23">
        <v>0</v>
      </c>
      <c r="BJ39" s="23">
        <v>0</v>
      </c>
      <c r="BK39" s="23">
        <v>0</v>
      </c>
      <c r="BL39" s="23">
        <v>0</v>
      </c>
      <c r="BM39" s="23">
        <v>0</v>
      </c>
      <c r="BN39" s="23">
        <v>0</v>
      </c>
      <c r="BO39" s="23">
        <v>0</v>
      </c>
      <c r="BP39" s="23">
        <v>0</v>
      </c>
      <c r="BQ39" s="23">
        <v>0</v>
      </c>
      <c r="BR39" s="23">
        <v>12500000</v>
      </c>
      <c r="BS39" s="23">
        <v>0</v>
      </c>
      <c r="BT39" s="23">
        <v>12500000</v>
      </c>
      <c r="BU39" s="23">
        <v>0</v>
      </c>
      <c r="BV39" s="23">
        <v>0</v>
      </c>
      <c r="BW39" s="23">
        <v>0</v>
      </c>
      <c r="BX39" s="23">
        <v>0</v>
      </c>
      <c r="BY39" s="23">
        <v>0</v>
      </c>
      <c r="BZ39" s="23">
        <v>0</v>
      </c>
      <c r="CA39" s="23">
        <v>0</v>
      </c>
      <c r="CB39" s="23">
        <v>0</v>
      </c>
      <c r="CC39" s="23">
        <v>0</v>
      </c>
      <c r="CD39" s="23">
        <v>12500000</v>
      </c>
      <c r="CE39" s="23">
        <f t="shared" si="2"/>
        <v>50000000</v>
      </c>
    </row>
    <row r="40" spans="1:83" ht="15" customHeight="1" x14ac:dyDescent="0.3">
      <c r="A40" s="20" t="s">
        <v>741</v>
      </c>
      <c r="B40" s="20">
        <v>19</v>
      </c>
      <c r="C40" s="20" t="s">
        <v>47</v>
      </c>
      <c r="D40" s="20">
        <v>80030002</v>
      </c>
      <c r="E40" s="20" t="s">
        <v>752</v>
      </c>
      <c r="F40" s="20" t="s">
        <v>719</v>
      </c>
      <c r="G40" s="20" t="s">
        <v>777</v>
      </c>
      <c r="H40" s="29">
        <v>75.596100000000007</v>
      </c>
      <c r="I40" s="30">
        <v>2022</v>
      </c>
      <c r="J40" s="30">
        <v>85</v>
      </c>
      <c r="K40" s="30">
        <v>1906</v>
      </c>
      <c r="L40" s="20" t="s">
        <v>479</v>
      </c>
      <c r="M40" s="30">
        <v>1906005</v>
      </c>
      <c r="N40" s="77" t="s">
        <v>1107</v>
      </c>
      <c r="O40" s="79">
        <v>202500000006564</v>
      </c>
      <c r="P40" s="25" t="s">
        <v>599</v>
      </c>
      <c r="Q40" s="46"/>
      <c r="R40" s="25" t="s">
        <v>738</v>
      </c>
      <c r="S40" s="25" t="s">
        <v>481</v>
      </c>
      <c r="T40" s="32">
        <v>190600500</v>
      </c>
      <c r="U40" s="25" t="s">
        <v>599</v>
      </c>
      <c r="V40" s="25" t="s">
        <v>18</v>
      </c>
      <c r="W40" s="30">
        <v>3.8</v>
      </c>
      <c r="X40" s="20" t="s">
        <v>770</v>
      </c>
      <c r="Y40" s="22">
        <v>1</v>
      </c>
      <c r="Z40" s="22">
        <v>1</v>
      </c>
      <c r="AA40" s="22">
        <v>0</v>
      </c>
      <c r="AB40" s="22">
        <v>0</v>
      </c>
      <c r="AC40" s="22">
        <v>1</v>
      </c>
      <c r="AD40" s="22">
        <v>0</v>
      </c>
      <c r="AE40" s="22"/>
      <c r="AF40" s="19">
        <f t="shared" si="1"/>
        <v>0</v>
      </c>
      <c r="AG40" s="22" t="s">
        <v>1048</v>
      </c>
      <c r="AH40" s="73" t="s">
        <v>1048</v>
      </c>
      <c r="AI40" s="23">
        <v>0</v>
      </c>
      <c r="AJ40" s="23">
        <v>0</v>
      </c>
      <c r="AK40" s="23">
        <v>0</v>
      </c>
      <c r="AL40" s="23">
        <v>0</v>
      </c>
      <c r="AM40" s="23">
        <v>0</v>
      </c>
      <c r="AN40" s="23">
        <v>0</v>
      </c>
      <c r="AO40" s="23">
        <v>0</v>
      </c>
      <c r="AP40" s="23">
        <v>0</v>
      </c>
      <c r="AQ40" s="23">
        <v>0</v>
      </c>
      <c r="AR40" s="23">
        <v>0</v>
      </c>
      <c r="AS40" s="23">
        <v>0</v>
      </c>
      <c r="AT40" s="23">
        <v>0</v>
      </c>
      <c r="AU40" s="23">
        <v>0</v>
      </c>
      <c r="AV40" s="23">
        <v>0</v>
      </c>
      <c r="AW40" s="23">
        <v>0</v>
      </c>
      <c r="AX40" s="23">
        <v>0</v>
      </c>
      <c r="AY40" s="23">
        <v>0</v>
      </c>
      <c r="AZ40" s="23">
        <v>0</v>
      </c>
      <c r="BA40" s="23">
        <v>0</v>
      </c>
      <c r="BB40" s="23">
        <v>0</v>
      </c>
      <c r="BC40" s="23">
        <v>0</v>
      </c>
      <c r="BD40" s="23">
        <v>0</v>
      </c>
      <c r="BE40" s="23">
        <v>0</v>
      </c>
      <c r="BF40" s="23">
        <v>0</v>
      </c>
      <c r="BG40" s="23">
        <v>0</v>
      </c>
      <c r="BH40" s="23">
        <v>0</v>
      </c>
      <c r="BI40" s="23">
        <v>0</v>
      </c>
      <c r="BJ40" s="23">
        <v>10000000</v>
      </c>
      <c r="BK40" s="23">
        <v>0</v>
      </c>
      <c r="BL40" s="23">
        <v>0</v>
      </c>
      <c r="BM40" s="23">
        <v>0</v>
      </c>
      <c r="BN40" s="23">
        <v>0</v>
      </c>
      <c r="BO40" s="23">
        <v>70000000</v>
      </c>
      <c r="BP40" s="23">
        <v>0</v>
      </c>
      <c r="BQ40" s="23">
        <v>0</v>
      </c>
      <c r="BR40" s="23">
        <v>80000000</v>
      </c>
      <c r="BS40" s="23">
        <v>0</v>
      </c>
      <c r="BT40" s="23">
        <v>0</v>
      </c>
      <c r="BU40" s="23">
        <v>0</v>
      </c>
      <c r="BV40" s="23">
        <v>0</v>
      </c>
      <c r="BW40" s="23">
        <v>0</v>
      </c>
      <c r="BX40" s="23">
        <v>0</v>
      </c>
      <c r="BY40" s="23">
        <v>0</v>
      </c>
      <c r="BZ40" s="23">
        <v>0</v>
      </c>
      <c r="CA40" s="23">
        <v>0</v>
      </c>
      <c r="CB40" s="23">
        <v>0</v>
      </c>
      <c r="CC40" s="23">
        <v>0</v>
      </c>
      <c r="CD40" s="23">
        <v>0</v>
      </c>
      <c r="CE40" s="23">
        <f t="shared" si="2"/>
        <v>80000000</v>
      </c>
    </row>
    <row r="41" spans="1:83" ht="14.4" customHeight="1" x14ac:dyDescent="0.3">
      <c r="A41" s="20" t="s">
        <v>741</v>
      </c>
      <c r="B41" s="20">
        <v>19</v>
      </c>
      <c r="C41" s="20" t="s">
        <v>47</v>
      </c>
      <c r="D41" s="20">
        <v>80030002</v>
      </c>
      <c r="E41" s="20" t="s">
        <v>752</v>
      </c>
      <c r="F41" s="20" t="s">
        <v>719</v>
      </c>
      <c r="G41" s="20" t="s">
        <v>777</v>
      </c>
      <c r="H41" s="29">
        <v>75.596100000000007</v>
      </c>
      <c r="I41" s="30">
        <v>2022</v>
      </c>
      <c r="J41" s="30">
        <v>85</v>
      </c>
      <c r="K41" s="30">
        <v>1905</v>
      </c>
      <c r="L41" s="20" t="s">
        <v>497</v>
      </c>
      <c r="M41" s="30">
        <v>1905015</v>
      </c>
      <c r="N41" s="77" t="s">
        <v>1108</v>
      </c>
      <c r="O41" s="79">
        <v>202500000006572</v>
      </c>
      <c r="P41" s="20" t="s">
        <v>95</v>
      </c>
      <c r="Q41" s="46" t="s">
        <v>820</v>
      </c>
      <c r="R41" s="20" t="s">
        <v>356</v>
      </c>
      <c r="S41" s="20" t="s">
        <v>26</v>
      </c>
      <c r="T41" s="30">
        <v>190501500</v>
      </c>
      <c r="U41" s="20" t="s">
        <v>338</v>
      </c>
      <c r="V41" s="20" t="s">
        <v>18</v>
      </c>
      <c r="W41" s="30" t="s">
        <v>594</v>
      </c>
      <c r="X41" s="20" t="s">
        <v>770</v>
      </c>
      <c r="Y41" s="22">
        <v>1</v>
      </c>
      <c r="Z41" s="22">
        <v>4</v>
      </c>
      <c r="AA41" s="22">
        <v>1</v>
      </c>
      <c r="AB41" s="22">
        <v>1</v>
      </c>
      <c r="AC41" s="22">
        <v>1</v>
      </c>
      <c r="AD41" s="22">
        <v>1</v>
      </c>
      <c r="AE41" s="22">
        <v>2</v>
      </c>
      <c r="AF41" s="19">
        <f t="shared" si="1"/>
        <v>50</v>
      </c>
      <c r="AG41" s="39">
        <v>2</v>
      </c>
      <c r="AH41" s="75">
        <v>200</v>
      </c>
      <c r="AI41" s="23">
        <v>0</v>
      </c>
      <c r="AJ41" s="23">
        <v>0</v>
      </c>
      <c r="AK41" s="23">
        <v>0</v>
      </c>
      <c r="AL41" s="23">
        <v>15000000</v>
      </c>
      <c r="AM41" s="23">
        <v>0</v>
      </c>
      <c r="AN41" s="23">
        <v>0</v>
      </c>
      <c r="AO41" s="23">
        <v>0</v>
      </c>
      <c r="AP41" s="23">
        <v>0</v>
      </c>
      <c r="AQ41" s="23">
        <v>0</v>
      </c>
      <c r="AR41" s="23">
        <v>0</v>
      </c>
      <c r="AS41" s="23">
        <v>0</v>
      </c>
      <c r="AT41" s="23">
        <v>15000000</v>
      </c>
      <c r="AU41" s="23">
        <v>0</v>
      </c>
      <c r="AV41" s="23">
        <v>0</v>
      </c>
      <c r="AW41" s="23">
        <v>0</v>
      </c>
      <c r="AX41" s="23">
        <v>15000000</v>
      </c>
      <c r="AY41" s="23">
        <v>0</v>
      </c>
      <c r="AZ41" s="23">
        <v>0</v>
      </c>
      <c r="BA41" s="23">
        <v>0</v>
      </c>
      <c r="BB41" s="23">
        <v>0</v>
      </c>
      <c r="BC41" s="23">
        <v>0</v>
      </c>
      <c r="BD41" s="23">
        <v>0</v>
      </c>
      <c r="BE41" s="23">
        <v>0</v>
      </c>
      <c r="BF41" s="23">
        <v>15000000</v>
      </c>
      <c r="BG41" s="23">
        <v>8358662</v>
      </c>
      <c r="BH41" s="23">
        <v>0</v>
      </c>
      <c r="BI41" s="23">
        <v>0</v>
      </c>
      <c r="BJ41" s="23">
        <v>6641338</v>
      </c>
      <c r="BK41" s="23">
        <v>0</v>
      </c>
      <c r="BL41" s="23">
        <v>0</v>
      </c>
      <c r="BM41" s="23">
        <v>0</v>
      </c>
      <c r="BN41" s="23">
        <v>0</v>
      </c>
      <c r="BO41" s="23">
        <v>0</v>
      </c>
      <c r="BP41" s="23">
        <v>0</v>
      </c>
      <c r="BQ41" s="23">
        <v>0</v>
      </c>
      <c r="BR41" s="23">
        <v>15000000</v>
      </c>
      <c r="BS41" s="23">
        <v>0</v>
      </c>
      <c r="BT41" s="23">
        <v>0</v>
      </c>
      <c r="BU41" s="23">
        <v>0</v>
      </c>
      <c r="BV41" s="23">
        <v>15000000</v>
      </c>
      <c r="BW41" s="23">
        <v>0</v>
      </c>
      <c r="BX41" s="23">
        <v>0</v>
      </c>
      <c r="BY41" s="23">
        <v>0</v>
      </c>
      <c r="BZ41" s="23">
        <v>0</v>
      </c>
      <c r="CA41" s="23">
        <v>0</v>
      </c>
      <c r="CB41" s="23">
        <v>0</v>
      </c>
      <c r="CC41" s="23">
        <v>0</v>
      </c>
      <c r="CD41" s="23">
        <v>15000000</v>
      </c>
      <c r="CE41" s="23">
        <f t="shared" si="2"/>
        <v>60000000</v>
      </c>
    </row>
    <row r="42" spans="1:83" ht="14.4" customHeight="1" x14ac:dyDescent="0.3">
      <c r="A42" s="20" t="s">
        <v>741</v>
      </c>
      <c r="B42" s="20">
        <v>19</v>
      </c>
      <c r="C42" s="20" t="s">
        <v>47</v>
      </c>
      <c r="D42" s="20">
        <v>50020001</v>
      </c>
      <c r="E42" s="20" t="s">
        <v>753</v>
      </c>
      <c r="F42" s="20" t="s">
        <v>754</v>
      </c>
      <c r="G42" s="20" t="s">
        <v>781</v>
      </c>
      <c r="H42" s="29">
        <v>4.6224999999999996</v>
      </c>
      <c r="I42" s="30">
        <v>2020</v>
      </c>
      <c r="J42" s="30">
        <v>2</v>
      </c>
      <c r="K42" s="30">
        <v>1905</v>
      </c>
      <c r="L42" s="20" t="s">
        <v>497</v>
      </c>
      <c r="M42" s="30">
        <v>1905020</v>
      </c>
      <c r="N42" s="77" t="s">
        <v>1108</v>
      </c>
      <c r="O42" s="79">
        <v>202500000006572</v>
      </c>
      <c r="P42" s="20" t="s">
        <v>501</v>
      </c>
      <c r="Q42" s="46"/>
      <c r="R42" s="20" t="s">
        <v>502</v>
      </c>
      <c r="S42" s="20" t="s">
        <v>229</v>
      </c>
      <c r="T42" s="30">
        <v>190502000</v>
      </c>
      <c r="U42" s="20" t="s">
        <v>503</v>
      </c>
      <c r="V42" s="20" t="s">
        <v>504</v>
      </c>
      <c r="W42" s="30">
        <v>3.5</v>
      </c>
      <c r="X42" s="20" t="s">
        <v>770</v>
      </c>
      <c r="Y42" s="22">
        <v>1</v>
      </c>
      <c r="Z42" s="22">
        <v>4</v>
      </c>
      <c r="AA42" s="22">
        <v>1</v>
      </c>
      <c r="AB42" s="22">
        <v>1</v>
      </c>
      <c r="AC42" s="22">
        <v>1</v>
      </c>
      <c r="AD42" s="22">
        <v>1</v>
      </c>
      <c r="AE42" s="22">
        <v>1</v>
      </c>
      <c r="AF42" s="19">
        <f t="shared" si="1"/>
        <v>25</v>
      </c>
      <c r="AG42" s="22">
        <v>1</v>
      </c>
      <c r="AH42" s="73">
        <v>100</v>
      </c>
      <c r="AI42" s="23">
        <v>0</v>
      </c>
      <c r="AJ42" s="23">
        <v>0</v>
      </c>
      <c r="AK42" s="23">
        <v>0</v>
      </c>
      <c r="AL42" s="23">
        <v>9662500</v>
      </c>
      <c r="AM42" s="23">
        <v>0</v>
      </c>
      <c r="AN42" s="23">
        <v>0</v>
      </c>
      <c r="AO42" s="23">
        <v>0</v>
      </c>
      <c r="AP42" s="23">
        <v>0</v>
      </c>
      <c r="AQ42" s="23">
        <v>0</v>
      </c>
      <c r="AR42" s="23">
        <v>0</v>
      </c>
      <c r="AS42" s="23">
        <v>0</v>
      </c>
      <c r="AT42" s="23">
        <v>9662500</v>
      </c>
      <c r="AU42" s="23">
        <v>0</v>
      </c>
      <c r="AV42" s="23">
        <v>0</v>
      </c>
      <c r="AW42" s="23">
        <v>0</v>
      </c>
      <c r="AX42" s="23">
        <v>10662500</v>
      </c>
      <c r="AY42" s="23">
        <v>0</v>
      </c>
      <c r="AZ42" s="23">
        <v>0</v>
      </c>
      <c r="BA42" s="23">
        <v>0</v>
      </c>
      <c r="BB42" s="23">
        <v>0</v>
      </c>
      <c r="BC42" s="23">
        <v>0</v>
      </c>
      <c r="BD42" s="23">
        <v>0</v>
      </c>
      <c r="BE42" s="23">
        <v>0</v>
      </c>
      <c r="BF42" s="23">
        <v>10662500</v>
      </c>
      <c r="BG42" s="23">
        <v>0</v>
      </c>
      <c r="BH42" s="23">
        <v>0</v>
      </c>
      <c r="BI42" s="23">
        <v>0</v>
      </c>
      <c r="BJ42" s="23">
        <v>11662500</v>
      </c>
      <c r="BK42" s="23">
        <v>0</v>
      </c>
      <c r="BL42" s="23">
        <v>0</v>
      </c>
      <c r="BM42" s="23">
        <v>0</v>
      </c>
      <c r="BN42" s="23">
        <v>0</v>
      </c>
      <c r="BO42" s="23">
        <v>0</v>
      </c>
      <c r="BP42" s="23">
        <v>0</v>
      </c>
      <c r="BQ42" s="23">
        <v>0</v>
      </c>
      <c r="BR42" s="23">
        <v>11662500</v>
      </c>
      <c r="BS42" s="23">
        <v>0</v>
      </c>
      <c r="BT42" s="23">
        <v>0</v>
      </c>
      <c r="BU42" s="23">
        <v>0</v>
      </c>
      <c r="BV42" s="23">
        <v>12740000</v>
      </c>
      <c r="BW42" s="23">
        <v>0</v>
      </c>
      <c r="BX42" s="23">
        <v>0</v>
      </c>
      <c r="BY42" s="23">
        <v>0</v>
      </c>
      <c r="BZ42" s="23">
        <v>0</v>
      </c>
      <c r="CA42" s="23">
        <v>0</v>
      </c>
      <c r="CB42" s="23">
        <v>0</v>
      </c>
      <c r="CC42" s="23">
        <v>0</v>
      </c>
      <c r="CD42" s="23">
        <v>12740000</v>
      </c>
      <c r="CE42" s="23">
        <f t="shared" si="2"/>
        <v>44727500</v>
      </c>
    </row>
    <row r="43" spans="1:83" ht="14.4" customHeight="1" x14ac:dyDescent="0.3">
      <c r="A43" s="20" t="s">
        <v>741</v>
      </c>
      <c r="B43" s="20">
        <v>19</v>
      </c>
      <c r="C43" s="20" t="s">
        <v>47</v>
      </c>
      <c r="D43" s="20">
        <v>50020043</v>
      </c>
      <c r="E43" s="20" t="s">
        <v>748</v>
      </c>
      <c r="F43" s="20" t="s">
        <v>749</v>
      </c>
      <c r="G43" s="20" t="s">
        <v>782</v>
      </c>
      <c r="H43" s="29">
        <v>47.413800000000002</v>
      </c>
      <c r="I43" s="30">
        <v>2021</v>
      </c>
      <c r="J43" s="30">
        <v>15</v>
      </c>
      <c r="K43" s="30">
        <v>1905</v>
      </c>
      <c r="L43" s="20" t="s">
        <v>497</v>
      </c>
      <c r="M43" s="30">
        <v>1905021</v>
      </c>
      <c r="N43" s="77" t="s">
        <v>1108</v>
      </c>
      <c r="O43" s="79">
        <v>202500000006572</v>
      </c>
      <c r="P43" s="20" t="s">
        <v>505</v>
      </c>
      <c r="Q43" s="46"/>
      <c r="R43" s="20" t="s">
        <v>506</v>
      </c>
      <c r="S43" s="20" t="s">
        <v>229</v>
      </c>
      <c r="T43" s="30">
        <v>190502100</v>
      </c>
      <c r="U43" s="20" t="s">
        <v>507</v>
      </c>
      <c r="V43" s="20" t="s">
        <v>18</v>
      </c>
      <c r="W43" s="30">
        <v>3.7</v>
      </c>
      <c r="X43" s="20" t="s">
        <v>770</v>
      </c>
      <c r="Y43" s="22">
        <v>1</v>
      </c>
      <c r="Z43" s="22">
        <v>4</v>
      </c>
      <c r="AA43" s="22">
        <v>1</v>
      </c>
      <c r="AB43" s="22">
        <v>1</v>
      </c>
      <c r="AC43" s="22">
        <v>1</v>
      </c>
      <c r="AD43" s="22">
        <v>1</v>
      </c>
      <c r="AE43" s="22">
        <v>1</v>
      </c>
      <c r="AF43" s="19">
        <f>+AE43/Z43*100</f>
        <v>25</v>
      </c>
      <c r="AG43" s="22">
        <v>1</v>
      </c>
      <c r="AH43" s="73">
        <v>100</v>
      </c>
      <c r="AI43" s="23">
        <v>0</v>
      </c>
      <c r="AJ43" s="23">
        <v>0</v>
      </c>
      <c r="AK43" s="23">
        <v>0</v>
      </c>
      <c r="AL43" s="23">
        <v>9662500</v>
      </c>
      <c r="AM43" s="23">
        <v>0</v>
      </c>
      <c r="AN43" s="23">
        <v>0</v>
      </c>
      <c r="AO43" s="23">
        <v>0</v>
      </c>
      <c r="AP43" s="23">
        <v>0</v>
      </c>
      <c r="AQ43" s="23">
        <v>0</v>
      </c>
      <c r="AR43" s="23">
        <v>0</v>
      </c>
      <c r="AS43" s="23">
        <v>0</v>
      </c>
      <c r="AT43" s="23">
        <v>9662500</v>
      </c>
      <c r="AU43" s="23">
        <v>0</v>
      </c>
      <c r="AV43" s="23">
        <v>0</v>
      </c>
      <c r="AW43" s="23">
        <v>0</v>
      </c>
      <c r="AX43" s="23">
        <v>10662500</v>
      </c>
      <c r="AY43" s="23">
        <v>0</v>
      </c>
      <c r="AZ43" s="23">
        <v>0</v>
      </c>
      <c r="BA43" s="23">
        <v>0</v>
      </c>
      <c r="BB43" s="23">
        <v>0</v>
      </c>
      <c r="BC43" s="23">
        <v>0</v>
      </c>
      <c r="BD43" s="23">
        <v>0</v>
      </c>
      <c r="BE43" s="23">
        <v>0</v>
      </c>
      <c r="BF43" s="23">
        <v>10662500</v>
      </c>
      <c r="BG43" s="23">
        <v>0</v>
      </c>
      <c r="BH43" s="23">
        <v>0</v>
      </c>
      <c r="BI43" s="23">
        <v>0</v>
      </c>
      <c r="BJ43" s="23">
        <v>11662500</v>
      </c>
      <c r="BK43" s="23">
        <v>0</v>
      </c>
      <c r="BL43" s="23">
        <v>0</v>
      </c>
      <c r="BM43" s="23">
        <v>0</v>
      </c>
      <c r="BN43" s="23">
        <v>0</v>
      </c>
      <c r="BO43" s="23">
        <v>0</v>
      </c>
      <c r="BP43" s="23">
        <v>0</v>
      </c>
      <c r="BQ43" s="23">
        <v>0</v>
      </c>
      <c r="BR43" s="23">
        <v>11662500</v>
      </c>
      <c r="BS43" s="23">
        <v>0</v>
      </c>
      <c r="BT43" s="23">
        <v>0</v>
      </c>
      <c r="BU43" s="23">
        <v>0</v>
      </c>
      <c r="BV43" s="23">
        <v>12740000</v>
      </c>
      <c r="BW43" s="23">
        <v>0</v>
      </c>
      <c r="BX43" s="23">
        <v>0</v>
      </c>
      <c r="BY43" s="23">
        <v>0</v>
      </c>
      <c r="BZ43" s="23">
        <v>0</v>
      </c>
      <c r="CA43" s="23">
        <v>0</v>
      </c>
      <c r="CB43" s="23">
        <v>0</v>
      </c>
      <c r="CC43" s="23">
        <v>0</v>
      </c>
      <c r="CD43" s="23">
        <v>12740000</v>
      </c>
      <c r="CE43" s="23">
        <f t="shared" si="2"/>
        <v>44727500</v>
      </c>
    </row>
    <row r="44" spans="1:83" ht="14.4" customHeight="1" x14ac:dyDescent="0.3">
      <c r="A44" s="20" t="s">
        <v>741</v>
      </c>
      <c r="B44" s="20">
        <v>19</v>
      </c>
      <c r="C44" s="20" t="s">
        <v>47</v>
      </c>
      <c r="D44" s="20">
        <v>50020030</v>
      </c>
      <c r="E44" s="20" t="s">
        <v>750</v>
      </c>
      <c r="F44" s="20" t="s">
        <v>751</v>
      </c>
      <c r="G44" s="20" t="s">
        <v>782</v>
      </c>
      <c r="H44" s="29">
        <v>0</v>
      </c>
      <c r="I44" s="30">
        <v>2020</v>
      </c>
      <c r="J44" s="30">
        <v>0</v>
      </c>
      <c r="K44" s="30">
        <v>1905</v>
      </c>
      <c r="L44" s="20" t="s">
        <v>497</v>
      </c>
      <c r="M44" s="30">
        <v>1905022</v>
      </c>
      <c r="N44" s="77" t="s">
        <v>1108</v>
      </c>
      <c r="O44" s="79">
        <v>202500000006572</v>
      </c>
      <c r="P44" s="20" t="s">
        <v>508</v>
      </c>
      <c r="Q44" s="46"/>
      <c r="R44" s="20" t="s">
        <v>509</v>
      </c>
      <c r="S44" s="20" t="s">
        <v>229</v>
      </c>
      <c r="T44" s="30">
        <v>190502200</v>
      </c>
      <c r="U44" s="20" t="s">
        <v>510</v>
      </c>
      <c r="V44" s="20" t="s">
        <v>18</v>
      </c>
      <c r="W44" s="30">
        <v>3.4</v>
      </c>
      <c r="X44" s="20" t="s">
        <v>770</v>
      </c>
      <c r="Y44" s="22">
        <v>1</v>
      </c>
      <c r="Z44" s="22">
        <v>4</v>
      </c>
      <c r="AA44" s="22">
        <v>1</v>
      </c>
      <c r="AB44" s="22">
        <v>1</v>
      </c>
      <c r="AC44" s="22">
        <v>1</v>
      </c>
      <c r="AD44" s="22">
        <v>1</v>
      </c>
      <c r="AE44" s="22">
        <v>1</v>
      </c>
      <c r="AF44" s="19">
        <f t="shared" si="1"/>
        <v>25</v>
      </c>
      <c r="AG44" s="22">
        <v>2</v>
      </c>
      <c r="AH44" s="73">
        <v>200</v>
      </c>
      <c r="AI44" s="23">
        <v>0</v>
      </c>
      <c r="AJ44" s="23">
        <v>0</v>
      </c>
      <c r="AK44" s="23">
        <v>0</v>
      </c>
      <c r="AL44" s="23">
        <v>9662500</v>
      </c>
      <c r="AM44" s="23">
        <v>0</v>
      </c>
      <c r="AN44" s="23">
        <v>0</v>
      </c>
      <c r="AO44" s="23">
        <v>0</v>
      </c>
      <c r="AP44" s="23">
        <v>0</v>
      </c>
      <c r="AQ44" s="23">
        <v>0</v>
      </c>
      <c r="AR44" s="23">
        <v>0</v>
      </c>
      <c r="AS44" s="23">
        <v>0</v>
      </c>
      <c r="AT44" s="23">
        <v>9662500</v>
      </c>
      <c r="AU44" s="23">
        <v>0</v>
      </c>
      <c r="AV44" s="23">
        <v>0</v>
      </c>
      <c r="AW44" s="23">
        <v>0</v>
      </c>
      <c r="AX44" s="23">
        <v>10662500</v>
      </c>
      <c r="AY44" s="23">
        <v>0</v>
      </c>
      <c r="AZ44" s="23">
        <v>0</v>
      </c>
      <c r="BA44" s="23">
        <v>0</v>
      </c>
      <c r="BB44" s="23">
        <v>0</v>
      </c>
      <c r="BC44" s="23">
        <v>0</v>
      </c>
      <c r="BD44" s="23">
        <v>0</v>
      </c>
      <c r="BE44" s="23">
        <v>0</v>
      </c>
      <c r="BF44" s="23">
        <v>10662500</v>
      </c>
      <c r="BG44" s="23">
        <v>0</v>
      </c>
      <c r="BH44" s="23">
        <v>0</v>
      </c>
      <c r="BI44" s="23">
        <v>0</v>
      </c>
      <c r="BJ44" s="23">
        <v>11662500</v>
      </c>
      <c r="BK44" s="23">
        <v>0</v>
      </c>
      <c r="BL44" s="23">
        <v>0</v>
      </c>
      <c r="BM44" s="23">
        <v>0</v>
      </c>
      <c r="BN44" s="23">
        <v>0</v>
      </c>
      <c r="BO44" s="23">
        <v>0</v>
      </c>
      <c r="BP44" s="23">
        <v>0</v>
      </c>
      <c r="BQ44" s="23">
        <v>0</v>
      </c>
      <c r="BR44" s="23">
        <v>11662500</v>
      </c>
      <c r="BS44" s="23">
        <v>0</v>
      </c>
      <c r="BT44" s="23">
        <v>0</v>
      </c>
      <c r="BU44" s="23">
        <v>0</v>
      </c>
      <c r="BV44" s="23">
        <v>12740000</v>
      </c>
      <c r="BW44" s="23">
        <v>0</v>
      </c>
      <c r="BX44" s="23">
        <v>0</v>
      </c>
      <c r="BY44" s="23">
        <v>0</v>
      </c>
      <c r="BZ44" s="23">
        <v>0</v>
      </c>
      <c r="CA44" s="23">
        <v>0</v>
      </c>
      <c r="CB44" s="23">
        <v>0</v>
      </c>
      <c r="CC44" s="23">
        <v>0</v>
      </c>
      <c r="CD44" s="23">
        <v>12740000</v>
      </c>
      <c r="CE44" s="23">
        <f t="shared" si="2"/>
        <v>44727500</v>
      </c>
    </row>
    <row r="45" spans="1:83" ht="14.4" customHeight="1" x14ac:dyDescent="0.3">
      <c r="A45" s="20" t="s">
        <v>741</v>
      </c>
      <c r="B45" s="20">
        <v>19</v>
      </c>
      <c r="C45" s="20" t="s">
        <v>47</v>
      </c>
      <c r="D45" s="20">
        <v>50020001</v>
      </c>
      <c r="E45" s="20" t="s">
        <v>753</v>
      </c>
      <c r="F45" s="20" t="s">
        <v>754</v>
      </c>
      <c r="G45" s="20" t="s">
        <v>781</v>
      </c>
      <c r="H45" s="29">
        <v>4.6224999999999996</v>
      </c>
      <c r="I45" s="30">
        <v>2020</v>
      </c>
      <c r="J45" s="30">
        <v>2</v>
      </c>
      <c r="K45" s="30">
        <v>1905</v>
      </c>
      <c r="L45" s="20" t="s">
        <v>497</v>
      </c>
      <c r="M45" s="30">
        <v>1905023</v>
      </c>
      <c r="N45" s="77" t="s">
        <v>1108</v>
      </c>
      <c r="O45" s="79">
        <v>202500000006572</v>
      </c>
      <c r="P45" s="20" t="s">
        <v>511</v>
      </c>
      <c r="Q45" s="46"/>
      <c r="R45" s="20" t="s">
        <v>512</v>
      </c>
      <c r="S45" s="20" t="s">
        <v>229</v>
      </c>
      <c r="T45" s="30">
        <v>190502300</v>
      </c>
      <c r="U45" s="20" t="s">
        <v>513</v>
      </c>
      <c r="V45" s="20" t="s">
        <v>18</v>
      </c>
      <c r="W45" s="30">
        <v>3.4</v>
      </c>
      <c r="X45" s="20" t="s">
        <v>770</v>
      </c>
      <c r="Y45" s="22">
        <v>1</v>
      </c>
      <c r="Z45" s="22">
        <v>4</v>
      </c>
      <c r="AA45" s="22">
        <v>1</v>
      </c>
      <c r="AB45" s="22">
        <v>1</v>
      </c>
      <c r="AC45" s="22">
        <v>1</v>
      </c>
      <c r="AD45" s="22">
        <v>1</v>
      </c>
      <c r="AE45" s="22">
        <v>1</v>
      </c>
      <c r="AF45" s="19">
        <f t="shared" si="1"/>
        <v>25</v>
      </c>
      <c r="AG45" s="22">
        <v>1</v>
      </c>
      <c r="AH45" s="73">
        <v>100</v>
      </c>
      <c r="AI45" s="23">
        <v>0</v>
      </c>
      <c r="AJ45" s="23">
        <v>0</v>
      </c>
      <c r="AK45" s="23">
        <v>0</v>
      </c>
      <c r="AL45" s="23">
        <v>9662500</v>
      </c>
      <c r="AM45" s="23">
        <v>0</v>
      </c>
      <c r="AN45" s="23">
        <v>0</v>
      </c>
      <c r="AO45" s="23">
        <v>0</v>
      </c>
      <c r="AP45" s="23">
        <v>0</v>
      </c>
      <c r="AQ45" s="23">
        <v>0</v>
      </c>
      <c r="AR45" s="23">
        <v>0</v>
      </c>
      <c r="AS45" s="23">
        <v>0</v>
      </c>
      <c r="AT45" s="23">
        <v>9662500</v>
      </c>
      <c r="AU45" s="23">
        <v>0</v>
      </c>
      <c r="AV45" s="23">
        <v>0</v>
      </c>
      <c r="AW45" s="23">
        <v>0</v>
      </c>
      <c r="AX45" s="23">
        <v>10662500</v>
      </c>
      <c r="AY45" s="23">
        <v>0</v>
      </c>
      <c r="AZ45" s="23">
        <v>0</v>
      </c>
      <c r="BA45" s="23">
        <v>0</v>
      </c>
      <c r="BB45" s="23">
        <v>0</v>
      </c>
      <c r="BC45" s="23">
        <v>0</v>
      </c>
      <c r="BD45" s="23">
        <v>0</v>
      </c>
      <c r="BE45" s="23">
        <v>0</v>
      </c>
      <c r="BF45" s="23">
        <v>10662500</v>
      </c>
      <c r="BG45" s="23">
        <v>0</v>
      </c>
      <c r="BH45" s="23">
        <v>0</v>
      </c>
      <c r="BI45" s="23">
        <v>0</v>
      </c>
      <c r="BJ45" s="23">
        <v>11662500</v>
      </c>
      <c r="BK45" s="23">
        <v>0</v>
      </c>
      <c r="BL45" s="23">
        <v>0</v>
      </c>
      <c r="BM45" s="23">
        <v>0</v>
      </c>
      <c r="BN45" s="23">
        <v>0</v>
      </c>
      <c r="BO45" s="23">
        <v>0</v>
      </c>
      <c r="BP45" s="23">
        <v>0</v>
      </c>
      <c r="BQ45" s="23">
        <v>0</v>
      </c>
      <c r="BR45" s="23">
        <v>11662500</v>
      </c>
      <c r="BS45" s="23">
        <v>0</v>
      </c>
      <c r="BT45" s="23">
        <v>0</v>
      </c>
      <c r="BU45" s="23">
        <v>0</v>
      </c>
      <c r="BV45" s="23">
        <v>12740000</v>
      </c>
      <c r="BW45" s="23">
        <v>0</v>
      </c>
      <c r="BX45" s="23">
        <v>0</v>
      </c>
      <c r="BY45" s="23">
        <v>0</v>
      </c>
      <c r="BZ45" s="23">
        <v>0</v>
      </c>
      <c r="CA45" s="23">
        <v>0</v>
      </c>
      <c r="CB45" s="23">
        <v>0</v>
      </c>
      <c r="CC45" s="23">
        <v>0</v>
      </c>
      <c r="CD45" s="23">
        <v>12740000</v>
      </c>
      <c r="CE45" s="23">
        <f t="shared" si="2"/>
        <v>44727500</v>
      </c>
    </row>
    <row r="46" spans="1:83" ht="14.4" customHeight="1" x14ac:dyDescent="0.3">
      <c r="A46" s="20" t="s">
        <v>741</v>
      </c>
      <c r="B46" s="20">
        <v>19</v>
      </c>
      <c r="C46" s="20" t="s">
        <v>47</v>
      </c>
      <c r="D46" s="20">
        <v>50020001</v>
      </c>
      <c r="E46" s="20" t="s">
        <v>753</v>
      </c>
      <c r="F46" s="20" t="s">
        <v>754</v>
      </c>
      <c r="G46" s="20" t="s">
        <v>781</v>
      </c>
      <c r="H46" s="29">
        <v>4.6224999999999996</v>
      </c>
      <c r="I46" s="30">
        <v>2020</v>
      </c>
      <c r="J46" s="30">
        <v>2</v>
      </c>
      <c r="K46" s="30">
        <v>1905</v>
      </c>
      <c r="L46" s="20" t="s">
        <v>497</v>
      </c>
      <c r="M46" s="30">
        <v>1905024</v>
      </c>
      <c r="N46" s="77" t="s">
        <v>1108</v>
      </c>
      <c r="O46" s="79">
        <v>202500000006572</v>
      </c>
      <c r="P46" s="20" t="s">
        <v>514</v>
      </c>
      <c r="Q46" s="46"/>
      <c r="R46" s="20" t="s">
        <v>515</v>
      </c>
      <c r="S46" s="20" t="s">
        <v>229</v>
      </c>
      <c r="T46" s="30">
        <v>190502400</v>
      </c>
      <c r="U46" s="20" t="s">
        <v>805</v>
      </c>
      <c r="V46" s="20" t="s">
        <v>18</v>
      </c>
      <c r="W46" s="30">
        <v>3.3</v>
      </c>
      <c r="X46" s="20" t="s">
        <v>770</v>
      </c>
      <c r="Y46" s="22">
        <v>1</v>
      </c>
      <c r="Z46" s="22">
        <v>4</v>
      </c>
      <c r="AA46" s="22">
        <v>1</v>
      </c>
      <c r="AB46" s="22">
        <v>1</v>
      </c>
      <c r="AC46" s="22">
        <v>1</v>
      </c>
      <c r="AD46" s="22">
        <v>1</v>
      </c>
      <c r="AE46" s="22">
        <v>1</v>
      </c>
      <c r="AF46" s="19">
        <f t="shared" si="1"/>
        <v>25</v>
      </c>
      <c r="AG46" s="22">
        <v>1</v>
      </c>
      <c r="AH46" s="73">
        <v>100</v>
      </c>
      <c r="AI46" s="23">
        <v>0</v>
      </c>
      <c r="AJ46" s="23">
        <v>0</v>
      </c>
      <c r="AK46" s="23">
        <v>0</v>
      </c>
      <c r="AL46" s="23">
        <v>9662500</v>
      </c>
      <c r="AM46" s="23">
        <v>0</v>
      </c>
      <c r="AN46" s="23">
        <v>0</v>
      </c>
      <c r="AO46" s="23">
        <v>0</v>
      </c>
      <c r="AP46" s="23">
        <v>0</v>
      </c>
      <c r="AQ46" s="23">
        <v>0</v>
      </c>
      <c r="AR46" s="23">
        <v>0</v>
      </c>
      <c r="AS46" s="23">
        <v>0</v>
      </c>
      <c r="AT46" s="23">
        <v>9662500</v>
      </c>
      <c r="AU46" s="23">
        <v>0</v>
      </c>
      <c r="AV46" s="23">
        <v>0</v>
      </c>
      <c r="AW46" s="23">
        <v>0</v>
      </c>
      <c r="AX46" s="23">
        <v>10662500</v>
      </c>
      <c r="AY46" s="23">
        <v>0</v>
      </c>
      <c r="AZ46" s="23">
        <v>0</v>
      </c>
      <c r="BA46" s="23">
        <v>0</v>
      </c>
      <c r="BB46" s="23">
        <v>0</v>
      </c>
      <c r="BC46" s="23">
        <v>0</v>
      </c>
      <c r="BD46" s="23">
        <v>0</v>
      </c>
      <c r="BE46" s="23">
        <v>0</v>
      </c>
      <c r="BF46" s="23">
        <v>10662500</v>
      </c>
      <c r="BG46" s="23">
        <v>0</v>
      </c>
      <c r="BH46" s="23">
        <v>0</v>
      </c>
      <c r="BI46" s="23">
        <v>0</v>
      </c>
      <c r="BJ46" s="23">
        <v>11662500</v>
      </c>
      <c r="BK46" s="23">
        <v>0</v>
      </c>
      <c r="BL46" s="23">
        <v>0</v>
      </c>
      <c r="BM46" s="23">
        <v>0</v>
      </c>
      <c r="BN46" s="23">
        <v>0</v>
      </c>
      <c r="BO46" s="23">
        <v>0</v>
      </c>
      <c r="BP46" s="23">
        <v>0</v>
      </c>
      <c r="BQ46" s="23">
        <v>0</v>
      </c>
      <c r="BR46" s="23">
        <v>11662500</v>
      </c>
      <c r="BS46" s="23">
        <v>0</v>
      </c>
      <c r="BT46" s="23">
        <v>0</v>
      </c>
      <c r="BU46" s="23">
        <v>0</v>
      </c>
      <c r="BV46" s="23">
        <v>12740000</v>
      </c>
      <c r="BW46" s="23">
        <v>0</v>
      </c>
      <c r="BX46" s="23">
        <v>0</v>
      </c>
      <c r="BY46" s="23">
        <v>0</v>
      </c>
      <c r="BZ46" s="23">
        <v>0</v>
      </c>
      <c r="CA46" s="23">
        <v>0</v>
      </c>
      <c r="CB46" s="23">
        <v>0</v>
      </c>
      <c r="CC46" s="23">
        <v>0</v>
      </c>
      <c r="CD46" s="23">
        <v>12740000</v>
      </c>
      <c r="CE46" s="23">
        <f t="shared" si="2"/>
        <v>44727500</v>
      </c>
    </row>
    <row r="47" spans="1:83" ht="14.4" customHeight="1" x14ac:dyDescent="0.3">
      <c r="A47" s="20" t="s">
        <v>741</v>
      </c>
      <c r="B47" s="20">
        <v>19</v>
      </c>
      <c r="C47" s="20" t="s">
        <v>47</v>
      </c>
      <c r="D47" s="20">
        <v>50020001</v>
      </c>
      <c r="E47" s="20" t="s">
        <v>753</v>
      </c>
      <c r="F47" s="20" t="s">
        <v>754</v>
      </c>
      <c r="G47" s="20" t="s">
        <v>781</v>
      </c>
      <c r="H47" s="29">
        <v>4.6224999999999996</v>
      </c>
      <c r="I47" s="30">
        <v>2020</v>
      </c>
      <c r="J47" s="30">
        <v>2</v>
      </c>
      <c r="K47" s="30">
        <v>1905</v>
      </c>
      <c r="L47" s="20" t="s">
        <v>497</v>
      </c>
      <c r="M47" s="30">
        <v>1905025</v>
      </c>
      <c r="N47" s="77" t="s">
        <v>1108</v>
      </c>
      <c r="O47" s="79">
        <v>202500000006572</v>
      </c>
      <c r="P47" s="20" t="s">
        <v>516</v>
      </c>
      <c r="Q47" s="46" t="s">
        <v>821</v>
      </c>
      <c r="R47" s="20" t="s">
        <v>517</v>
      </c>
      <c r="S47" s="20" t="s">
        <v>229</v>
      </c>
      <c r="T47" s="30">
        <v>190502500</v>
      </c>
      <c r="U47" s="20" t="s">
        <v>518</v>
      </c>
      <c r="V47" s="20" t="s">
        <v>18</v>
      </c>
      <c r="W47" s="30">
        <v>8.8000000000000007</v>
      </c>
      <c r="X47" s="20" t="s">
        <v>770</v>
      </c>
      <c r="Y47" s="22">
        <v>1</v>
      </c>
      <c r="Z47" s="22">
        <v>4</v>
      </c>
      <c r="AA47" s="22">
        <v>1</v>
      </c>
      <c r="AB47" s="22">
        <v>1</v>
      </c>
      <c r="AC47" s="22">
        <v>1</v>
      </c>
      <c r="AD47" s="22">
        <v>1</v>
      </c>
      <c r="AE47" s="22">
        <v>1</v>
      </c>
      <c r="AF47" s="19">
        <f t="shared" si="1"/>
        <v>25</v>
      </c>
      <c r="AG47" s="22">
        <v>1</v>
      </c>
      <c r="AH47" s="73">
        <v>100</v>
      </c>
      <c r="AI47" s="23">
        <v>0</v>
      </c>
      <c r="AJ47" s="23">
        <v>0</v>
      </c>
      <c r="AK47" s="23">
        <v>0</v>
      </c>
      <c r="AL47" s="23">
        <v>9662500</v>
      </c>
      <c r="AM47" s="23">
        <v>0</v>
      </c>
      <c r="AN47" s="23">
        <v>0</v>
      </c>
      <c r="AO47" s="23">
        <v>0</v>
      </c>
      <c r="AP47" s="23">
        <v>0</v>
      </c>
      <c r="AQ47" s="23">
        <v>0</v>
      </c>
      <c r="AR47" s="23">
        <v>0</v>
      </c>
      <c r="AS47" s="23">
        <v>0</v>
      </c>
      <c r="AT47" s="23">
        <v>9662500</v>
      </c>
      <c r="AU47" s="23">
        <v>0</v>
      </c>
      <c r="AV47" s="23">
        <v>0</v>
      </c>
      <c r="AW47" s="23">
        <v>0</v>
      </c>
      <c r="AX47" s="23">
        <v>10662500</v>
      </c>
      <c r="AY47" s="23">
        <v>0</v>
      </c>
      <c r="AZ47" s="23">
        <v>0</v>
      </c>
      <c r="BA47" s="23">
        <v>0</v>
      </c>
      <c r="BB47" s="23">
        <v>0</v>
      </c>
      <c r="BC47" s="23">
        <v>0</v>
      </c>
      <c r="BD47" s="23">
        <v>0</v>
      </c>
      <c r="BE47" s="23">
        <v>0</v>
      </c>
      <c r="BF47" s="23">
        <v>10662500</v>
      </c>
      <c r="BG47" s="23">
        <v>0</v>
      </c>
      <c r="BH47" s="23">
        <v>0</v>
      </c>
      <c r="BI47" s="23">
        <v>0</v>
      </c>
      <c r="BJ47" s="23">
        <v>11662500</v>
      </c>
      <c r="BK47" s="23">
        <v>0</v>
      </c>
      <c r="BL47" s="23">
        <v>0</v>
      </c>
      <c r="BM47" s="23">
        <v>0</v>
      </c>
      <c r="BN47" s="23">
        <v>0</v>
      </c>
      <c r="BO47" s="23">
        <v>0</v>
      </c>
      <c r="BP47" s="23">
        <v>0</v>
      </c>
      <c r="BQ47" s="23">
        <v>0</v>
      </c>
      <c r="BR47" s="23">
        <v>11662500</v>
      </c>
      <c r="BS47" s="23">
        <v>0</v>
      </c>
      <c r="BT47" s="23">
        <v>0</v>
      </c>
      <c r="BU47" s="23">
        <v>0</v>
      </c>
      <c r="BV47" s="23">
        <v>12740000</v>
      </c>
      <c r="BW47" s="23">
        <v>0</v>
      </c>
      <c r="BX47" s="23">
        <v>0</v>
      </c>
      <c r="BY47" s="23">
        <v>0</v>
      </c>
      <c r="BZ47" s="23">
        <v>0</v>
      </c>
      <c r="CA47" s="23">
        <v>0</v>
      </c>
      <c r="CB47" s="23">
        <v>0</v>
      </c>
      <c r="CC47" s="23">
        <v>0</v>
      </c>
      <c r="CD47" s="23">
        <v>12740000</v>
      </c>
      <c r="CE47" s="23">
        <f t="shared" si="2"/>
        <v>44727500</v>
      </c>
    </row>
    <row r="48" spans="1:83" ht="14.4" customHeight="1" x14ac:dyDescent="0.3">
      <c r="A48" s="20" t="s">
        <v>741</v>
      </c>
      <c r="B48" s="20">
        <v>19</v>
      </c>
      <c r="C48" s="20" t="s">
        <v>47</v>
      </c>
      <c r="D48" s="20">
        <v>50020001</v>
      </c>
      <c r="E48" s="20" t="s">
        <v>753</v>
      </c>
      <c r="F48" s="20" t="s">
        <v>754</v>
      </c>
      <c r="G48" s="20" t="s">
        <v>781</v>
      </c>
      <c r="H48" s="29">
        <v>4.6224999999999996</v>
      </c>
      <c r="I48" s="30">
        <v>2020</v>
      </c>
      <c r="J48" s="30">
        <v>2</v>
      </c>
      <c r="K48" s="30">
        <v>1905</v>
      </c>
      <c r="L48" s="20" t="s">
        <v>497</v>
      </c>
      <c r="M48" s="30">
        <v>1905027</v>
      </c>
      <c r="N48" s="77" t="s">
        <v>1108</v>
      </c>
      <c r="O48" s="79">
        <v>202500000006572</v>
      </c>
      <c r="P48" s="20" t="s">
        <v>519</v>
      </c>
      <c r="Q48" s="46"/>
      <c r="R48" s="20" t="s">
        <v>520</v>
      </c>
      <c r="S48" s="20" t="s">
        <v>229</v>
      </c>
      <c r="T48" s="30">
        <v>190502700</v>
      </c>
      <c r="U48" s="20" t="s">
        <v>521</v>
      </c>
      <c r="V48" s="20" t="s">
        <v>18</v>
      </c>
      <c r="W48" s="30">
        <v>3.8</v>
      </c>
      <c r="X48" s="20" t="s">
        <v>770</v>
      </c>
      <c r="Y48" s="22">
        <v>1</v>
      </c>
      <c r="Z48" s="22">
        <v>4</v>
      </c>
      <c r="AA48" s="22">
        <v>1</v>
      </c>
      <c r="AB48" s="22">
        <v>1</v>
      </c>
      <c r="AC48" s="22">
        <v>1</v>
      </c>
      <c r="AD48" s="22">
        <v>1</v>
      </c>
      <c r="AE48" s="22">
        <v>1</v>
      </c>
      <c r="AF48" s="19">
        <f t="shared" si="1"/>
        <v>25</v>
      </c>
      <c r="AG48" s="22">
        <v>1</v>
      </c>
      <c r="AH48" s="73">
        <v>100</v>
      </c>
      <c r="AI48" s="23">
        <v>0</v>
      </c>
      <c r="AJ48" s="23">
        <v>0</v>
      </c>
      <c r="AK48" s="23">
        <v>0</v>
      </c>
      <c r="AL48" s="23">
        <v>9662500</v>
      </c>
      <c r="AM48" s="23">
        <v>0</v>
      </c>
      <c r="AN48" s="23">
        <v>0</v>
      </c>
      <c r="AO48" s="23">
        <v>0</v>
      </c>
      <c r="AP48" s="23">
        <v>0</v>
      </c>
      <c r="AQ48" s="23">
        <v>0</v>
      </c>
      <c r="AR48" s="23">
        <v>0</v>
      </c>
      <c r="AS48" s="23">
        <v>0</v>
      </c>
      <c r="AT48" s="23">
        <v>9662500</v>
      </c>
      <c r="AU48" s="23">
        <v>0</v>
      </c>
      <c r="AV48" s="23">
        <v>0</v>
      </c>
      <c r="AW48" s="23">
        <v>0</v>
      </c>
      <c r="AX48" s="23">
        <v>10662500</v>
      </c>
      <c r="AY48" s="23">
        <v>0</v>
      </c>
      <c r="AZ48" s="23">
        <v>0</v>
      </c>
      <c r="BA48" s="23">
        <v>0</v>
      </c>
      <c r="BB48" s="23">
        <v>0</v>
      </c>
      <c r="BC48" s="23">
        <v>0</v>
      </c>
      <c r="BD48" s="23">
        <v>0</v>
      </c>
      <c r="BE48" s="23">
        <v>0</v>
      </c>
      <c r="BF48" s="23">
        <v>10662500</v>
      </c>
      <c r="BG48" s="23">
        <v>0</v>
      </c>
      <c r="BH48" s="23">
        <v>0</v>
      </c>
      <c r="BI48" s="23">
        <v>0</v>
      </c>
      <c r="BJ48" s="23">
        <v>11662500</v>
      </c>
      <c r="BK48" s="23">
        <v>0</v>
      </c>
      <c r="BL48" s="23">
        <v>0</v>
      </c>
      <c r="BM48" s="23">
        <v>0</v>
      </c>
      <c r="BN48" s="23">
        <v>0</v>
      </c>
      <c r="BO48" s="23">
        <v>0</v>
      </c>
      <c r="BP48" s="23">
        <v>0</v>
      </c>
      <c r="BQ48" s="23">
        <v>0</v>
      </c>
      <c r="BR48" s="23">
        <v>11662500</v>
      </c>
      <c r="BS48" s="23">
        <v>0</v>
      </c>
      <c r="BT48" s="23">
        <v>0</v>
      </c>
      <c r="BU48" s="23">
        <v>0</v>
      </c>
      <c r="BV48" s="23">
        <v>12740000</v>
      </c>
      <c r="BW48" s="23">
        <v>0</v>
      </c>
      <c r="BX48" s="23">
        <v>0</v>
      </c>
      <c r="BY48" s="23">
        <v>0</v>
      </c>
      <c r="BZ48" s="23">
        <v>0</v>
      </c>
      <c r="CA48" s="23">
        <v>0</v>
      </c>
      <c r="CB48" s="23">
        <v>0</v>
      </c>
      <c r="CC48" s="23">
        <v>0</v>
      </c>
      <c r="CD48" s="23">
        <v>12740000</v>
      </c>
      <c r="CE48" s="23">
        <f t="shared" si="2"/>
        <v>44727500</v>
      </c>
    </row>
    <row r="49" spans="1:83" ht="15" customHeight="1" x14ac:dyDescent="0.3">
      <c r="A49" s="20" t="s">
        <v>741</v>
      </c>
      <c r="B49" s="20">
        <v>19</v>
      </c>
      <c r="C49" s="20" t="s">
        <v>47</v>
      </c>
      <c r="D49" s="20">
        <v>50020001</v>
      </c>
      <c r="E49" s="20" t="s">
        <v>753</v>
      </c>
      <c r="F49" s="20" t="s">
        <v>754</v>
      </c>
      <c r="G49" s="20" t="s">
        <v>781</v>
      </c>
      <c r="H49" s="29">
        <v>4.6224999999999996</v>
      </c>
      <c r="I49" s="30">
        <v>2020</v>
      </c>
      <c r="J49" s="30">
        <v>2</v>
      </c>
      <c r="K49" s="30">
        <v>1906</v>
      </c>
      <c r="L49" s="20" t="s">
        <v>479</v>
      </c>
      <c r="M49" s="30">
        <v>1906033</v>
      </c>
      <c r="N49" s="77" t="s">
        <v>1107</v>
      </c>
      <c r="O49" s="79">
        <v>202500000006564</v>
      </c>
      <c r="P49" s="20" t="s">
        <v>522</v>
      </c>
      <c r="Q49" s="46"/>
      <c r="R49" s="20" t="s">
        <v>523</v>
      </c>
      <c r="S49" s="20" t="s">
        <v>524</v>
      </c>
      <c r="T49" s="30">
        <v>190603300</v>
      </c>
      <c r="U49" s="20" t="s">
        <v>522</v>
      </c>
      <c r="V49" s="20" t="s">
        <v>18</v>
      </c>
      <c r="W49" s="30">
        <v>3.8</v>
      </c>
      <c r="X49" s="20" t="s">
        <v>770</v>
      </c>
      <c r="Y49" s="22">
        <v>0</v>
      </c>
      <c r="Z49" s="22">
        <v>1</v>
      </c>
      <c r="AA49" s="22">
        <v>0</v>
      </c>
      <c r="AB49" s="22">
        <v>0</v>
      </c>
      <c r="AC49" s="22">
        <v>0</v>
      </c>
      <c r="AD49" s="22">
        <v>1</v>
      </c>
      <c r="AE49" s="22"/>
      <c r="AF49" s="19">
        <f t="shared" si="1"/>
        <v>0</v>
      </c>
      <c r="AG49" s="22" t="s">
        <v>1048</v>
      </c>
      <c r="AH49" s="73" t="s">
        <v>1048</v>
      </c>
      <c r="AI49" s="23">
        <v>0</v>
      </c>
      <c r="AJ49" s="23">
        <v>0</v>
      </c>
      <c r="AK49" s="23">
        <v>0</v>
      </c>
      <c r="AL49" s="23">
        <v>0</v>
      </c>
      <c r="AM49" s="23">
        <v>0</v>
      </c>
      <c r="AN49" s="23">
        <v>0</v>
      </c>
      <c r="AO49" s="23">
        <v>0</v>
      </c>
      <c r="AP49" s="23">
        <v>0</v>
      </c>
      <c r="AQ49" s="23">
        <v>0</v>
      </c>
      <c r="AR49" s="23">
        <v>0</v>
      </c>
      <c r="AS49" s="23">
        <v>0</v>
      </c>
      <c r="AT49" s="23">
        <v>0</v>
      </c>
      <c r="AU49" s="23">
        <v>0</v>
      </c>
      <c r="AV49" s="23">
        <v>0</v>
      </c>
      <c r="AW49" s="23">
        <v>0</v>
      </c>
      <c r="AX49" s="23">
        <v>0</v>
      </c>
      <c r="AY49" s="23">
        <v>0</v>
      </c>
      <c r="AZ49" s="23">
        <v>0</v>
      </c>
      <c r="BA49" s="23">
        <v>0</v>
      </c>
      <c r="BB49" s="23">
        <v>0</v>
      </c>
      <c r="BC49" s="23">
        <v>0</v>
      </c>
      <c r="BD49" s="23">
        <v>0</v>
      </c>
      <c r="BE49" s="23">
        <v>0</v>
      </c>
      <c r="BF49" s="23">
        <v>0</v>
      </c>
      <c r="BG49" s="23">
        <v>0</v>
      </c>
      <c r="BH49" s="23">
        <v>0</v>
      </c>
      <c r="BI49" s="23">
        <v>0</v>
      </c>
      <c r="BJ49" s="23">
        <v>0</v>
      </c>
      <c r="BK49" s="23">
        <v>0</v>
      </c>
      <c r="BL49" s="23">
        <v>0</v>
      </c>
      <c r="BM49" s="23">
        <v>0</v>
      </c>
      <c r="BN49" s="23">
        <v>0</v>
      </c>
      <c r="BO49" s="23">
        <v>0</v>
      </c>
      <c r="BP49" s="23">
        <v>0</v>
      </c>
      <c r="BQ49" s="23">
        <v>0</v>
      </c>
      <c r="BR49" s="23">
        <v>0</v>
      </c>
      <c r="BS49" s="23">
        <v>0</v>
      </c>
      <c r="BT49" s="23">
        <v>0</v>
      </c>
      <c r="BU49" s="23">
        <v>0</v>
      </c>
      <c r="BV49" s="23">
        <v>15865072</v>
      </c>
      <c r="BW49" s="23">
        <v>0</v>
      </c>
      <c r="BX49" s="23">
        <v>0</v>
      </c>
      <c r="BY49" s="23">
        <v>0</v>
      </c>
      <c r="BZ49" s="23">
        <v>0</v>
      </c>
      <c r="CA49" s="23">
        <v>134134928</v>
      </c>
      <c r="CB49" s="23">
        <v>0</v>
      </c>
      <c r="CC49" s="23">
        <v>0</v>
      </c>
      <c r="CD49" s="23">
        <v>150000000</v>
      </c>
      <c r="CE49" s="23">
        <f t="shared" si="2"/>
        <v>150000000</v>
      </c>
    </row>
    <row r="50" spans="1:83" ht="14.4" customHeight="1" x14ac:dyDescent="0.3">
      <c r="A50" s="20" t="s">
        <v>741</v>
      </c>
      <c r="B50" s="20">
        <v>19</v>
      </c>
      <c r="C50" s="20" t="s">
        <v>47</v>
      </c>
      <c r="D50" s="20">
        <v>50020001</v>
      </c>
      <c r="E50" s="20" t="s">
        <v>753</v>
      </c>
      <c r="F50" s="20" t="s">
        <v>754</v>
      </c>
      <c r="G50" s="20" t="s">
        <v>781</v>
      </c>
      <c r="H50" s="29">
        <v>4.6224999999999996</v>
      </c>
      <c r="I50" s="30">
        <v>2020</v>
      </c>
      <c r="J50" s="30">
        <v>2</v>
      </c>
      <c r="K50" s="30">
        <v>1905</v>
      </c>
      <c r="L50" s="20" t="s">
        <v>497</v>
      </c>
      <c r="M50" s="30">
        <v>1905031</v>
      </c>
      <c r="N50" s="77" t="s">
        <v>1108</v>
      </c>
      <c r="O50" s="79">
        <v>202500000006572</v>
      </c>
      <c r="P50" s="20" t="s">
        <v>525</v>
      </c>
      <c r="Q50" s="46"/>
      <c r="R50" s="20" t="s">
        <v>526</v>
      </c>
      <c r="S50" s="20" t="s">
        <v>229</v>
      </c>
      <c r="T50" s="30">
        <v>190503100</v>
      </c>
      <c r="U50" s="20" t="s">
        <v>527</v>
      </c>
      <c r="V50" s="20" t="s">
        <v>18</v>
      </c>
      <c r="W50" s="30">
        <v>3.4</v>
      </c>
      <c r="X50" s="20" t="s">
        <v>770</v>
      </c>
      <c r="Y50" s="22">
        <v>1</v>
      </c>
      <c r="Z50" s="22">
        <v>4</v>
      </c>
      <c r="AA50" s="22">
        <v>1</v>
      </c>
      <c r="AB50" s="22">
        <v>1</v>
      </c>
      <c r="AC50" s="22">
        <v>1</v>
      </c>
      <c r="AD50" s="22">
        <v>1</v>
      </c>
      <c r="AE50" s="22">
        <v>1</v>
      </c>
      <c r="AF50" s="19">
        <f t="shared" si="1"/>
        <v>25</v>
      </c>
      <c r="AG50" s="22">
        <v>1</v>
      </c>
      <c r="AH50" s="73">
        <v>100</v>
      </c>
      <c r="AI50" s="23">
        <v>0</v>
      </c>
      <c r="AJ50" s="23">
        <v>0</v>
      </c>
      <c r="AK50" s="23">
        <v>0</v>
      </c>
      <c r="AL50" s="23">
        <v>9662500</v>
      </c>
      <c r="AM50" s="23">
        <v>0</v>
      </c>
      <c r="AN50" s="23">
        <v>0</v>
      </c>
      <c r="AO50" s="23">
        <v>0</v>
      </c>
      <c r="AP50" s="23">
        <v>0</v>
      </c>
      <c r="AQ50" s="23">
        <v>0</v>
      </c>
      <c r="AR50" s="23">
        <v>0</v>
      </c>
      <c r="AS50" s="23">
        <v>0</v>
      </c>
      <c r="AT50" s="23">
        <v>9662500</v>
      </c>
      <c r="AU50" s="23">
        <v>0</v>
      </c>
      <c r="AV50" s="23">
        <v>0</v>
      </c>
      <c r="AW50" s="23">
        <v>0</v>
      </c>
      <c r="AX50" s="23">
        <v>10662500</v>
      </c>
      <c r="AY50" s="23">
        <v>0</v>
      </c>
      <c r="AZ50" s="23">
        <v>0</v>
      </c>
      <c r="BA50" s="23">
        <v>0</v>
      </c>
      <c r="BB50" s="23">
        <v>0</v>
      </c>
      <c r="BC50" s="23">
        <v>0</v>
      </c>
      <c r="BD50" s="23">
        <v>0</v>
      </c>
      <c r="BE50" s="23">
        <v>0</v>
      </c>
      <c r="BF50" s="23">
        <v>10662500</v>
      </c>
      <c r="BG50" s="23">
        <v>0</v>
      </c>
      <c r="BH50" s="23">
        <v>0</v>
      </c>
      <c r="BI50" s="23">
        <v>0</v>
      </c>
      <c r="BJ50" s="23">
        <v>11662500</v>
      </c>
      <c r="BK50" s="23">
        <v>0</v>
      </c>
      <c r="BL50" s="23">
        <v>0</v>
      </c>
      <c r="BM50" s="23">
        <v>0</v>
      </c>
      <c r="BN50" s="23">
        <v>0</v>
      </c>
      <c r="BO50" s="23">
        <v>0</v>
      </c>
      <c r="BP50" s="23">
        <v>0</v>
      </c>
      <c r="BQ50" s="23">
        <v>0</v>
      </c>
      <c r="BR50" s="23">
        <v>11662500</v>
      </c>
      <c r="BS50" s="23">
        <v>0</v>
      </c>
      <c r="BT50" s="23">
        <v>0</v>
      </c>
      <c r="BU50" s="23">
        <v>0</v>
      </c>
      <c r="BV50" s="23">
        <v>9662500</v>
      </c>
      <c r="BW50" s="23">
        <v>0</v>
      </c>
      <c r="BX50" s="23">
        <v>0</v>
      </c>
      <c r="BY50" s="23">
        <v>0</v>
      </c>
      <c r="BZ50" s="23">
        <v>0</v>
      </c>
      <c r="CA50" s="23">
        <v>0</v>
      </c>
      <c r="CB50" s="23">
        <v>0</v>
      </c>
      <c r="CC50" s="23">
        <v>0</v>
      </c>
      <c r="CD50" s="23">
        <v>9662500</v>
      </c>
      <c r="CE50" s="23">
        <f t="shared" si="2"/>
        <v>41650000</v>
      </c>
    </row>
    <row r="51" spans="1:83" ht="15" customHeight="1" x14ac:dyDescent="0.3">
      <c r="A51" s="20" t="s">
        <v>741</v>
      </c>
      <c r="B51" s="20">
        <v>41</v>
      </c>
      <c r="C51" s="20" t="s">
        <v>12</v>
      </c>
      <c r="D51" s="20">
        <v>260020010</v>
      </c>
      <c r="E51" s="20" t="s">
        <v>711</v>
      </c>
      <c r="F51" s="20" t="s">
        <v>797</v>
      </c>
      <c r="G51" s="20" t="s">
        <v>804</v>
      </c>
      <c r="H51" s="29" t="s">
        <v>803</v>
      </c>
      <c r="I51" s="30" t="s">
        <v>803</v>
      </c>
      <c r="J51" s="30">
        <v>20</v>
      </c>
      <c r="K51" s="30">
        <v>4101</v>
      </c>
      <c r="L51" s="20" t="s">
        <v>28</v>
      </c>
      <c r="M51" s="30">
        <v>4101091</v>
      </c>
      <c r="N51" s="77" t="s">
        <v>1099</v>
      </c>
      <c r="O51" s="79">
        <v>202500000002045</v>
      </c>
      <c r="P51" s="20" t="s">
        <v>541</v>
      </c>
      <c r="Q51" s="46"/>
      <c r="R51" s="20" t="s">
        <v>542</v>
      </c>
      <c r="S51" s="20" t="s">
        <v>33</v>
      </c>
      <c r="T51" s="30">
        <v>410109100</v>
      </c>
      <c r="U51" s="20" t="s">
        <v>543</v>
      </c>
      <c r="V51" s="20" t="s">
        <v>18</v>
      </c>
      <c r="W51" s="30">
        <v>16.3</v>
      </c>
      <c r="X51" s="20" t="s">
        <v>19</v>
      </c>
      <c r="Y51" s="22" t="s">
        <v>636</v>
      </c>
      <c r="Z51" s="22">
        <v>20</v>
      </c>
      <c r="AA51" s="22">
        <v>5</v>
      </c>
      <c r="AB51" s="22">
        <v>5</v>
      </c>
      <c r="AC51" s="22">
        <v>5</v>
      </c>
      <c r="AD51" s="22">
        <v>5</v>
      </c>
      <c r="AE51" s="22">
        <v>5</v>
      </c>
      <c r="AF51" s="19">
        <f t="shared" si="1"/>
        <v>25</v>
      </c>
      <c r="AG51" s="57">
        <v>0</v>
      </c>
      <c r="AH51" s="74">
        <v>0</v>
      </c>
      <c r="AI51" s="23">
        <v>5000000</v>
      </c>
      <c r="AJ51" s="23">
        <v>0</v>
      </c>
      <c r="AK51" s="23">
        <v>0</v>
      </c>
      <c r="AL51" s="23">
        <v>0</v>
      </c>
      <c r="AM51" s="23">
        <v>0</v>
      </c>
      <c r="AN51" s="23">
        <v>0</v>
      </c>
      <c r="AO51" s="23">
        <v>0</v>
      </c>
      <c r="AP51" s="23">
        <v>0</v>
      </c>
      <c r="AQ51" s="23">
        <v>0</v>
      </c>
      <c r="AR51" s="23">
        <v>0</v>
      </c>
      <c r="AS51" s="23">
        <v>0</v>
      </c>
      <c r="AT51" s="23">
        <v>5000000</v>
      </c>
      <c r="AU51" s="23">
        <v>5000000</v>
      </c>
      <c r="AV51" s="23">
        <v>0</v>
      </c>
      <c r="AW51" s="23">
        <v>0</v>
      </c>
      <c r="AX51" s="23">
        <v>0</v>
      </c>
      <c r="AY51" s="23">
        <v>0</v>
      </c>
      <c r="AZ51" s="23">
        <v>0</v>
      </c>
      <c r="BA51" s="23">
        <v>0</v>
      </c>
      <c r="BB51" s="23">
        <v>0</v>
      </c>
      <c r="BC51" s="23">
        <v>0</v>
      </c>
      <c r="BD51" s="23">
        <v>0</v>
      </c>
      <c r="BE51" s="23">
        <v>0</v>
      </c>
      <c r="BF51" s="23">
        <v>5000000</v>
      </c>
      <c r="BG51" s="23">
        <v>5000000</v>
      </c>
      <c r="BH51" s="23">
        <v>0</v>
      </c>
      <c r="BI51" s="23">
        <v>0</v>
      </c>
      <c r="BJ51" s="23">
        <v>0</v>
      </c>
      <c r="BK51" s="23">
        <v>0</v>
      </c>
      <c r="BL51" s="23">
        <v>0</v>
      </c>
      <c r="BM51" s="23">
        <v>0</v>
      </c>
      <c r="BN51" s="23">
        <v>0</v>
      </c>
      <c r="BO51" s="23">
        <v>0</v>
      </c>
      <c r="BP51" s="23">
        <v>0</v>
      </c>
      <c r="BQ51" s="23">
        <v>0</v>
      </c>
      <c r="BR51" s="23">
        <v>5000000</v>
      </c>
      <c r="BS51" s="23">
        <v>5000000</v>
      </c>
      <c r="BT51" s="23">
        <v>0</v>
      </c>
      <c r="BU51" s="23">
        <v>0</v>
      </c>
      <c r="BV51" s="23">
        <v>0</v>
      </c>
      <c r="BW51" s="23">
        <v>0</v>
      </c>
      <c r="BX51" s="23">
        <v>0</v>
      </c>
      <c r="BY51" s="23">
        <v>0</v>
      </c>
      <c r="BZ51" s="23">
        <v>0</v>
      </c>
      <c r="CA51" s="23">
        <v>0</v>
      </c>
      <c r="CB51" s="23">
        <v>0</v>
      </c>
      <c r="CC51" s="23">
        <v>0</v>
      </c>
      <c r="CD51" s="23">
        <v>5000000</v>
      </c>
      <c r="CE51" s="23">
        <f t="shared" si="2"/>
        <v>20000000</v>
      </c>
    </row>
    <row r="52" spans="1:83" ht="15" customHeight="1" x14ac:dyDescent="0.3">
      <c r="A52" s="20" t="s">
        <v>741</v>
      </c>
      <c r="B52" s="20">
        <v>41</v>
      </c>
      <c r="C52" s="20" t="s">
        <v>12</v>
      </c>
      <c r="D52" s="20">
        <v>260020010</v>
      </c>
      <c r="E52" s="20" t="s">
        <v>711</v>
      </c>
      <c r="F52" s="20" t="s">
        <v>797</v>
      </c>
      <c r="G52" s="20" t="s">
        <v>804</v>
      </c>
      <c r="H52" s="29" t="s">
        <v>803</v>
      </c>
      <c r="I52" s="30" t="s">
        <v>803</v>
      </c>
      <c r="J52" s="30">
        <v>20</v>
      </c>
      <c r="K52" s="30">
        <v>4101</v>
      </c>
      <c r="L52" s="20" t="s">
        <v>28</v>
      </c>
      <c r="M52" s="30">
        <v>4101101</v>
      </c>
      <c r="N52" s="77" t="s">
        <v>1099</v>
      </c>
      <c r="O52" s="79">
        <v>202500000002045</v>
      </c>
      <c r="P52" s="20" t="s">
        <v>544</v>
      </c>
      <c r="Q52" s="46"/>
      <c r="R52" s="20" t="s">
        <v>545</v>
      </c>
      <c r="S52" s="20" t="s">
        <v>546</v>
      </c>
      <c r="T52" s="30">
        <v>410110100</v>
      </c>
      <c r="U52" s="20" t="s">
        <v>547</v>
      </c>
      <c r="V52" s="20" t="s">
        <v>18</v>
      </c>
      <c r="W52" s="30">
        <v>16.3</v>
      </c>
      <c r="X52" s="20" t="s">
        <v>770</v>
      </c>
      <c r="Y52" s="22">
        <v>3</v>
      </c>
      <c r="Z52" s="22">
        <v>16</v>
      </c>
      <c r="AA52" s="22">
        <v>4</v>
      </c>
      <c r="AB52" s="22">
        <v>4</v>
      </c>
      <c r="AC52" s="22">
        <v>4</v>
      </c>
      <c r="AD52" s="22">
        <v>4</v>
      </c>
      <c r="AE52" s="22">
        <v>20</v>
      </c>
      <c r="AF52" s="19">
        <f t="shared" si="1"/>
        <v>125</v>
      </c>
      <c r="AG52" s="22">
        <v>0</v>
      </c>
      <c r="AH52" s="73">
        <v>0</v>
      </c>
      <c r="AI52" s="23">
        <v>0</v>
      </c>
      <c r="AJ52" s="23">
        <v>60000000</v>
      </c>
      <c r="AK52" s="23">
        <v>0</v>
      </c>
      <c r="AL52" s="23">
        <v>0</v>
      </c>
      <c r="AM52" s="23">
        <v>0</v>
      </c>
      <c r="AN52" s="23">
        <v>0</v>
      </c>
      <c r="AO52" s="23">
        <v>0</v>
      </c>
      <c r="AP52" s="23">
        <v>0</v>
      </c>
      <c r="AQ52" s="23">
        <v>0</v>
      </c>
      <c r="AR52" s="23">
        <v>0</v>
      </c>
      <c r="AS52" s="23">
        <v>0</v>
      </c>
      <c r="AT52" s="23">
        <v>60000000</v>
      </c>
      <c r="AU52" s="23">
        <v>0</v>
      </c>
      <c r="AV52" s="23">
        <v>60000000</v>
      </c>
      <c r="AW52" s="23">
        <v>0</v>
      </c>
      <c r="AX52" s="23">
        <v>0</v>
      </c>
      <c r="AY52" s="23">
        <v>0</v>
      </c>
      <c r="AZ52" s="23">
        <v>0</v>
      </c>
      <c r="BA52" s="23">
        <v>0</v>
      </c>
      <c r="BB52" s="23">
        <v>0</v>
      </c>
      <c r="BC52" s="23">
        <v>0</v>
      </c>
      <c r="BD52" s="23">
        <v>0</v>
      </c>
      <c r="BE52" s="23">
        <v>0</v>
      </c>
      <c r="BF52" s="23">
        <v>60000000</v>
      </c>
      <c r="BG52" s="23">
        <v>0</v>
      </c>
      <c r="BH52" s="23">
        <v>60000000</v>
      </c>
      <c r="BI52" s="23">
        <v>0</v>
      </c>
      <c r="BJ52" s="23">
        <v>0</v>
      </c>
      <c r="BK52" s="23">
        <v>0</v>
      </c>
      <c r="BL52" s="23">
        <v>0</v>
      </c>
      <c r="BM52" s="23">
        <v>0</v>
      </c>
      <c r="BN52" s="23">
        <v>0</v>
      </c>
      <c r="BO52" s="23">
        <v>0</v>
      </c>
      <c r="BP52" s="23">
        <v>0</v>
      </c>
      <c r="BQ52" s="23">
        <v>0</v>
      </c>
      <c r="BR52" s="23">
        <v>60000000</v>
      </c>
      <c r="BS52" s="23">
        <v>0</v>
      </c>
      <c r="BT52" s="23">
        <v>60000000</v>
      </c>
      <c r="BU52" s="23">
        <v>0</v>
      </c>
      <c r="BV52" s="23">
        <v>0</v>
      </c>
      <c r="BW52" s="23">
        <v>0</v>
      </c>
      <c r="BX52" s="23">
        <v>0</v>
      </c>
      <c r="BY52" s="23">
        <v>0</v>
      </c>
      <c r="BZ52" s="23">
        <v>0</v>
      </c>
      <c r="CA52" s="23">
        <v>0</v>
      </c>
      <c r="CB52" s="23">
        <v>0</v>
      </c>
      <c r="CC52" s="23">
        <v>0</v>
      </c>
      <c r="CD52" s="23">
        <v>60000000</v>
      </c>
      <c r="CE52" s="23">
        <f t="shared" si="2"/>
        <v>240000000</v>
      </c>
    </row>
    <row r="53" spans="1:83" ht="15" customHeight="1" x14ac:dyDescent="0.3">
      <c r="A53" s="20" t="s">
        <v>741</v>
      </c>
      <c r="B53" s="20">
        <v>41</v>
      </c>
      <c r="C53" s="20" t="s">
        <v>12</v>
      </c>
      <c r="D53" s="20">
        <v>260020004</v>
      </c>
      <c r="E53" s="20" t="s">
        <v>710</v>
      </c>
      <c r="F53" s="20" t="s">
        <v>18</v>
      </c>
      <c r="G53" s="20" t="s">
        <v>775</v>
      </c>
      <c r="H53" s="29">
        <v>0</v>
      </c>
      <c r="I53" s="30">
        <v>2022</v>
      </c>
      <c r="J53" s="30">
        <v>4</v>
      </c>
      <c r="K53" s="30">
        <v>4101</v>
      </c>
      <c r="L53" s="20" t="s">
        <v>28</v>
      </c>
      <c r="M53" s="30">
        <v>4101103</v>
      </c>
      <c r="N53" s="77" t="s">
        <v>1099</v>
      </c>
      <c r="O53" s="79">
        <v>202500000002045</v>
      </c>
      <c r="P53" s="20" t="s">
        <v>95</v>
      </c>
      <c r="Q53" s="46"/>
      <c r="R53" s="20" t="s">
        <v>548</v>
      </c>
      <c r="S53" s="20" t="s">
        <v>26</v>
      </c>
      <c r="T53" s="30">
        <v>410110300</v>
      </c>
      <c r="U53" s="20" t="s">
        <v>338</v>
      </c>
      <c r="V53" s="20" t="s">
        <v>18</v>
      </c>
      <c r="W53" s="30">
        <v>16.600000000000001</v>
      </c>
      <c r="X53" s="20" t="s">
        <v>19</v>
      </c>
      <c r="Y53" s="22">
        <v>4</v>
      </c>
      <c r="Z53" s="22">
        <v>10</v>
      </c>
      <c r="AA53" s="22">
        <v>4</v>
      </c>
      <c r="AB53" s="22">
        <v>2</v>
      </c>
      <c r="AC53" s="22">
        <v>2</v>
      </c>
      <c r="AD53" s="22">
        <v>2</v>
      </c>
      <c r="AE53" s="22">
        <v>2</v>
      </c>
      <c r="AF53" s="19">
        <f t="shared" si="1"/>
        <v>20</v>
      </c>
      <c r="AG53" s="22">
        <v>1</v>
      </c>
      <c r="AH53" s="73">
        <v>50</v>
      </c>
      <c r="AI53" s="23">
        <v>0</v>
      </c>
      <c r="AJ53" s="23">
        <v>20000000</v>
      </c>
      <c r="AK53" s="23">
        <v>0</v>
      </c>
      <c r="AL53" s="23">
        <v>0</v>
      </c>
      <c r="AM53" s="23">
        <v>0</v>
      </c>
      <c r="AN53" s="23">
        <v>0</v>
      </c>
      <c r="AO53" s="23">
        <v>0</v>
      </c>
      <c r="AP53" s="23">
        <v>0</v>
      </c>
      <c r="AQ53" s="23">
        <v>0</v>
      </c>
      <c r="AR53" s="23">
        <v>0</v>
      </c>
      <c r="AS53" s="23">
        <v>0</v>
      </c>
      <c r="AT53" s="23">
        <v>20000000</v>
      </c>
      <c r="AU53" s="23">
        <v>0</v>
      </c>
      <c r="AV53" s="23">
        <v>10000000</v>
      </c>
      <c r="AW53" s="23">
        <v>0</v>
      </c>
      <c r="AX53" s="23">
        <v>0</v>
      </c>
      <c r="AY53" s="23">
        <v>0</v>
      </c>
      <c r="AZ53" s="23">
        <v>0</v>
      </c>
      <c r="BA53" s="23">
        <v>0</v>
      </c>
      <c r="BB53" s="23">
        <v>0</v>
      </c>
      <c r="BC53" s="23">
        <v>0</v>
      </c>
      <c r="BD53" s="23">
        <v>0</v>
      </c>
      <c r="BE53" s="23">
        <v>0</v>
      </c>
      <c r="BF53" s="23">
        <v>10000000</v>
      </c>
      <c r="BG53" s="23">
        <v>0</v>
      </c>
      <c r="BH53" s="23">
        <v>10000000</v>
      </c>
      <c r="BI53" s="23">
        <v>0</v>
      </c>
      <c r="BJ53" s="23">
        <v>0</v>
      </c>
      <c r="BK53" s="23">
        <v>0</v>
      </c>
      <c r="BL53" s="23">
        <v>0</v>
      </c>
      <c r="BM53" s="23">
        <v>0</v>
      </c>
      <c r="BN53" s="23">
        <v>0</v>
      </c>
      <c r="BO53" s="23">
        <v>0</v>
      </c>
      <c r="BP53" s="23">
        <v>0</v>
      </c>
      <c r="BQ53" s="23">
        <v>0</v>
      </c>
      <c r="BR53" s="23">
        <v>10000000</v>
      </c>
      <c r="BS53" s="23">
        <v>0</v>
      </c>
      <c r="BT53" s="23">
        <v>10000000</v>
      </c>
      <c r="BU53" s="23">
        <v>0</v>
      </c>
      <c r="BV53" s="23">
        <v>0</v>
      </c>
      <c r="BW53" s="23">
        <v>0</v>
      </c>
      <c r="BX53" s="23">
        <v>0</v>
      </c>
      <c r="BY53" s="23">
        <v>0</v>
      </c>
      <c r="BZ53" s="23">
        <v>0</v>
      </c>
      <c r="CA53" s="23">
        <v>0</v>
      </c>
      <c r="CB53" s="23">
        <v>0</v>
      </c>
      <c r="CC53" s="23">
        <v>0</v>
      </c>
      <c r="CD53" s="23">
        <v>10000000</v>
      </c>
      <c r="CE53" s="23">
        <f t="shared" si="2"/>
        <v>50000000</v>
      </c>
    </row>
    <row r="54" spans="1:83" ht="15" customHeight="1" x14ac:dyDescent="0.3">
      <c r="A54" s="20" t="s">
        <v>741</v>
      </c>
      <c r="B54" s="20">
        <v>33</v>
      </c>
      <c r="C54" s="20" t="s">
        <v>83</v>
      </c>
      <c r="D54" s="20">
        <v>270030002</v>
      </c>
      <c r="E54" s="20" t="s">
        <v>760</v>
      </c>
      <c r="F54" s="20" t="s">
        <v>428</v>
      </c>
      <c r="G54" s="20" t="s">
        <v>798</v>
      </c>
      <c r="H54" s="29" t="s">
        <v>803</v>
      </c>
      <c r="I54" s="30" t="s">
        <v>803</v>
      </c>
      <c r="J54" s="30">
        <v>80</v>
      </c>
      <c r="K54" s="30">
        <v>3301</v>
      </c>
      <c r="L54" s="20" t="s">
        <v>84</v>
      </c>
      <c r="M54" s="30">
        <v>3301129</v>
      </c>
      <c r="N54" s="77" t="s">
        <v>1105</v>
      </c>
      <c r="O54" s="79">
        <v>202500000002378</v>
      </c>
      <c r="P54" s="20" t="s">
        <v>95</v>
      </c>
      <c r="Q54" s="46" t="s">
        <v>822</v>
      </c>
      <c r="R54" s="20" t="s">
        <v>548</v>
      </c>
      <c r="S54" s="20" t="s">
        <v>26</v>
      </c>
      <c r="T54" s="30">
        <v>330112900</v>
      </c>
      <c r="U54" s="20" t="s">
        <v>552</v>
      </c>
      <c r="V54" s="20" t="s">
        <v>18</v>
      </c>
      <c r="W54" s="30">
        <v>11.4</v>
      </c>
      <c r="X54" s="20" t="s">
        <v>770</v>
      </c>
      <c r="Y54" s="22">
        <v>1</v>
      </c>
      <c r="Z54" s="22">
        <v>1</v>
      </c>
      <c r="AA54" s="22">
        <v>0</v>
      </c>
      <c r="AB54" s="22">
        <v>0</v>
      </c>
      <c r="AC54" s="22">
        <v>1</v>
      </c>
      <c r="AD54" s="22">
        <v>0</v>
      </c>
      <c r="AE54" s="22"/>
      <c r="AF54" s="19">
        <f t="shared" si="1"/>
        <v>0</v>
      </c>
      <c r="AG54" s="22" t="s">
        <v>1048</v>
      </c>
      <c r="AH54" s="73" t="s">
        <v>1048</v>
      </c>
      <c r="AI54" s="23">
        <v>0</v>
      </c>
      <c r="AJ54" s="23">
        <v>0</v>
      </c>
      <c r="AK54" s="23">
        <v>0</v>
      </c>
      <c r="AL54" s="23">
        <v>0</v>
      </c>
      <c r="AM54" s="23">
        <v>0</v>
      </c>
      <c r="AN54" s="23">
        <v>0</v>
      </c>
      <c r="AO54" s="23">
        <v>0</v>
      </c>
      <c r="AP54" s="23">
        <v>0</v>
      </c>
      <c r="AQ54" s="23">
        <v>0</v>
      </c>
      <c r="AR54" s="23">
        <v>0</v>
      </c>
      <c r="AS54" s="23">
        <v>0</v>
      </c>
      <c r="AT54" s="23">
        <v>0</v>
      </c>
      <c r="AU54" s="23">
        <v>0</v>
      </c>
      <c r="AV54" s="23">
        <v>0</v>
      </c>
      <c r="AW54" s="23">
        <v>0</v>
      </c>
      <c r="AX54" s="23">
        <v>0</v>
      </c>
      <c r="AY54" s="23">
        <v>0</v>
      </c>
      <c r="AZ54" s="23">
        <v>0</v>
      </c>
      <c r="BA54" s="23">
        <v>0</v>
      </c>
      <c r="BB54" s="23">
        <v>0</v>
      </c>
      <c r="BC54" s="23">
        <v>0</v>
      </c>
      <c r="BD54" s="23">
        <v>0</v>
      </c>
      <c r="BE54" s="23">
        <v>0</v>
      </c>
      <c r="BF54" s="23">
        <v>0</v>
      </c>
      <c r="BG54" s="23">
        <v>0</v>
      </c>
      <c r="BH54" s="23">
        <v>10000000</v>
      </c>
      <c r="BI54" s="23">
        <v>0</v>
      </c>
      <c r="BJ54" s="23">
        <v>0</v>
      </c>
      <c r="BK54" s="23">
        <v>0</v>
      </c>
      <c r="BL54" s="23">
        <v>0</v>
      </c>
      <c r="BM54" s="23">
        <v>0</v>
      </c>
      <c r="BN54" s="23">
        <v>0</v>
      </c>
      <c r="BO54" s="23">
        <v>0</v>
      </c>
      <c r="BP54" s="23">
        <v>0</v>
      </c>
      <c r="BQ54" s="23">
        <v>0</v>
      </c>
      <c r="BR54" s="23">
        <v>10000000</v>
      </c>
      <c r="BS54" s="23">
        <v>0</v>
      </c>
      <c r="BT54" s="23">
        <v>0</v>
      </c>
      <c r="BU54" s="23">
        <v>0</v>
      </c>
      <c r="BV54" s="23">
        <v>0</v>
      </c>
      <c r="BW54" s="23">
        <v>0</v>
      </c>
      <c r="BX54" s="23">
        <v>0</v>
      </c>
      <c r="BY54" s="23">
        <v>0</v>
      </c>
      <c r="BZ54" s="23">
        <v>0</v>
      </c>
      <c r="CA54" s="23">
        <v>0</v>
      </c>
      <c r="CB54" s="23">
        <v>0</v>
      </c>
      <c r="CC54" s="23">
        <v>0</v>
      </c>
      <c r="CD54" s="23">
        <v>0</v>
      </c>
      <c r="CE54" s="23">
        <f t="shared" si="2"/>
        <v>10000000</v>
      </c>
    </row>
    <row r="55" spans="1:83" x14ac:dyDescent="0.3">
      <c r="A55" s="20" t="s">
        <v>741</v>
      </c>
      <c r="B55" s="20">
        <v>19</v>
      </c>
      <c r="C55" s="20" t="s">
        <v>47</v>
      </c>
      <c r="D55" s="20">
        <v>50020001</v>
      </c>
      <c r="E55" s="20" t="s">
        <v>753</v>
      </c>
      <c r="F55" s="20" t="s">
        <v>754</v>
      </c>
      <c r="G55" s="20" t="s">
        <v>781</v>
      </c>
      <c r="H55" s="29">
        <v>4.6224999999999996</v>
      </c>
      <c r="I55" s="30">
        <v>2020</v>
      </c>
      <c r="J55" s="30">
        <v>2</v>
      </c>
      <c r="K55" s="30">
        <v>1905</v>
      </c>
      <c r="L55" s="20" t="s">
        <v>497</v>
      </c>
      <c r="M55" s="30">
        <v>1905049</v>
      </c>
      <c r="N55" s="77" t="s">
        <v>1108</v>
      </c>
      <c r="O55" s="79">
        <v>202500000006572</v>
      </c>
      <c r="P55" s="20" t="s">
        <v>553</v>
      </c>
      <c r="Q55" s="46" t="s">
        <v>823</v>
      </c>
      <c r="R55" s="20" t="s">
        <v>554</v>
      </c>
      <c r="S55" s="20" t="s">
        <v>555</v>
      </c>
      <c r="T55" s="30">
        <v>190504900</v>
      </c>
      <c r="U55" s="20" t="s">
        <v>556</v>
      </c>
      <c r="V55" s="20" t="s">
        <v>18</v>
      </c>
      <c r="W55" s="30">
        <v>3.8</v>
      </c>
      <c r="X55" s="20" t="s">
        <v>770</v>
      </c>
      <c r="Y55" s="22">
        <v>1</v>
      </c>
      <c r="Z55" s="22">
        <v>4</v>
      </c>
      <c r="AA55" s="22">
        <v>1</v>
      </c>
      <c r="AB55" s="22">
        <v>1</v>
      </c>
      <c r="AC55" s="22">
        <v>1</v>
      </c>
      <c r="AD55" s="22">
        <v>1</v>
      </c>
      <c r="AE55" s="22">
        <v>1</v>
      </c>
      <c r="AF55" s="19">
        <f t="shared" si="1"/>
        <v>25</v>
      </c>
      <c r="AG55" s="22">
        <v>1</v>
      </c>
      <c r="AH55" s="73">
        <v>100</v>
      </c>
      <c r="AI55" s="23">
        <v>0</v>
      </c>
      <c r="AJ55" s="23">
        <v>0</v>
      </c>
      <c r="AK55" s="23">
        <v>0</v>
      </c>
      <c r="AL55" s="23">
        <v>2500000</v>
      </c>
      <c r="AM55" s="23">
        <v>0</v>
      </c>
      <c r="AN55" s="23">
        <v>0</v>
      </c>
      <c r="AO55" s="23">
        <v>0</v>
      </c>
      <c r="AP55" s="23">
        <v>0</v>
      </c>
      <c r="AQ55" s="23">
        <v>0</v>
      </c>
      <c r="AR55" s="23">
        <v>0</v>
      </c>
      <c r="AS55" s="23">
        <v>0</v>
      </c>
      <c r="AT55" s="23">
        <v>2500000</v>
      </c>
      <c r="AU55" s="23">
        <v>0</v>
      </c>
      <c r="AV55" s="23">
        <v>0</v>
      </c>
      <c r="AW55" s="23">
        <v>0</v>
      </c>
      <c r="AX55" s="23">
        <v>2500000</v>
      </c>
      <c r="AY55" s="23">
        <v>0</v>
      </c>
      <c r="AZ55" s="23">
        <v>0</v>
      </c>
      <c r="BA55" s="23">
        <v>0</v>
      </c>
      <c r="BB55" s="23">
        <v>0</v>
      </c>
      <c r="BC55" s="23">
        <v>0</v>
      </c>
      <c r="BD55" s="23">
        <v>0</v>
      </c>
      <c r="BE55" s="23">
        <v>0</v>
      </c>
      <c r="BF55" s="23">
        <v>2500000</v>
      </c>
      <c r="BG55" s="23">
        <v>0</v>
      </c>
      <c r="BH55" s="23">
        <v>0</v>
      </c>
      <c r="BI55" s="23">
        <v>0</v>
      </c>
      <c r="BJ55" s="23">
        <v>2500000</v>
      </c>
      <c r="BK55" s="23">
        <v>0</v>
      </c>
      <c r="BL55" s="23">
        <v>0</v>
      </c>
      <c r="BM55" s="23">
        <v>0</v>
      </c>
      <c r="BN55" s="23">
        <v>0</v>
      </c>
      <c r="BO55" s="23">
        <v>0</v>
      </c>
      <c r="BP55" s="23">
        <v>0</v>
      </c>
      <c r="BQ55" s="23">
        <v>0</v>
      </c>
      <c r="BR55" s="23">
        <v>2500000</v>
      </c>
      <c r="BS55" s="23">
        <v>0</v>
      </c>
      <c r="BT55" s="23">
        <v>0</v>
      </c>
      <c r="BU55" s="23">
        <v>0</v>
      </c>
      <c r="BV55" s="23">
        <v>2500000</v>
      </c>
      <c r="BW55" s="23">
        <v>0</v>
      </c>
      <c r="BX55" s="23">
        <v>0</v>
      </c>
      <c r="BY55" s="23">
        <v>0</v>
      </c>
      <c r="BZ55" s="23">
        <v>0</v>
      </c>
      <c r="CA55" s="23">
        <v>0</v>
      </c>
      <c r="CB55" s="23">
        <v>0</v>
      </c>
      <c r="CC55" s="23">
        <v>0</v>
      </c>
      <c r="CD55" s="23">
        <v>2500000</v>
      </c>
      <c r="CE55" s="23">
        <f t="shared" si="2"/>
        <v>10000000</v>
      </c>
    </row>
    <row r="56" spans="1:83" x14ac:dyDescent="0.3">
      <c r="A56" s="20" t="s">
        <v>741</v>
      </c>
      <c r="B56" s="20">
        <v>19</v>
      </c>
      <c r="C56" s="20" t="s">
        <v>47</v>
      </c>
      <c r="D56" s="20">
        <v>50010004</v>
      </c>
      <c r="E56" s="20" t="s">
        <v>708</v>
      </c>
      <c r="F56" s="20" t="s">
        <v>679</v>
      </c>
      <c r="G56" s="20" t="s">
        <v>781</v>
      </c>
      <c r="H56" s="29">
        <v>99.391400000000004</v>
      </c>
      <c r="I56" s="30">
        <v>2021</v>
      </c>
      <c r="J56" s="30">
        <v>100</v>
      </c>
      <c r="K56" s="30">
        <v>1906</v>
      </c>
      <c r="L56" s="20" t="s">
        <v>479</v>
      </c>
      <c r="M56" s="30">
        <v>1906035</v>
      </c>
      <c r="N56" s="77" t="s">
        <v>1107</v>
      </c>
      <c r="O56" s="79">
        <v>202500000006564</v>
      </c>
      <c r="P56" s="20" t="s">
        <v>557</v>
      </c>
      <c r="Q56" s="46" t="s">
        <v>823</v>
      </c>
      <c r="R56" s="20" t="s">
        <v>558</v>
      </c>
      <c r="S56" s="20" t="s">
        <v>559</v>
      </c>
      <c r="T56" s="30">
        <v>190603500</v>
      </c>
      <c r="U56" s="20" t="s">
        <v>560</v>
      </c>
      <c r="V56" s="20" t="s">
        <v>18</v>
      </c>
      <c r="W56" s="30">
        <v>3.8</v>
      </c>
      <c r="X56" s="20" t="s">
        <v>770</v>
      </c>
      <c r="Y56" s="22">
        <v>1</v>
      </c>
      <c r="Z56" s="22">
        <v>4</v>
      </c>
      <c r="AA56" s="22">
        <v>1</v>
      </c>
      <c r="AB56" s="22">
        <v>1</v>
      </c>
      <c r="AC56" s="22">
        <v>1</v>
      </c>
      <c r="AD56" s="22">
        <v>1</v>
      </c>
      <c r="AE56" s="22">
        <v>1</v>
      </c>
      <c r="AF56" s="19">
        <f t="shared" si="1"/>
        <v>25</v>
      </c>
      <c r="AG56" s="22">
        <v>1</v>
      </c>
      <c r="AH56" s="73">
        <v>100</v>
      </c>
      <c r="AI56" s="23">
        <v>0</v>
      </c>
      <c r="AJ56" s="23">
        <v>0</v>
      </c>
      <c r="AK56" s="23">
        <v>0</v>
      </c>
      <c r="AL56" s="23">
        <v>5000000</v>
      </c>
      <c r="AM56" s="23">
        <v>0</v>
      </c>
      <c r="AN56" s="23">
        <v>0</v>
      </c>
      <c r="AO56" s="23">
        <v>0</v>
      </c>
      <c r="AP56" s="23">
        <v>0</v>
      </c>
      <c r="AQ56" s="23">
        <v>0</v>
      </c>
      <c r="AR56" s="23">
        <v>0</v>
      </c>
      <c r="AS56" s="23">
        <v>0</v>
      </c>
      <c r="AT56" s="23">
        <v>5000000</v>
      </c>
      <c r="AU56" s="23">
        <v>0</v>
      </c>
      <c r="AV56" s="23">
        <v>0</v>
      </c>
      <c r="AW56" s="23">
        <v>0</v>
      </c>
      <c r="AX56" s="23">
        <v>5000000</v>
      </c>
      <c r="AY56" s="23">
        <v>0</v>
      </c>
      <c r="AZ56" s="23">
        <v>0</v>
      </c>
      <c r="BA56" s="23">
        <v>0</v>
      </c>
      <c r="BB56" s="23">
        <v>0</v>
      </c>
      <c r="BC56" s="23">
        <v>0</v>
      </c>
      <c r="BD56" s="23">
        <v>0</v>
      </c>
      <c r="BE56" s="23">
        <v>0</v>
      </c>
      <c r="BF56" s="23">
        <v>5000000</v>
      </c>
      <c r="BG56" s="23">
        <v>0</v>
      </c>
      <c r="BH56" s="23">
        <v>0</v>
      </c>
      <c r="BI56" s="23">
        <v>0</v>
      </c>
      <c r="BJ56" s="23">
        <v>5000000</v>
      </c>
      <c r="BK56" s="23">
        <v>0</v>
      </c>
      <c r="BL56" s="23">
        <v>0</v>
      </c>
      <c r="BM56" s="23">
        <v>0</v>
      </c>
      <c r="BN56" s="23">
        <v>0</v>
      </c>
      <c r="BO56" s="23">
        <v>0</v>
      </c>
      <c r="BP56" s="23">
        <v>0</v>
      </c>
      <c r="BQ56" s="23">
        <v>0</v>
      </c>
      <c r="BR56" s="23">
        <v>5000000</v>
      </c>
      <c r="BS56" s="23">
        <v>0</v>
      </c>
      <c r="BT56" s="23">
        <v>0</v>
      </c>
      <c r="BU56" s="23">
        <v>0</v>
      </c>
      <c r="BV56" s="23">
        <v>5000000</v>
      </c>
      <c r="BW56" s="23">
        <v>0</v>
      </c>
      <c r="BX56" s="23">
        <v>0</v>
      </c>
      <c r="BY56" s="23">
        <v>0</v>
      </c>
      <c r="BZ56" s="23">
        <v>0</v>
      </c>
      <c r="CA56" s="23">
        <v>0</v>
      </c>
      <c r="CB56" s="23">
        <v>0</v>
      </c>
      <c r="CC56" s="23">
        <v>0</v>
      </c>
      <c r="CD56" s="23">
        <v>5000000</v>
      </c>
      <c r="CE56" s="23">
        <f t="shared" si="2"/>
        <v>20000000</v>
      </c>
    </row>
    <row r="57" spans="1:83" x14ac:dyDescent="0.3">
      <c r="A57" s="20" t="s">
        <v>741</v>
      </c>
      <c r="B57" s="20">
        <v>19</v>
      </c>
      <c r="C57" s="20" t="s">
        <v>47</v>
      </c>
      <c r="D57" s="20">
        <v>50010004</v>
      </c>
      <c r="E57" s="20" t="s">
        <v>708</v>
      </c>
      <c r="F57" s="20" t="s">
        <v>679</v>
      </c>
      <c r="G57" s="20" t="s">
        <v>781</v>
      </c>
      <c r="H57" s="29">
        <v>99.391400000000004</v>
      </c>
      <c r="I57" s="30">
        <v>2021</v>
      </c>
      <c r="J57" s="30">
        <v>100</v>
      </c>
      <c r="K57" s="30">
        <v>1906</v>
      </c>
      <c r="L57" s="20" t="s">
        <v>479</v>
      </c>
      <c r="M57" s="30">
        <v>1906042</v>
      </c>
      <c r="N57" s="77" t="s">
        <v>1107</v>
      </c>
      <c r="O57" s="79">
        <v>202500000006564</v>
      </c>
      <c r="P57" s="20" t="s">
        <v>561</v>
      </c>
      <c r="Q57" s="46"/>
      <c r="R57" s="20" t="s">
        <v>562</v>
      </c>
      <c r="S57" s="20" t="s">
        <v>442</v>
      </c>
      <c r="T57" s="30">
        <v>190604200</v>
      </c>
      <c r="U57" s="20" t="s">
        <v>563</v>
      </c>
      <c r="V57" s="20" t="s">
        <v>18</v>
      </c>
      <c r="W57" s="30" t="s">
        <v>594</v>
      </c>
      <c r="X57" s="20" t="s">
        <v>770</v>
      </c>
      <c r="Y57" s="22">
        <v>1</v>
      </c>
      <c r="Z57" s="22">
        <v>4</v>
      </c>
      <c r="AA57" s="22">
        <v>1</v>
      </c>
      <c r="AB57" s="22">
        <v>1</v>
      </c>
      <c r="AC57" s="22">
        <v>1</v>
      </c>
      <c r="AD57" s="22">
        <v>1</v>
      </c>
      <c r="AE57" s="22">
        <v>1</v>
      </c>
      <c r="AF57" s="19">
        <f t="shared" si="1"/>
        <v>25</v>
      </c>
      <c r="AG57" s="22">
        <v>1</v>
      </c>
      <c r="AH57" s="73">
        <v>100</v>
      </c>
      <c r="AI57" s="23">
        <v>0</v>
      </c>
      <c r="AJ57" s="23">
        <v>0</v>
      </c>
      <c r="AK57" s="23">
        <v>0</v>
      </c>
      <c r="AL57" s="23">
        <v>3000000</v>
      </c>
      <c r="AM57" s="23">
        <v>0</v>
      </c>
      <c r="AN57" s="23">
        <v>0</v>
      </c>
      <c r="AO57" s="23">
        <v>0</v>
      </c>
      <c r="AP57" s="23">
        <v>0</v>
      </c>
      <c r="AQ57" s="23">
        <v>0</v>
      </c>
      <c r="AR57" s="23">
        <v>0</v>
      </c>
      <c r="AS57" s="23">
        <v>0</v>
      </c>
      <c r="AT57" s="23">
        <v>3000000</v>
      </c>
      <c r="AU57" s="23">
        <v>0</v>
      </c>
      <c r="AV57" s="23">
        <v>0</v>
      </c>
      <c r="AW57" s="23">
        <v>0</v>
      </c>
      <c r="AX57" s="23">
        <v>3000000</v>
      </c>
      <c r="AY57" s="23">
        <v>0</v>
      </c>
      <c r="AZ57" s="23">
        <v>0</v>
      </c>
      <c r="BA57" s="23">
        <v>0</v>
      </c>
      <c r="BB57" s="23">
        <v>0</v>
      </c>
      <c r="BC57" s="23">
        <v>0</v>
      </c>
      <c r="BD57" s="23">
        <v>0</v>
      </c>
      <c r="BE57" s="23">
        <v>0</v>
      </c>
      <c r="BF57" s="23">
        <v>3000000</v>
      </c>
      <c r="BG57" s="23">
        <v>0</v>
      </c>
      <c r="BH57" s="23">
        <v>0</v>
      </c>
      <c r="BI57" s="23">
        <v>0</v>
      </c>
      <c r="BJ57" s="23">
        <v>3000000</v>
      </c>
      <c r="BK57" s="23">
        <v>0</v>
      </c>
      <c r="BL57" s="23">
        <v>0</v>
      </c>
      <c r="BM57" s="23">
        <v>0</v>
      </c>
      <c r="BN57" s="23">
        <v>0</v>
      </c>
      <c r="BO57" s="23">
        <v>0</v>
      </c>
      <c r="BP57" s="23">
        <v>0</v>
      </c>
      <c r="BQ57" s="23">
        <v>0</v>
      </c>
      <c r="BR57" s="23">
        <v>3000000</v>
      </c>
      <c r="BS57" s="23">
        <v>0</v>
      </c>
      <c r="BT57" s="23">
        <v>0</v>
      </c>
      <c r="BU57" s="23">
        <v>0</v>
      </c>
      <c r="BV57" s="23">
        <v>3000000</v>
      </c>
      <c r="BW57" s="23">
        <v>0</v>
      </c>
      <c r="BX57" s="23">
        <v>0</v>
      </c>
      <c r="BY57" s="23">
        <v>0</v>
      </c>
      <c r="BZ57" s="23">
        <v>0</v>
      </c>
      <c r="CA57" s="23">
        <v>0</v>
      </c>
      <c r="CB57" s="23">
        <v>0</v>
      </c>
      <c r="CC57" s="23">
        <v>0</v>
      </c>
      <c r="CD57" s="23">
        <v>3000000</v>
      </c>
      <c r="CE57" s="23">
        <f t="shared" si="2"/>
        <v>12000000</v>
      </c>
    </row>
    <row r="58" spans="1:83" x14ac:dyDescent="0.3">
      <c r="A58" s="20" t="s">
        <v>741</v>
      </c>
      <c r="B58" s="20">
        <v>19</v>
      </c>
      <c r="C58" s="20" t="s">
        <v>47</v>
      </c>
      <c r="D58" s="20">
        <v>50010004</v>
      </c>
      <c r="E58" s="20" t="s">
        <v>708</v>
      </c>
      <c r="F58" s="20" t="s">
        <v>679</v>
      </c>
      <c r="G58" s="20" t="s">
        <v>781</v>
      </c>
      <c r="H58" s="29">
        <v>99.391400000000004</v>
      </c>
      <c r="I58" s="30">
        <v>2021</v>
      </c>
      <c r="J58" s="30">
        <v>100</v>
      </c>
      <c r="K58" s="30">
        <v>1906</v>
      </c>
      <c r="L58" s="20" t="s">
        <v>479</v>
      </c>
      <c r="M58" s="30">
        <v>1906044</v>
      </c>
      <c r="N58" s="77" t="s">
        <v>1107</v>
      </c>
      <c r="O58" s="79">
        <v>202500000006564</v>
      </c>
      <c r="P58" s="20" t="s">
        <v>564</v>
      </c>
      <c r="Q58" s="46"/>
      <c r="R58" s="20" t="s">
        <v>565</v>
      </c>
      <c r="S58" s="20" t="s">
        <v>40</v>
      </c>
      <c r="T58" s="30">
        <v>190604400</v>
      </c>
      <c r="U58" s="20" t="s">
        <v>566</v>
      </c>
      <c r="V58" s="20" t="s">
        <v>18</v>
      </c>
      <c r="W58" s="30" t="s">
        <v>594</v>
      </c>
      <c r="X58" s="20" t="s">
        <v>770</v>
      </c>
      <c r="Y58" s="22">
        <v>2391</v>
      </c>
      <c r="Z58" s="22">
        <v>2419</v>
      </c>
      <c r="AA58" s="22">
        <v>2419</v>
      </c>
      <c r="AB58" s="22">
        <v>2419</v>
      </c>
      <c r="AC58" s="22">
        <v>2419</v>
      </c>
      <c r="AD58" s="22">
        <v>2419</v>
      </c>
      <c r="AE58" s="22">
        <v>2419</v>
      </c>
      <c r="AF58" s="19">
        <f t="shared" si="1"/>
        <v>100</v>
      </c>
      <c r="AG58" s="22">
        <v>2350</v>
      </c>
      <c r="AH58" s="73">
        <v>97.14758164530798</v>
      </c>
      <c r="AI58" s="23">
        <v>0</v>
      </c>
      <c r="AJ58" s="23">
        <v>0</v>
      </c>
      <c r="AK58" s="23">
        <v>0</v>
      </c>
      <c r="AL58" s="23">
        <v>1190077278</v>
      </c>
      <c r="AM58" s="23">
        <v>0</v>
      </c>
      <c r="AN58" s="23">
        <v>0</v>
      </c>
      <c r="AO58" s="23">
        <v>0</v>
      </c>
      <c r="AP58" s="23">
        <v>0</v>
      </c>
      <c r="AQ58" s="23">
        <v>0</v>
      </c>
      <c r="AR58" s="23">
        <v>0</v>
      </c>
      <c r="AS58" s="23">
        <v>3259924759</v>
      </c>
      <c r="AT58" s="23">
        <v>4450002037</v>
      </c>
      <c r="AU58" s="23">
        <v>0</v>
      </c>
      <c r="AV58" s="23">
        <v>0</v>
      </c>
      <c r="AW58" s="23">
        <v>0</v>
      </c>
      <c r="AX58" s="23">
        <v>1273382687</v>
      </c>
      <c r="AY58" s="23">
        <v>0</v>
      </c>
      <c r="AZ58" s="23">
        <v>0</v>
      </c>
      <c r="BA58" s="23">
        <v>0</v>
      </c>
      <c r="BB58" s="23">
        <v>0</v>
      </c>
      <c r="BC58" s="23">
        <v>0</v>
      </c>
      <c r="BD58" s="23">
        <v>0</v>
      </c>
      <c r="BE58" s="23">
        <v>3488119492</v>
      </c>
      <c r="BF58" s="23">
        <v>4761502179</v>
      </c>
      <c r="BG58" s="23">
        <v>0</v>
      </c>
      <c r="BH58" s="23">
        <v>0</v>
      </c>
      <c r="BI58" s="23">
        <v>0</v>
      </c>
      <c r="BJ58" s="23">
        <v>1362519476</v>
      </c>
      <c r="BK58" s="23">
        <v>0</v>
      </c>
      <c r="BL58" s="23">
        <v>0</v>
      </c>
      <c r="BM58" s="23">
        <v>0</v>
      </c>
      <c r="BN58" s="23">
        <v>0</v>
      </c>
      <c r="BO58" s="23">
        <v>0</v>
      </c>
      <c r="BP58" s="23">
        <v>0</v>
      </c>
      <c r="BQ58" s="23">
        <v>3732287857</v>
      </c>
      <c r="BR58" s="23">
        <v>5094807333</v>
      </c>
      <c r="BS58" s="23">
        <v>0</v>
      </c>
      <c r="BT58" s="23">
        <v>0</v>
      </c>
      <c r="BU58" s="23">
        <v>0</v>
      </c>
      <c r="BV58" s="23">
        <v>1457895839</v>
      </c>
      <c r="BW58" s="23">
        <v>0</v>
      </c>
      <c r="BX58" s="23">
        <v>0</v>
      </c>
      <c r="BY58" s="23">
        <v>0</v>
      </c>
      <c r="BZ58" s="23">
        <v>0</v>
      </c>
      <c r="CA58" s="23">
        <v>0</v>
      </c>
      <c r="CB58" s="23">
        <v>0</v>
      </c>
      <c r="CC58" s="23">
        <v>3993548007</v>
      </c>
      <c r="CD58" s="23">
        <v>5451443846</v>
      </c>
      <c r="CE58" s="23">
        <f t="shared" si="2"/>
        <v>19757755395</v>
      </c>
    </row>
    <row r="59" spans="1:83" ht="15" customHeight="1" x14ac:dyDescent="0.3">
      <c r="A59" s="20" t="s">
        <v>741</v>
      </c>
      <c r="B59" s="20">
        <v>41</v>
      </c>
      <c r="C59" s="20" t="s">
        <v>12</v>
      </c>
      <c r="D59" s="20">
        <v>140010051</v>
      </c>
      <c r="E59" s="20" t="s">
        <v>720</v>
      </c>
      <c r="F59" s="20" t="s">
        <v>428</v>
      </c>
      <c r="G59" s="20" t="s">
        <v>774</v>
      </c>
      <c r="H59" s="29">
        <v>77.937399999999997</v>
      </c>
      <c r="I59" s="30">
        <v>2023</v>
      </c>
      <c r="J59" s="30">
        <v>72</v>
      </c>
      <c r="K59" s="30">
        <v>4102</v>
      </c>
      <c r="L59" s="20" t="s">
        <v>13</v>
      </c>
      <c r="M59" s="30">
        <v>4102052</v>
      </c>
      <c r="N59" s="77" t="s">
        <v>1098</v>
      </c>
      <c r="O59" s="79">
        <v>202500000001968</v>
      </c>
      <c r="P59" s="20" t="s">
        <v>571</v>
      </c>
      <c r="Q59" s="46" t="s">
        <v>824</v>
      </c>
      <c r="R59" s="20" t="s">
        <v>572</v>
      </c>
      <c r="S59" s="20" t="s">
        <v>169</v>
      </c>
      <c r="T59" s="30">
        <v>410205200</v>
      </c>
      <c r="U59" s="20" t="s">
        <v>573</v>
      </c>
      <c r="V59" s="20" t="s">
        <v>18</v>
      </c>
      <c r="W59" s="30">
        <v>16.2</v>
      </c>
      <c r="X59" s="20" t="s">
        <v>19</v>
      </c>
      <c r="Y59" s="22">
        <v>90</v>
      </c>
      <c r="Z59" s="22">
        <v>140</v>
      </c>
      <c r="AA59" s="22">
        <v>35</v>
      </c>
      <c r="AB59" s="22">
        <v>35</v>
      </c>
      <c r="AC59" s="22">
        <v>35</v>
      </c>
      <c r="AD59" s="22">
        <v>35</v>
      </c>
      <c r="AE59" s="22">
        <v>39</v>
      </c>
      <c r="AF59" s="19">
        <f t="shared" si="1"/>
        <v>27.857142857142858</v>
      </c>
      <c r="AG59" s="22">
        <v>24</v>
      </c>
      <c r="AH59" s="73">
        <v>68.571428571428569</v>
      </c>
      <c r="AI59" s="23">
        <v>35000000</v>
      </c>
      <c r="AJ59" s="23">
        <v>0</v>
      </c>
      <c r="AK59" s="23">
        <v>0</v>
      </c>
      <c r="AL59" s="23">
        <v>0</v>
      </c>
      <c r="AM59" s="23">
        <v>0</v>
      </c>
      <c r="AN59" s="23">
        <v>0</v>
      </c>
      <c r="AO59" s="23">
        <v>0</v>
      </c>
      <c r="AP59" s="23">
        <v>0</v>
      </c>
      <c r="AQ59" s="23">
        <v>0</v>
      </c>
      <c r="AR59" s="23">
        <v>0</v>
      </c>
      <c r="AS59" s="23">
        <v>0</v>
      </c>
      <c r="AT59" s="23">
        <v>35000000</v>
      </c>
      <c r="AU59" s="23">
        <v>35000000</v>
      </c>
      <c r="AV59" s="23">
        <v>0</v>
      </c>
      <c r="AW59" s="23">
        <v>0</v>
      </c>
      <c r="AX59" s="23">
        <v>0</v>
      </c>
      <c r="AY59" s="23">
        <v>0</v>
      </c>
      <c r="AZ59" s="23">
        <v>0</v>
      </c>
      <c r="BA59" s="23">
        <v>0</v>
      </c>
      <c r="BB59" s="23">
        <v>0</v>
      </c>
      <c r="BC59" s="23">
        <v>0</v>
      </c>
      <c r="BD59" s="23">
        <v>0</v>
      </c>
      <c r="BE59" s="23">
        <v>0</v>
      </c>
      <c r="BF59" s="23">
        <v>35000000</v>
      </c>
      <c r="BG59" s="23">
        <v>35000000</v>
      </c>
      <c r="BH59" s="23">
        <v>0</v>
      </c>
      <c r="BI59" s="23">
        <v>0</v>
      </c>
      <c r="BJ59" s="23">
        <v>0</v>
      </c>
      <c r="BK59" s="23">
        <v>0</v>
      </c>
      <c r="BL59" s="23">
        <v>0</v>
      </c>
      <c r="BM59" s="23">
        <v>0</v>
      </c>
      <c r="BN59" s="23">
        <v>0</v>
      </c>
      <c r="BO59" s="23">
        <v>0</v>
      </c>
      <c r="BP59" s="23">
        <v>0</v>
      </c>
      <c r="BQ59" s="23">
        <v>0</v>
      </c>
      <c r="BR59" s="23">
        <v>35000000</v>
      </c>
      <c r="BS59" s="23">
        <v>35000000</v>
      </c>
      <c r="BT59" s="23">
        <v>0</v>
      </c>
      <c r="BU59" s="23">
        <v>0</v>
      </c>
      <c r="BV59" s="23">
        <v>0</v>
      </c>
      <c r="BW59" s="23">
        <v>0</v>
      </c>
      <c r="BX59" s="23">
        <v>0</v>
      </c>
      <c r="BY59" s="23">
        <v>0</v>
      </c>
      <c r="BZ59" s="23">
        <v>0</v>
      </c>
      <c r="CA59" s="23">
        <v>0</v>
      </c>
      <c r="CB59" s="23">
        <v>0</v>
      </c>
      <c r="CC59" s="23">
        <v>0</v>
      </c>
      <c r="CD59" s="23">
        <v>35000000</v>
      </c>
      <c r="CE59" s="23">
        <f t="shared" si="2"/>
        <v>140000000</v>
      </c>
    </row>
    <row r="60" spans="1:83" ht="15" customHeight="1" x14ac:dyDescent="0.3">
      <c r="A60" s="35" t="s">
        <v>742</v>
      </c>
      <c r="B60" s="20">
        <v>21</v>
      </c>
      <c r="C60" s="20" t="s">
        <v>64</v>
      </c>
      <c r="D60" s="20">
        <v>110150001</v>
      </c>
      <c r="E60" s="20" t="s">
        <v>718</v>
      </c>
      <c r="F60" s="20" t="s">
        <v>719</v>
      </c>
      <c r="G60" s="20" t="s">
        <v>783</v>
      </c>
      <c r="H60" s="29">
        <v>19.034400000000002</v>
      </c>
      <c r="I60" s="30">
        <v>2017</v>
      </c>
      <c r="J60" s="30">
        <v>17</v>
      </c>
      <c r="K60" s="30">
        <v>2104</v>
      </c>
      <c r="L60" s="20" t="s">
        <v>72</v>
      </c>
      <c r="M60" s="30">
        <v>2104012</v>
      </c>
      <c r="N60" s="77" t="s">
        <v>1109</v>
      </c>
      <c r="O60" s="79">
        <v>202500000014446</v>
      </c>
      <c r="P60" s="20" t="s">
        <v>73</v>
      </c>
      <c r="Q60" s="46"/>
      <c r="R60" s="20" t="s">
        <v>74</v>
      </c>
      <c r="S60" s="20" t="s">
        <v>75</v>
      </c>
      <c r="T60" s="30">
        <v>210401200</v>
      </c>
      <c r="U60" s="20" t="s">
        <v>76</v>
      </c>
      <c r="V60" s="20" t="s">
        <v>18</v>
      </c>
      <c r="W60" s="30">
        <v>16.600000000000001</v>
      </c>
      <c r="X60" s="20" t="s">
        <v>19</v>
      </c>
      <c r="Y60" s="22">
        <v>0</v>
      </c>
      <c r="Z60" s="22">
        <v>12</v>
      </c>
      <c r="AA60" s="22">
        <v>3</v>
      </c>
      <c r="AB60" s="22">
        <v>3</v>
      </c>
      <c r="AC60" s="22">
        <v>3</v>
      </c>
      <c r="AD60" s="22">
        <v>3</v>
      </c>
      <c r="AE60" s="22">
        <v>25</v>
      </c>
      <c r="AF60" s="19">
        <f t="shared" si="1"/>
        <v>208.33333333333334</v>
      </c>
      <c r="AG60" s="22">
        <v>5</v>
      </c>
      <c r="AH60" s="73">
        <v>166.66666666666666</v>
      </c>
      <c r="AI60" s="23">
        <v>7500000</v>
      </c>
      <c r="AJ60" s="23">
        <v>0</v>
      </c>
      <c r="AK60" s="23">
        <v>0</v>
      </c>
      <c r="AL60" s="23">
        <v>0</v>
      </c>
      <c r="AM60" s="23">
        <v>0</v>
      </c>
      <c r="AN60" s="23">
        <v>0</v>
      </c>
      <c r="AO60" s="23">
        <v>0</v>
      </c>
      <c r="AP60" s="23">
        <v>0</v>
      </c>
      <c r="AQ60" s="23">
        <v>0</v>
      </c>
      <c r="AR60" s="23">
        <v>0</v>
      </c>
      <c r="AS60" s="23">
        <v>0</v>
      </c>
      <c r="AT60" s="23">
        <v>7500000</v>
      </c>
      <c r="AU60" s="23">
        <v>7500000</v>
      </c>
      <c r="AV60" s="23">
        <v>0</v>
      </c>
      <c r="AW60" s="23">
        <v>0</v>
      </c>
      <c r="AX60" s="23">
        <v>0</v>
      </c>
      <c r="AY60" s="23">
        <v>0</v>
      </c>
      <c r="AZ60" s="23">
        <v>0</v>
      </c>
      <c r="BA60" s="23">
        <v>0</v>
      </c>
      <c r="BB60" s="23">
        <v>0</v>
      </c>
      <c r="BC60" s="23">
        <v>0</v>
      </c>
      <c r="BD60" s="23">
        <v>0</v>
      </c>
      <c r="BE60" s="23">
        <v>0</v>
      </c>
      <c r="BF60" s="23">
        <v>7500000</v>
      </c>
      <c r="BG60" s="23">
        <v>7500000</v>
      </c>
      <c r="BH60" s="23">
        <v>0</v>
      </c>
      <c r="BI60" s="23">
        <v>0</v>
      </c>
      <c r="BJ60" s="23">
        <v>0</v>
      </c>
      <c r="BK60" s="23">
        <v>0</v>
      </c>
      <c r="BL60" s="23">
        <v>0</v>
      </c>
      <c r="BM60" s="23">
        <v>0</v>
      </c>
      <c r="BN60" s="23">
        <v>0</v>
      </c>
      <c r="BO60" s="23">
        <v>0</v>
      </c>
      <c r="BP60" s="23">
        <v>0</v>
      </c>
      <c r="BQ60" s="23">
        <v>0</v>
      </c>
      <c r="BR60" s="23">
        <v>7500000</v>
      </c>
      <c r="BS60" s="23">
        <v>7500000</v>
      </c>
      <c r="BT60" s="23">
        <v>0</v>
      </c>
      <c r="BU60" s="23">
        <v>0</v>
      </c>
      <c r="BV60" s="23">
        <v>0</v>
      </c>
      <c r="BW60" s="23">
        <v>0</v>
      </c>
      <c r="BX60" s="23">
        <v>0</v>
      </c>
      <c r="BY60" s="23">
        <v>0</v>
      </c>
      <c r="BZ60" s="23">
        <v>0</v>
      </c>
      <c r="CA60" s="23">
        <v>0</v>
      </c>
      <c r="CB60" s="23">
        <v>0</v>
      </c>
      <c r="CC60" s="23">
        <v>0</v>
      </c>
      <c r="CD60" s="23">
        <v>7500000</v>
      </c>
      <c r="CE60" s="23">
        <f t="shared" si="2"/>
        <v>30000000</v>
      </c>
    </row>
    <row r="61" spans="1:83" ht="15" customHeight="1" x14ac:dyDescent="0.3">
      <c r="A61" s="20" t="s">
        <v>742</v>
      </c>
      <c r="B61" s="20">
        <v>21</v>
      </c>
      <c r="C61" s="20" t="s">
        <v>64</v>
      </c>
      <c r="D61" s="20">
        <v>110150001</v>
      </c>
      <c r="E61" s="20" t="s">
        <v>718</v>
      </c>
      <c r="F61" s="20" t="s">
        <v>719</v>
      </c>
      <c r="G61" s="20" t="s">
        <v>783</v>
      </c>
      <c r="H61" s="29">
        <v>19.034400000000002</v>
      </c>
      <c r="I61" s="30">
        <v>2017</v>
      </c>
      <c r="J61" s="30">
        <v>17</v>
      </c>
      <c r="K61" s="30">
        <v>2104</v>
      </c>
      <c r="L61" s="20" t="s">
        <v>72</v>
      </c>
      <c r="M61" s="30">
        <v>2104010</v>
      </c>
      <c r="N61" s="77" t="s">
        <v>1109</v>
      </c>
      <c r="O61" s="79">
        <v>202500000014446</v>
      </c>
      <c r="P61" s="20" t="s">
        <v>77</v>
      </c>
      <c r="Q61" s="46"/>
      <c r="R61" s="20" t="s">
        <v>78</v>
      </c>
      <c r="S61" s="20" t="s">
        <v>40</v>
      </c>
      <c r="T61" s="30">
        <v>210401001</v>
      </c>
      <c r="U61" s="20" t="s">
        <v>79</v>
      </c>
      <c r="V61" s="20" t="s">
        <v>18</v>
      </c>
      <c r="W61" s="30">
        <v>4.4000000000000004</v>
      </c>
      <c r="X61" s="20" t="s">
        <v>19</v>
      </c>
      <c r="Y61" s="22" t="s">
        <v>636</v>
      </c>
      <c r="Z61" s="22">
        <v>6</v>
      </c>
      <c r="AA61" s="22">
        <v>0</v>
      </c>
      <c r="AB61" s="22">
        <v>2</v>
      </c>
      <c r="AC61" s="22">
        <v>2</v>
      </c>
      <c r="AD61" s="22">
        <v>2</v>
      </c>
      <c r="AE61" s="22">
        <v>3</v>
      </c>
      <c r="AF61" s="19">
        <f t="shared" si="1"/>
        <v>50</v>
      </c>
      <c r="AG61" s="22">
        <v>2</v>
      </c>
      <c r="AH61" s="73">
        <v>100</v>
      </c>
      <c r="AI61" s="23">
        <v>0</v>
      </c>
      <c r="AJ61" s="23">
        <v>0</v>
      </c>
      <c r="AK61" s="23">
        <v>0</v>
      </c>
      <c r="AL61" s="23">
        <v>0</v>
      </c>
      <c r="AM61" s="23">
        <v>0</v>
      </c>
      <c r="AN61" s="23">
        <v>0</v>
      </c>
      <c r="AO61" s="23">
        <v>0</v>
      </c>
      <c r="AP61" s="23">
        <v>0</v>
      </c>
      <c r="AQ61" s="23">
        <v>0</v>
      </c>
      <c r="AR61" s="23">
        <v>0</v>
      </c>
      <c r="AS61" s="23">
        <v>0</v>
      </c>
      <c r="AT61" s="23">
        <v>0</v>
      </c>
      <c r="AU61" s="23">
        <v>3000000</v>
      </c>
      <c r="AV61" s="23">
        <v>0</v>
      </c>
      <c r="AW61" s="23">
        <v>0</v>
      </c>
      <c r="AX61" s="23">
        <v>0</v>
      </c>
      <c r="AY61" s="23">
        <v>0</v>
      </c>
      <c r="AZ61" s="23">
        <v>0</v>
      </c>
      <c r="BA61" s="23">
        <v>0</v>
      </c>
      <c r="BB61" s="23">
        <v>0</v>
      </c>
      <c r="BC61" s="23">
        <v>0</v>
      </c>
      <c r="BD61" s="23">
        <v>0</v>
      </c>
      <c r="BE61" s="23">
        <v>0</v>
      </c>
      <c r="BF61" s="23">
        <v>3000000</v>
      </c>
      <c r="BG61" s="23">
        <v>3000000</v>
      </c>
      <c r="BH61" s="23">
        <v>0</v>
      </c>
      <c r="BI61" s="23">
        <v>0</v>
      </c>
      <c r="BJ61" s="23">
        <v>0</v>
      </c>
      <c r="BK61" s="23">
        <v>0</v>
      </c>
      <c r="BL61" s="23">
        <v>0</v>
      </c>
      <c r="BM61" s="23">
        <v>0</v>
      </c>
      <c r="BN61" s="23">
        <v>0</v>
      </c>
      <c r="BO61" s="23">
        <v>0</v>
      </c>
      <c r="BP61" s="23">
        <v>0</v>
      </c>
      <c r="BQ61" s="23">
        <v>0</v>
      </c>
      <c r="BR61" s="23">
        <v>3000000</v>
      </c>
      <c r="BS61" s="23">
        <v>3000000</v>
      </c>
      <c r="BT61" s="23">
        <v>0</v>
      </c>
      <c r="BU61" s="23">
        <v>0</v>
      </c>
      <c r="BV61" s="23">
        <v>0</v>
      </c>
      <c r="BW61" s="23">
        <v>0</v>
      </c>
      <c r="BX61" s="23">
        <v>0</v>
      </c>
      <c r="BY61" s="23">
        <v>0</v>
      </c>
      <c r="BZ61" s="23">
        <v>0</v>
      </c>
      <c r="CA61" s="23">
        <v>0</v>
      </c>
      <c r="CB61" s="23">
        <v>0</v>
      </c>
      <c r="CC61" s="23">
        <v>0</v>
      </c>
      <c r="CD61" s="23">
        <v>3000000</v>
      </c>
      <c r="CE61" s="23">
        <f t="shared" si="2"/>
        <v>9000000</v>
      </c>
    </row>
    <row r="62" spans="1:83" ht="15" customHeight="1" x14ac:dyDescent="0.3">
      <c r="A62" s="20" t="s">
        <v>742</v>
      </c>
      <c r="B62" s="20">
        <v>21</v>
      </c>
      <c r="C62" s="20" t="s">
        <v>64</v>
      </c>
      <c r="D62" s="20">
        <v>110150001</v>
      </c>
      <c r="E62" s="20" t="s">
        <v>718</v>
      </c>
      <c r="F62" s="20" t="s">
        <v>719</v>
      </c>
      <c r="G62" s="20" t="s">
        <v>783</v>
      </c>
      <c r="H62" s="29">
        <v>19.034400000000002</v>
      </c>
      <c r="I62" s="30">
        <v>2017</v>
      </c>
      <c r="J62" s="30">
        <v>17</v>
      </c>
      <c r="K62" s="30">
        <v>2104</v>
      </c>
      <c r="L62" s="20" t="s">
        <v>72</v>
      </c>
      <c r="M62" s="30">
        <v>2104004</v>
      </c>
      <c r="N62" s="77" t="s">
        <v>1109</v>
      </c>
      <c r="O62" s="79">
        <v>202500000014446</v>
      </c>
      <c r="P62" s="20" t="s">
        <v>80</v>
      </c>
      <c r="Q62" s="46"/>
      <c r="R62" s="20" t="s">
        <v>81</v>
      </c>
      <c r="S62" s="20" t="s">
        <v>75</v>
      </c>
      <c r="T62" s="30">
        <v>210400400</v>
      </c>
      <c r="U62" s="20" t="s">
        <v>82</v>
      </c>
      <c r="V62" s="20" t="s">
        <v>18</v>
      </c>
      <c r="W62" s="30">
        <v>8.3000000000000007</v>
      </c>
      <c r="X62" s="20" t="s">
        <v>19</v>
      </c>
      <c r="Y62" s="22" t="s">
        <v>636</v>
      </c>
      <c r="Z62" s="22">
        <v>9</v>
      </c>
      <c r="AA62" s="22">
        <v>0</v>
      </c>
      <c r="AB62" s="22">
        <v>3</v>
      </c>
      <c r="AC62" s="22">
        <v>3</v>
      </c>
      <c r="AD62" s="22">
        <v>3</v>
      </c>
      <c r="AE62" s="22">
        <v>25</v>
      </c>
      <c r="AF62" s="19">
        <f t="shared" si="1"/>
        <v>277.77777777777777</v>
      </c>
      <c r="AG62" s="22">
        <v>1</v>
      </c>
      <c r="AH62" s="73">
        <v>33.333333333333336</v>
      </c>
      <c r="AI62" s="23">
        <v>0</v>
      </c>
      <c r="AJ62" s="23">
        <v>0</v>
      </c>
      <c r="AK62" s="23">
        <v>0</v>
      </c>
      <c r="AL62" s="23">
        <v>0</v>
      </c>
      <c r="AM62" s="23">
        <v>0</v>
      </c>
      <c r="AN62" s="23">
        <v>0</v>
      </c>
      <c r="AO62" s="23">
        <v>0</v>
      </c>
      <c r="AP62" s="23">
        <v>0</v>
      </c>
      <c r="AQ62" s="23">
        <v>0</v>
      </c>
      <c r="AR62" s="23">
        <v>0</v>
      </c>
      <c r="AS62" s="23">
        <v>0</v>
      </c>
      <c r="AT62" s="23">
        <v>0</v>
      </c>
      <c r="AU62" s="23">
        <v>9000000</v>
      </c>
      <c r="AV62" s="23">
        <v>0</v>
      </c>
      <c r="AW62" s="23">
        <v>0</v>
      </c>
      <c r="AX62" s="23">
        <v>0</v>
      </c>
      <c r="AY62" s="23">
        <v>0</v>
      </c>
      <c r="AZ62" s="23">
        <v>0</v>
      </c>
      <c r="BA62" s="23">
        <v>0</v>
      </c>
      <c r="BB62" s="23">
        <v>0</v>
      </c>
      <c r="BC62" s="23">
        <v>0</v>
      </c>
      <c r="BD62" s="23">
        <v>0</v>
      </c>
      <c r="BE62" s="23">
        <v>0</v>
      </c>
      <c r="BF62" s="23">
        <v>9000000</v>
      </c>
      <c r="BG62" s="23">
        <v>9000000</v>
      </c>
      <c r="BH62" s="23">
        <v>0</v>
      </c>
      <c r="BI62" s="23">
        <v>0</v>
      </c>
      <c r="BJ62" s="23">
        <v>0</v>
      </c>
      <c r="BK62" s="23">
        <v>0</v>
      </c>
      <c r="BL62" s="23">
        <v>0</v>
      </c>
      <c r="BM62" s="23">
        <v>0</v>
      </c>
      <c r="BN62" s="23">
        <v>0</v>
      </c>
      <c r="BO62" s="23">
        <v>0</v>
      </c>
      <c r="BP62" s="23">
        <v>0</v>
      </c>
      <c r="BQ62" s="23">
        <v>0</v>
      </c>
      <c r="BR62" s="23">
        <v>9000000</v>
      </c>
      <c r="BS62" s="23">
        <v>9000000</v>
      </c>
      <c r="BT62" s="23">
        <v>0</v>
      </c>
      <c r="BU62" s="23">
        <v>0</v>
      </c>
      <c r="BV62" s="23">
        <v>0</v>
      </c>
      <c r="BW62" s="23">
        <v>0</v>
      </c>
      <c r="BX62" s="23">
        <v>0</v>
      </c>
      <c r="BY62" s="23">
        <v>0</v>
      </c>
      <c r="BZ62" s="23">
        <v>0</v>
      </c>
      <c r="CA62" s="23">
        <v>0</v>
      </c>
      <c r="CB62" s="23">
        <v>0</v>
      </c>
      <c r="CC62" s="23">
        <v>0</v>
      </c>
      <c r="CD62" s="23">
        <v>9000000</v>
      </c>
      <c r="CE62" s="23">
        <f t="shared" si="2"/>
        <v>27000000</v>
      </c>
    </row>
    <row r="63" spans="1:83" ht="15" customHeight="1" x14ac:dyDescent="0.3">
      <c r="A63" s="20" t="s">
        <v>742</v>
      </c>
      <c r="B63" s="20">
        <v>36</v>
      </c>
      <c r="C63" s="20" t="s">
        <v>154</v>
      </c>
      <c r="D63" s="20">
        <v>160020005</v>
      </c>
      <c r="E63" s="20" t="s">
        <v>717</v>
      </c>
      <c r="F63" s="20" t="s">
        <v>799</v>
      </c>
      <c r="G63" s="20" t="s">
        <v>774</v>
      </c>
      <c r="H63" s="29" t="s">
        <v>800</v>
      </c>
      <c r="I63" s="30" t="s">
        <v>800</v>
      </c>
      <c r="J63" s="30">
        <v>0</v>
      </c>
      <c r="K63" s="30">
        <v>3604</v>
      </c>
      <c r="L63" s="20" t="s">
        <v>155</v>
      </c>
      <c r="M63" s="30">
        <v>3604004</v>
      </c>
      <c r="N63" s="77" t="s">
        <v>1110</v>
      </c>
      <c r="O63" s="79"/>
      <c r="P63" s="20" t="s">
        <v>156</v>
      </c>
      <c r="Q63" s="46"/>
      <c r="R63" s="20" t="s">
        <v>157</v>
      </c>
      <c r="S63" s="20" t="s">
        <v>40</v>
      </c>
      <c r="T63" s="30">
        <v>360400400</v>
      </c>
      <c r="U63" s="20" t="s">
        <v>100</v>
      </c>
      <c r="V63" s="20" t="s">
        <v>18</v>
      </c>
      <c r="W63" s="30">
        <v>16.100000000000001</v>
      </c>
      <c r="X63" s="20" t="s">
        <v>19</v>
      </c>
      <c r="Y63" s="22" t="s">
        <v>636</v>
      </c>
      <c r="Z63" s="22">
        <v>80</v>
      </c>
      <c r="AA63" s="22">
        <v>20</v>
      </c>
      <c r="AB63" s="22">
        <v>20</v>
      </c>
      <c r="AC63" s="22">
        <v>20</v>
      </c>
      <c r="AD63" s="22">
        <v>20</v>
      </c>
      <c r="AE63" s="22">
        <v>0</v>
      </c>
      <c r="AF63" s="19">
        <f t="shared" si="1"/>
        <v>0</v>
      </c>
      <c r="AG63" s="22">
        <v>0</v>
      </c>
      <c r="AH63" s="73">
        <v>0</v>
      </c>
      <c r="AI63" s="23">
        <v>4000000</v>
      </c>
      <c r="AJ63" s="23">
        <v>0</v>
      </c>
      <c r="AK63" s="23">
        <v>0</v>
      </c>
      <c r="AL63" s="23">
        <v>0</v>
      </c>
      <c r="AM63" s="23">
        <v>0</v>
      </c>
      <c r="AN63" s="23">
        <v>0</v>
      </c>
      <c r="AO63" s="23">
        <v>0</v>
      </c>
      <c r="AP63" s="23">
        <v>0</v>
      </c>
      <c r="AQ63" s="23">
        <v>0</v>
      </c>
      <c r="AR63" s="23">
        <v>0</v>
      </c>
      <c r="AS63" s="23">
        <v>0</v>
      </c>
      <c r="AT63" s="23">
        <v>4000000</v>
      </c>
      <c r="AU63" s="23">
        <v>4000000</v>
      </c>
      <c r="AV63" s="23">
        <v>0</v>
      </c>
      <c r="AW63" s="23">
        <v>0</v>
      </c>
      <c r="AX63" s="23">
        <v>0</v>
      </c>
      <c r="AY63" s="23">
        <v>0</v>
      </c>
      <c r="AZ63" s="23">
        <v>0</v>
      </c>
      <c r="BA63" s="23">
        <v>0</v>
      </c>
      <c r="BB63" s="23">
        <v>0</v>
      </c>
      <c r="BC63" s="23">
        <v>0</v>
      </c>
      <c r="BD63" s="23">
        <v>0</v>
      </c>
      <c r="BE63" s="23">
        <v>0</v>
      </c>
      <c r="BF63" s="23">
        <v>4000000</v>
      </c>
      <c r="BG63" s="23">
        <v>4000000</v>
      </c>
      <c r="BH63" s="23">
        <v>0</v>
      </c>
      <c r="BI63" s="23">
        <v>0</v>
      </c>
      <c r="BJ63" s="23">
        <v>0</v>
      </c>
      <c r="BK63" s="23">
        <v>0</v>
      </c>
      <c r="BL63" s="23">
        <v>0</v>
      </c>
      <c r="BM63" s="23">
        <v>0</v>
      </c>
      <c r="BN63" s="23">
        <v>0</v>
      </c>
      <c r="BO63" s="23">
        <v>0</v>
      </c>
      <c r="BP63" s="23">
        <v>0</v>
      </c>
      <c r="BQ63" s="23">
        <v>0</v>
      </c>
      <c r="BR63" s="23">
        <v>4000000</v>
      </c>
      <c r="BS63" s="23">
        <v>4000000</v>
      </c>
      <c r="BT63" s="23">
        <v>0</v>
      </c>
      <c r="BU63" s="23">
        <v>0</v>
      </c>
      <c r="BV63" s="23">
        <v>0</v>
      </c>
      <c r="BW63" s="23">
        <v>0</v>
      </c>
      <c r="BX63" s="23">
        <v>0</v>
      </c>
      <c r="BY63" s="23">
        <v>0</v>
      </c>
      <c r="BZ63" s="23">
        <v>0</v>
      </c>
      <c r="CA63" s="23">
        <v>0</v>
      </c>
      <c r="CB63" s="23">
        <v>0</v>
      </c>
      <c r="CC63" s="23">
        <v>0</v>
      </c>
      <c r="CD63" s="23">
        <v>4000000</v>
      </c>
      <c r="CE63" s="23">
        <f t="shared" si="2"/>
        <v>16000000</v>
      </c>
    </row>
    <row r="64" spans="1:83" ht="15" customHeight="1" x14ac:dyDescent="0.3">
      <c r="A64" s="20" t="s">
        <v>742</v>
      </c>
      <c r="B64" s="20">
        <v>35</v>
      </c>
      <c r="C64" s="20" t="s">
        <v>243</v>
      </c>
      <c r="D64" s="20">
        <v>160090004</v>
      </c>
      <c r="E64" s="20" t="s">
        <v>737</v>
      </c>
      <c r="F64" s="20" t="s">
        <v>797</v>
      </c>
      <c r="G64" s="20" t="s">
        <v>798</v>
      </c>
      <c r="H64" s="29">
        <v>0</v>
      </c>
      <c r="I64" s="30">
        <v>2021</v>
      </c>
      <c r="J64" s="30">
        <v>4</v>
      </c>
      <c r="K64" s="30">
        <v>3502</v>
      </c>
      <c r="L64" s="20" t="s">
        <v>244</v>
      </c>
      <c r="M64" s="30">
        <v>3502045</v>
      </c>
      <c r="N64" s="77" t="s">
        <v>1111</v>
      </c>
      <c r="O64" s="79">
        <v>202500000009651</v>
      </c>
      <c r="P64" s="20" t="s">
        <v>268</v>
      </c>
      <c r="Q64" s="46" t="s">
        <v>825</v>
      </c>
      <c r="R64" s="20" t="s">
        <v>269</v>
      </c>
      <c r="S64" s="20" t="s">
        <v>40</v>
      </c>
      <c r="T64" s="30">
        <v>350204500</v>
      </c>
      <c r="U64" s="20" t="s">
        <v>100</v>
      </c>
      <c r="V64" s="20" t="s">
        <v>18</v>
      </c>
      <c r="W64" s="30">
        <v>4.4000000000000004</v>
      </c>
      <c r="X64" s="20" t="s">
        <v>210</v>
      </c>
      <c r="Y64" s="22" t="s">
        <v>636</v>
      </c>
      <c r="Z64" s="22">
        <v>60</v>
      </c>
      <c r="AA64" s="22">
        <v>15</v>
      </c>
      <c r="AB64" s="22">
        <v>15</v>
      </c>
      <c r="AC64" s="22">
        <v>15</v>
      </c>
      <c r="AD64" s="22">
        <v>15</v>
      </c>
      <c r="AE64" s="22">
        <v>16</v>
      </c>
      <c r="AF64" s="19">
        <f t="shared" si="1"/>
        <v>26.666666666666668</v>
      </c>
      <c r="AG64" s="22">
        <v>0</v>
      </c>
      <c r="AH64" s="73">
        <v>0</v>
      </c>
      <c r="AI64" s="23">
        <v>5000000</v>
      </c>
      <c r="AJ64" s="23">
        <v>0</v>
      </c>
      <c r="AK64" s="23">
        <v>0</v>
      </c>
      <c r="AL64" s="23">
        <v>0</v>
      </c>
      <c r="AM64" s="23">
        <v>0</v>
      </c>
      <c r="AN64" s="23">
        <v>0</v>
      </c>
      <c r="AO64" s="23">
        <v>0</v>
      </c>
      <c r="AP64" s="23">
        <v>0</v>
      </c>
      <c r="AQ64" s="23">
        <v>0</v>
      </c>
      <c r="AR64" s="23">
        <v>0</v>
      </c>
      <c r="AS64" s="23">
        <v>0</v>
      </c>
      <c r="AT64" s="23">
        <v>5000000</v>
      </c>
      <c r="AU64" s="23">
        <v>5000000</v>
      </c>
      <c r="AV64" s="23">
        <v>0</v>
      </c>
      <c r="AW64" s="23">
        <v>0</v>
      </c>
      <c r="AX64" s="23">
        <v>0</v>
      </c>
      <c r="AY64" s="23">
        <v>0</v>
      </c>
      <c r="AZ64" s="23">
        <v>0</v>
      </c>
      <c r="BA64" s="23">
        <v>0</v>
      </c>
      <c r="BB64" s="23">
        <v>0</v>
      </c>
      <c r="BC64" s="23">
        <v>0</v>
      </c>
      <c r="BD64" s="23">
        <v>0</v>
      </c>
      <c r="BE64" s="23">
        <v>0</v>
      </c>
      <c r="BF64" s="23">
        <v>5000000</v>
      </c>
      <c r="BG64" s="23">
        <v>5000000</v>
      </c>
      <c r="BH64" s="23">
        <v>0</v>
      </c>
      <c r="BI64" s="23">
        <v>0</v>
      </c>
      <c r="BJ64" s="23">
        <v>0</v>
      </c>
      <c r="BK64" s="23">
        <v>0</v>
      </c>
      <c r="BL64" s="23">
        <v>0</v>
      </c>
      <c r="BM64" s="23">
        <v>0</v>
      </c>
      <c r="BN64" s="23">
        <v>0</v>
      </c>
      <c r="BO64" s="23">
        <v>0</v>
      </c>
      <c r="BP64" s="23">
        <v>0</v>
      </c>
      <c r="BQ64" s="23">
        <v>0</v>
      </c>
      <c r="BR64" s="23">
        <v>5000000</v>
      </c>
      <c r="BS64" s="23">
        <v>5000000</v>
      </c>
      <c r="BT64" s="23">
        <v>0</v>
      </c>
      <c r="BU64" s="23">
        <v>0</v>
      </c>
      <c r="BV64" s="23">
        <v>0</v>
      </c>
      <c r="BW64" s="23">
        <v>0</v>
      </c>
      <c r="BX64" s="23">
        <v>0</v>
      </c>
      <c r="BY64" s="23">
        <v>0</v>
      </c>
      <c r="BZ64" s="23">
        <v>0</v>
      </c>
      <c r="CA64" s="23">
        <v>0</v>
      </c>
      <c r="CB64" s="23">
        <v>0</v>
      </c>
      <c r="CC64" s="23">
        <v>0</v>
      </c>
      <c r="CD64" s="23">
        <v>5000000</v>
      </c>
      <c r="CE64" s="23">
        <f t="shared" si="2"/>
        <v>20000000</v>
      </c>
    </row>
    <row r="65" spans="1:83" ht="15" customHeight="1" x14ac:dyDescent="0.3">
      <c r="A65" s="20" t="s">
        <v>742</v>
      </c>
      <c r="B65" s="20">
        <v>35</v>
      </c>
      <c r="C65" s="20" t="s">
        <v>243</v>
      </c>
      <c r="D65" s="20">
        <v>160090004</v>
      </c>
      <c r="E65" s="20" t="s">
        <v>737</v>
      </c>
      <c r="F65" s="20" t="s">
        <v>797</v>
      </c>
      <c r="G65" s="20" t="s">
        <v>798</v>
      </c>
      <c r="H65" s="29">
        <v>0</v>
      </c>
      <c r="I65" s="30">
        <v>2021</v>
      </c>
      <c r="J65" s="30">
        <v>4</v>
      </c>
      <c r="K65" s="30">
        <v>3502</v>
      </c>
      <c r="L65" s="20" t="s">
        <v>244</v>
      </c>
      <c r="M65" s="30">
        <v>3502046</v>
      </c>
      <c r="N65" s="77" t="s">
        <v>1111</v>
      </c>
      <c r="O65" s="79">
        <v>202500000009651</v>
      </c>
      <c r="P65" s="20" t="s">
        <v>270</v>
      </c>
      <c r="Q65" s="46" t="s">
        <v>826</v>
      </c>
      <c r="R65" s="20" t="s">
        <v>271</v>
      </c>
      <c r="S65" s="20" t="s">
        <v>229</v>
      </c>
      <c r="T65" s="30">
        <v>350204600</v>
      </c>
      <c r="U65" s="20" t="s">
        <v>272</v>
      </c>
      <c r="V65" s="20" t="s">
        <v>18</v>
      </c>
      <c r="W65" s="30">
        <v>8.9</v>
      </c>
      <c r="X65" s="20" t="s">
        <v>210</v>
      </c>
      <c r="Y65" s="22">
        <v>1</v>
      </c>
      <c r="Z65" s="22">
        <v>7</v>
      </c>
      <c r="AA65" s="22">
        <v>1</v>
      </c>
      <c r="AB65" s="22">
        <v>2</v>
      </c>
      <c r="AC65" s="22">
        <v>2</v>
      </c>
      <c r="AD65" s="22">
        <v>2</v>
      </c>
      <c r="AE65" s="22">
        <v>4</v>
      </c>
      <c r="AF65" s="19">
        <f t="shared" si="1"/>
        <v>57.142857142857139</v>
      </c>
      <c r="AG65" s="22">
        <v>1</v>
      </c>
      <c r="AH65" s="73">
        <v>50</v>
      </c>
      <c r="AI65" s="23">
        <v>5000000</v>
      </c>
      <c r="AJ65" s="23">
        <v>35000000</v>
      </c>
      <c r="AK65" s="23">
        <v>0</v>
      </c>
      <c r="AL65" s="23">
        <v>0</v>
      </c>
      <c r="AM65" s="23">
        <v>0</v>
      </c>
      <c r="AN65" s="23">
        <v>0</v>
      </c>
      <c r="AO65" s="23">
        <v>0</v>
      </c>
      <c r="AP65" s="23">
        <v>0</v>
      </c>
      <c r="AQ65" s="23">
        <v>0</v>
      </c>
      <c r="AR65" s="23">
        <v>0</v>
      </c>
      <c r="AS65" s="23">
        <v>0</v>
      </c>
      <c r="AT65" s="23">
        <v>40000000</v>
      </c>
      <c r="AU65" s="23">
        <v>5000000</v>
      </c>
      <c r="AV65" s="23">
        <v>35000000</v>
      </c>
      <c r="AW65" s="23">
        <v>0</v>
      </c>
      <c r="AX65" s="23">
        <v>0</v>
      </c>
      <c r="AY65" s="23">
        <v>0</v>
      </c>
      <c r="AZ65" s="23">
        <v>0</v>
      </c>
      <c r="BA65" s="23">
        <v>0</v>
      </c>
      <c r="BB65" s="23">
        <v>0</v>
      </c>
      <c r="BC65" s="23">
        <v>30000000</v>
      </c>
      <c r="BD65" s="23">
        <v>0</v>
      </c>
      <c r="BE65" s="23">
        <v>0</v>
      </c>
      <c r="BF65" s="23">
        <v>70000000</v>
      </c>
      <c r="BG65" s="23">
        <v>5000000</v>
      </c>
      <c r="BH65" s="23">
        <v>35000000</v>
      </c>
      <c r="BI65" s="23">
        <v>0</v>
      </c>
      <c r="BJ65" s="23">
        <v>0</v>
      </c>
      <c r="BK65" s="23">
        <v>0</v>
      </c>
      <c r="BL65" s="23">
        <v>0</v>
      </c>
      <c r="BM65" s="23">
        <v>0</v>
      </c>
      <c r="BN65" s="23">
        <v>0</v>
      </c>
      <c r="BO65" s="23">
        <v>34000000</v>
      </c>
      <c r="BP65" s="23">
        <v>0</v>
      </c>
      <c r="BQ65" s="23">
        <v>0</v>
      </c>
      <c r="BR65" s="23">
        <v>74000000</v>
      </c>
      <c r="BS65" s="23">
        <v>5000000</v>
      </c>
      <c r="BT65" s="23">
        <v>35000000</v>
      </c>
      <c r="BU65" s="23">
        <v>0</v>
      </c>
      <c r="BV65" s="23">
        <v>0</v>
      </c>
      <c r="BW65" s="23">
        <v>0</v>
      </c>
      <c r="BX65" s="23">
        <v>0</v>
      </c>
      <c r="BY65" s="23">
        <v>0</v>
      </c>
      <c r="BZ65" s="23">
        <v>0</v>
      </c>
      <c r="CA65" s="23">
        <v>38000000</v>
      </c>
      <c r="CB65" s="23">
        <v>0</v>
      </c>
      <c r="CC65" s="23">
        <v>0</v>
      </c>
      <c r="CD65" s="23">
        <v>78000000</v>
      </c>
      <c r="CE65" s="23">
        <f t="shared" si="2"/>
        <v>262000000</v>
      </c>
    </row>
    <row r="66" spans="1:83" ht="15" customHeight="1" x14ac:dyDescent="0.3">
      <c r="A66" s="20" t="s">
        <v>742</v>
      </c>
      <c r="B66" s="20">
        <v>36</v>
      </c>
      <c r="C66" s="20" t="s">
        <v>154</v>
      </c>
      <c r="D66" s="20">
        <v>160090003</v>
      </c>
      <c r="E66" s="20" t="s">
        <v>730</v>
      </c>
      <c r="F66" s="20" t="s">
        <v>797</v>
      </c>
      <c r="G66" s="20" t="s">
        <v>798</v>
      </c>
      <c r="H66" s="29">
        <v>3</v>
      </c>
      <c r="I66" s="30">
        <v>2023</v>
      </c>
      <c r="J66" s="30">
        <v>3</v>
      </c>
      <c r="K66" s="30">
        <v>3602</v>
      </c>
      <c r="L66" s="20" t="s">
        <v>304</v>
      </c>
      <c r="M66" s="30">
        <v>3602017</v>
      </c>
      <c r="N66" s="77" t="s">
        <v>1112</v>
      </c>
      <c r="O66" s="79"/>
      <c r="P66" s="20" t="s">
        <v>305</v>
      </c>
      <c r="Q66" s="46"/>
      <c r="R66" s="20" t="s">
        <v>306</v>
      </c>
      <c r="S66" s="20" t="s">
        <v>307</v>
      </c>
      <c r="T66" s="30">
        <v>360201701</v>
      </c>
      <c r="U66" s="20" t="s">
        <v>308</v>
      </c>
      <c r="V66" s="20" t="s">
        <v>18</v>
      </c>
      <c r="W66" s="30">
        <v>8.3000000000000007</v>
      </c>
      <c r="X66" s="20" t="s">
        <v>210</v>
      </c>
      <c r="Y66" s="22">
        <v>0</v>
      </c>
      <c r="Z66" s="22">
        <v>70</v>
      </c>
      <c r="AA66" s="22">
        <v>40</v>
      </c>
      <c r="AB66" s="22">
        <v>10</v>
      </c>
      <c r="AC66" s="22">
        <v>10</v>
      </c>
      <c r="AD66" s="22">
        <v>10</v>
      </c>
      <c r="AE66" s="22">
        <v>40</v>
      </c>
      <c r="AF66" s="19">
        <f t="shared" si="1"/>
        <v>57.142857142857139</v>
      </c>
      <c r="AG66" s="22">
        <v>0</v>
      </c>
      <c r="AH66" s="73">
        <v>0</v>
      </c>
      <c r="AI66" s="23">
        <v>60000000</v>
      </c>
      <c r="AJ66" s="23">
        <v>0</v>
      </c>
      <c r="AK66" s="23">
        <v>0</v>
      </c>
      <c r="AL66" s="23">
        <v>0</v>
      </c>
      <c r="AM66" s="23">
        <v>0</v>
      </c>
      <c r="AN66" s="23">
        <v>0</v>
      </c>
      <c r="AO66" s="23">
        <v>0</v>
      </c>
      <c r="AP66" s="23">
        <v>0</v>
      </c>
      <c r="AQ66" s="23">
        <v>0</v>
      </c>
      <c r="AR66" s="23">
        <v>0</v>
      </c>
      <c r="AS66" s="23">
        <v>0</v>
      </c>
      <c r="AT66" s="23">
        <v>60000000</v>
      </c>
      <c r="AU66" s="23">
        <v>15000000</v>
      </c>
      <c r="AV66" s="23">
        <v>0</v>
      </c>
      <c r="AW66" s="23">
        <v>0</v>
      </c>
      <c r="AX66" s="23">
        <v>0</v>
      </c>
      <c r="AY66" s="23">
        <v>0</v>
      </c>
      <c r="AZ66" s="23">
        <v>0</v>
      </c>
      <c r="BA66" s="23">
        <v>0</v>
      </c>
      <c r="BB66" s="23">
        <v>0</v>
      </c>
      <c r="BC66" s="23">
        <v>0</v>
      </c>
      <c r="BD66" s="23">
        <v>0</v>
      </c>
      <c r="BE66" s="23">
        <v>0</v>
      </c>
      <c r="BF66" s="23">
        <v>15000000</v>
      </c>
      <c r="BG66" s="23">
        <v>15000000</v>
      </c>
      <c r="BH66" s="23">
        <v>0</v>
      </c>
      <c r="BI66" s="23">
        <v>0</v>
      </c>
      <c r="BJ66" s="23">
        <v>0</v>
      </c>
      <c r="BK66" s="23">
        <v>0</v>
      </c>
      <c r="BL66" s="23">
        <v>0</v>
      </c>
      <c r="BM66" s="23">
        <v>0</v>
      </c>
      <c r="BN66" s="23">
        <v>0</v>
      </c>
      <c r="BO66" s="23">
        <v>0</v>
      </c>
      <c r="BP66" s="23">
        <v>0</v>
      </c>
      <c r="BQ66" s="23">
        <v>0</v>
      </c>
      <c r="BR66" s="23">
        <v>15000000</v>
      </c>
      <c r="BS66" s="23">
        <v>15000000</v>
      </c>
      <c r="BT66" s="23">
        <v>0</v>
      </c>
      <c r="BU66" s="23">
        <v>0</v>
      </c>
      <c r="BV66" s="23">
        <v>0</v>
      </c>
      <c r="BW66" s="23">
        <v>0</v>
      </c>
      <c r="BX66" s="23">
        <v>0</v>
      </c>
      <c r="BY66" s="23">
        <v>0</v>
      </c>
      <c r="BZ66" s="23">
        <v>0</v>
      </c>
      <c r="CA66" s="23">
        <v>0</v>
      </c>
      <c r="CB66" s="23">
        <v>0</v>
      </c>
      <c r="CC66" s="23">
        <v>0</v>
      </c>
      <c r="CD66" s="23">
        <v>15000000</v>
      </c>
      <c r="CE66" s="23">
        <f t="shared" si="2"/>
        <v>105000000</v>
      </c>
    </row>
    <row r="67" spans="1:83" ht="15" customHeight="1" x14ac:dyDescent="0.3">
      <c r="A67" s="20" t="s">
        <v>742</v>
      </c>
      <c r="B67" s="20">
        <v>36</v>
      </c>
      <c r="C67" s="20" t="s">
        <v>154</v>
      </c>
      <c r="D67" s="20">
        <v>160090003</v>
      </c>
      <c r="E67" s="20" t="s">
        <v>730</v>
      </c>
      <c r="F67" s="20" t="s">
        <v>797</v>
      </c>
      <c r="G67" s="20" t="s">
        <v>798</v>
      </c>
      <c r="H67" s="29">
        <v>3</v>
      </c>
      <c r="I67" s="30">
        <v>2023</v>
      </c>
      <c r="J67" s="30">
        <v>3</v>
      </c>
      <c r="K67" s="30">
        <v>3602</v>
      </c>
      <c r="L67" s="20" t="s">
        <v>304</v>
      </c>
      <c r="M67" s="30">
        <v>3602006</v>
      </c>
      <c r="N67" s="77" t="s">
        <v>1112</v>
      </c>
      <c r="O67" s="79"/>
      <c r="P67" s="20" t="s">
        <v>315</v>
      </c>
      <c r="Q67" s="46" t="s">
        <v>827</v>
      </c>
      <c r="R67" s="20" t="s">
        <v>316</v>
      </c>
      <c r="S67" s="20" t="s">
        <v>40</v>
      </c>
      <c r="T67" s="30">
        <v>360200603</v>
      </c>
      <c r="U67" s="20" t="s">
        <v>317</v>
      </c>
      <c r="V67" s="20" t="s">
        <v>18</v>
      </c>
      <c r="W67" s="30">
        <v>8.5</v>
      </c>
      <c r="X67" s="20" t="s">
        <v>19</v>
      </c>
      <c r="Y67" s="22">
        <v>1</v>
      </c>
      <c r="Z67" s="22">
        <v>4</v>
      </c>
      <c r="AA67" s="22">
        <v>1</v>
      </c>
      <c r="AB67" s="22">
        <v>1</v>
      </c>
      <c r="AC67" s="22">
        <v>1</v>
      </c>
      <c r="AD67" s="22">
        <v>1</v>
      </c>
      <c r="AE67" s="22">
        <v>2</v>
      </c>
      <c r="AF67" s="19">
        <f t="shared" si="1"/>
        <v>50</v>
      </c>
      <c r="AG67" s="22">
        <v>1</v>
      </c>
      <c r="AH67" s="73">
        <v>100</v>
      </c>
      <c r="AI67" s="23">
        <v>1500000</v>
      </c>
      <c r="AJ67" s="23">
        <v>0</v>
      </c>
      <c r="AK67" s="23">
        <v>0</v>
      </c>
      <c r="AL67" s="23">
        <v>0</v>
      </c>
      <c r="AM67" s="23">
        <v>0</v>
      </c>
      <c r="AN67" s="23">
        <v>0</v>
      </c>
      <c r="AO67" s="23">
        <v>0</v>
      </c>
      <c r="AP67" s="23">
        <v>0</v>
      </c>
      <c r="AQ67" s="23">
        <v>0</v>
      </c>
      <c r="AR67" s="23">
        <v>0</v>
      </c>
      <c r="AS67" s="23">
        <v>0</v>
      </c>
      <c r="AT67" s="23">
        <v>1500000</v>
      </c>
      <c r="AU67" s="23">
        <v>1500000</v>
      </c>
      <c r="AV67" s="23">
        <v>0</v>
      </c>
      <c r="AW67" s="23">
        <v>0</v>
      </c>
      <c r="AX67" s="23">
        <v>0</v>
      </c>
      <c r="AY67" s="23">
        <v>0</v>
      </c>
      <c r="AZ67" s="23">
        <v>0</v>
      </c>
      <c r="BA67" s="23">
        <v>0</v>
      </c>
      <c r="BB67" s="23">
        <v>0</v>
      </c>
      <c r="BC67" s="23">
        <v>0</v>
      </c>
      <c r="BD67" s="23">
        <v>0</v>
      </c>
      <c r="BE67" s="23">
        <v>0</v>
      </c>
      <c r="BF67" s="23">
        <v>1500000</v>
      </c>
      <c r="BG67" s="23">
        <v>1500000</v>
      </c>
      <c r="BH67" s="23">
        <v>0</v>
      </c>
      <c r="BI67" s="23">
        <v>0</v>
      </c>
      <c r="BJ67" s="23">
        <v>0</v>
      </c>
      <c r="BK67" s="23">
        <v>0</v>
      </c>
      <c r="BL67" s="23">
        <v>0</v>
      </c>
      <c r="BM67" s="23">
        <v>0</v>
      </c>
      <c r="BN67" s="23">
        <v>0</v>
      </c>
      <c r="BO67" s="23">
        <v>0</v>
      </c>
      <c r="BP67" s="23">
        <v>0</v>
      </c>
      <c r="BQ67" s="23">
        <v>0</v>
      </c>
      <c r="BR67" s="23">
        <v>1500000</v>
      </c>
      <c r="BS67" s="23">
        <v>1500000</v>
      </c>
      <c r="BT67" s="23">
        <v>0</v>
      </c>
      <c r="BU67" s="23">
        <v>0</v>
      </c>
      <c r="BV67" s="23">
        <v>0</v>
      </c>
      <c r="BW67" s="23">
        <v>0</v>
      </c>
      <c r="BX67" s="23">
        <v>0</v>
      </c>
      <c r="BY67" s="23">
        <v>0</v>
      </c>
      <c r="BZ67" s="23">
        <v>0</v>
      </c>
      <c r="CA67" s="23">
        <v>0</v>
      </c>
      <c r="CB67" s="23">
        <v>0</v>
      </c>
      <c r="CC67" s="23">
        <v>0</v>
      </c>
      <c r="CD67" s="23">
        <v>1500000</v>
      </c>
      <c r="CE67" s="23">
        <f t="shared" ref="CE67:CE98" si="3">+CD67+BR67+BF67+AT67</f>
        <v>6000000</v>
      </c>
    </row>
    <row r="68" spans="1:83" ht="15" customHeight="1" x14ac:dyDescent="0.3">
      <c r="A68" s="20" t="s">
        <v>742</v>
      </c>
      <c r="B68" s="20">
        <v>36</v>
      </c>
      <c r="C68" s="20" t="s">
        <v>154</v>
      </c>
      <c r="D68" s="20">
        <v>160020005</v>
      </c>
      <c r="E68" s="20" t="s">
        <v>717</v>
      </c>
      <c r="F68" s="20" t="s">
        <v>799</v>
      </c>
      <c r="G68" s="20" t="s">
        <v>712</v>
      </c>
      <c r="H68" s="29" t="s">
        <v>800</v>
      </c>
      <c r="I68" s="30" t="s">
        <v>800</v>
      </c>
      <c r="J68" s="30">
        <v>0</v>
      </c>
      <c r="K68" s="30">
        <v>3604</v>
      </c>
      <c r="L68" s="20" t="s">
        <v>155</v>
      </c>
      <c r="M68" s="30">
        <v>3604020</v>
      </c>
      <c r="N68" s="77" t="s">
        <v>1110</v>
      </c>
      <c r="O68" s="79"/>
      <c r="P68" s="20" t="s">
        <v>326</v>
      </c>
      <c r="Q68" s="46"/>
      <c r="R68" s="20" t="s">
        <v>327</v>
      </c>
      <c r="S68" s="20" t="s">
        <v>40</v>
      </c>
      <c r="T68" s="30">
        <v>360402000</v>
      </c>
      <c r="U68" s="20" t="s">
        <v>100</v>
      </c>
      <c r="V68" s="20" t="s">
        <v>18</v>
      </c>
      <c r="W68" s="30">
        <v>8.6999999999999993</v>
      </c>
      <c r="X68" s="20" t="s">
        <v>19</v>
      </c>
      <c r="Y68" s="22">
        <v>200</v>
      </c>
      <c r="Z68" s="22">
        <v>400</v>
      </c>
      <c r="AA68" s="22">
        <v>100</v>
      </c>
      <c r="AB68" s="22">
        <v>100</v>
      </c>
      <c r="AC68" s="22">
        <v>100</v>
      </c>
      <c r="AD68" s="22">
        <v>100</v>
      </c>
      <c r="AE68" s="22">
        <v>136</v>
      </c>
      <c r="AF68" s="19">
        <f t="shared" ref="AF68:AF131" si="4">+AE68/Z68*100</f>
        <v>34</v>
      </c>
      <c r="AG68" s="22">
        <v>0</v>
      </c>
      <c r="AH68" s="73">
        <v>0</v>
      </c>
      <c r="AI68" s="23">
        <v>5000000</v>
      </c>
      <c r="AJ68" s="23">
        <v>0</v>
      </c>
      <c r="AK68" s="23">
        <v>0</v>
      </c>
      <c r="AL68" s="23">
        <v>0</v>
      </c>
      <c r="AM68" s="23">
        <v>0</v>
      </c>
      <c r="AN68" s="23">
        <v>0</v>
      </c>
      <c r="AO68" s="23">
        <v>0</v>
      </c>
      <c r="AP68" s="23">
        <v>0</v>
      </c>
      <c r="AQ68" s="23">
        <v>0</v>
      </c>
      <c r="AR68" s="23">
        <v>0</v>
      </c>
      <c r="AS68" s="23">
        <v>0</v>
      </c>
      <c r="AT68" s="23">
        <v>5000000</v>
      </c>
      <c r="AU68" s="23">
        <v>5000000</v>
      </c>
      <c r="AV68" s="23">
        <v>0</v>
      </c>
      <c r="AW68" s="23">
        <v>0</v>
      </c>
      <c r="AX68" s="23">
        <v>0</v>
      </c>
      <c r="AY68" s="23">
        <v>0</v>
      </c>
      <c r="AZ68" s="23">
        <v>0</v>
      </c>
      <c r="BA68" s="23">
        <v>0</v>
      </c>
      <c r="BB68" s="23">
        <v>0</v>
      </c>
      <c r="BC68" s="23">
        <v>0</v>
      </c>
      <c r="BD68" s="23">
        <v>0</v>
      </c>
      <c r="BE68" s="23">
        <v>0</v>
      </c>
      <c r="BF68" s="23">
        <v>5000000</v>
      </c>
      <c r="BG68" s="23">
        <v>5000000</v>
      </c>
      <c r="BH68" s="23">
        <v>0</v>
      </c>
      <c r="BI68" s="23">
        <v>0</v>
      </c>
      <c r="BJ68" s="23">
        <v>0</v>
      </c>
      <c r="BK68" s="23">
        <v>0</v>
      </c>
      <c r="BL68" s="23">
        <v>0</v>
      </c>
      <c r="BM68" s="23">
        <v>0</v>
      </c>
      <c r="BN68" s="23">
        <v>0</v>
      </c>
      <c r="BO68" s="23">
        <v>0</v>
      </c>
      <c r="BP68" s="23">
        <v>0</v>
      </c>
      <c r="BQ68" s="23">
        <v>0</v>
      </c>
      <c r="BR68" s="23">
        <v>5000000</v>
      </c>
      <c r="BS68" s="23">
        <v>5000000</v>
      </c>
      <c r="BT68" s="23">
        <v>0</v>
      </c>
      <c r="BU68" s="23">
        <v>0</v>
      </c>
      <c r="BV68" s="23">
        <v>0</v>
      </c>
      <c r="BW68" s="23">
        <v>0</v>
      </c>
      <c r="BX68" s="23">
        <v>0</v>
      </c>
      <c r="BY68" s="23">
        <v>0</v>
      </c>
      <c r="BZ68" s="23">
        <v>0</v>
      </c>
      <c r="CA68" s="23">
        <v>0</v>
      </c>
      <c r="CB68" s="23">
        <v>0</v>
      </c>
      <c r="CC68" s="23">
        <v>0</v>
      </c>
      <c r="CD68" s="23">
        <v>5000000</v>
      </c>
      <c r="CE68" s="23">
        <f t="shared" si="3"/>
        <v>20000000</v>
      </c>
    </row>
    <row r="69" spans="1:83" ht="15" customHeight="1" x14ac:dyDescent="0.3">
      <c r="A69" s="20" t="s">
        <v>742</v>
      </c>
      <c r="B69" s="20">
        <v>36</v>
      </c>
      <c r="C69" s="20" t="s">
        <v>154</v>
      </c>
      <c r="D69" s="24">
        <v>20100040</v>
      </c>
      <c r="E69" s="20" t="s">
        <v>763</v>
      </c>
      <c r="F69" s="20" t="s">
        <v>719</v>
      </c>
      <c r="G69" s="20" t="s">
        <v>780</v>
      </c>
      <c r="H69" s="29">
        <v>0</v>
      </c>
      <c r="I69" s="30">
        <v>2021</v>
      </c>
      <c r="J69" s="30">
        <v>0</v>
      </c>
      <c r="K69" s="30">
        <v>3601</v>
      </c>
      <c r="L69" s="20" t="s">
        <v>328</v>
      </c>
      <c r="M69" s="30">
        <v>3601012</v>
      </c>
      <c r="N69" s="62" t="s">
        <v>1113</v>
      </c>
      <c r="O69" s="79"/>
      <c r="P69" s="20" t="s">
        <v>329</v>
      </c>
      <c r="Q69" s="46"/>
      <c r="R69" s="20" t="s">
        <v>330</v>
      </c>
      <c r="S69" s="20" t="s">
        <v>331</v>
      </c>
      <c r="T69" s="30">
        <v>360101200</v>
      </c>
      <c r="U69" s="20" t="s">
        <v>332</v>
      </c>
      <c r="V69" s="20" t="s">
        <v>18</v>
      </c>
      <c r="W69" s="30">
        <v>1.3</v>
      </c>
      <c r="X69" s="20" t="s">
        <v>770</v>
      </c>
      <c r="Y69" s="22">
        <v>1500</v>
      </c>
      <c r="Z69" s="22">
        <v>1600</v>
      </c>
      <c r="AA69" s="22">
        <v>400</v>
      </c>
      <c r="AB69" s="22">
        <v>400</v>
      </c>
      <c r="AC69" s="22">
        <v>400</v>
      </c>
      <c r="AD69" s="22">
        <v>400</v>
      </c>
      <c r="AE69" s="22">
        <v>416</v>
      </c>
      <c r="AF69" s="19">
        <f t="shared" si="4"/>
        <v>26</v>
      </c>
      <c r="AG69" s="22">
        <v>380</v>
      </c>
      <c r="AH69" s="73">
        <v>95</v>
      </c>
      <c r="AI69" s="23">
        <v>4000000</v>
      </c>
      <c r="AJ69" s="23">
        <v>0</v>
      </c>
      <c r="AK69" s="23">
        <v>0</v>
      </c>
      <c r="AL69" s="23">
        <v>0</v>
      </c>
      <c r="AM69" s="23">
        <v>0</v>
      </c>
      <c r="AN69" s="23">
        <v>0</v>
      </c>
      <c r="AO69" s="23">
        <v>0</v>
      </c>
      <c r="AP69" s="23">
        <v>0</v>
      </c>
      <c r="AQ69" s="23">
        <v>0</v>
      </c>
      <c r="AR69" s="23">
        <v>0</v>
      </c>
      <c r="AS69" s="23">
        <v>0</v>
      </c>
      <c r="AT69" s="23">
        <v>4000000</v>
      </c>
      <c r="AU69" s="23">
        <v>4000000</v>
      </c>
      <c r="AV69" s="23">
        <v>0</v>
      </c>
      <c r="AW69" s="23">
        <v>0</v>
      </c>
      <c r="AX69" s="23">
        <v>0</v>
      </c>
      <c r="AY69" s="23">
        <v>0</v>
      </c>
      <c r="AZ69" s="23">
        <v>0</v>
      </c>
      <c r="BA69" s="23">
        <v>0</v>
      </c>
      <c r="BB69" s="23">
        <v>0</v>
      </c>
      <c r="BC69" s="23">
        <v>0</v>
      </c>
      <c r="BD69" s="23">
        <v>0</v>
      </c>
      <c r="BE69" s="23">
        <v>0</v>
      </c>
      <c r="BF69" s="23">
        <v>4000000</v>
      </c>
      <c r="BG69" s="23">
        <v>4000000</v>
      </c>
      <c r="BH69" s="23">
        <v>0</v>
      </c>
      <c r="BI69" s="23">
        <v>0</v>
      </c>
      <c r="BJ69" s="23">
        <v>0</v>
      </c>
      <c r="BK69" s="23">
        <v>0</v>
      </c>
      <c r="BL69" s="23">
        <v>0</v>
      </c>
      <c r="BM69" s="23">
        <v>0</v>
      </c>
      <c r="BN69" s="23">
        <v>0</v>
      </c>
      <c r="BO69" s="23">
        <v>0</v>
      </c>
      <c r="BP69" s="23">
        <v>0</v>
      </c>
      <c r="BQ69" s="23">
        <v>0</v>
      </c>
      <c r="BR69" s="23">
        <v>4000000</v>
      </c>
      <c r="BS69" s="23">
        <v>4000000</v>
      </c>
      <c r="BT69" s="23">
        <v>0</v>
      </c>
      <c r="BU69" s="23">
        <v>0</v>
      </c>
      <c r="BV69" s="23">
        <v>0</v>
      </c>
      <c r="BW69" s="23">
        <v>0</v>
      </c>
      <c r="BX69" s="23">
        <v>0</v>
      </c>
      <c r="BY69" s="23">
        <v>0</v>
      </c>
      <c r="BZ69" s="23">
        <v>0</v>
      </c>
      <c r="CA69" s="23">
        <v>0</v>
      </c>
      <c r="CB69" s="23">
        <v>0</v>
      </c>
      <c r="CC69" s="23">
        <v>0</v>
      </c>
      <c r="CD69" s="23">
        <v>4000000</v>
      </c>
      <c r="CE69" s="23">
        <f t="shared" si="3"/>
        <v>16000000</v>
      </c>
    </row>
    <row r="70" spans="1:83" ht="15" customHeight="1" x14ac:dyDescent="0.3">
      <c r="A70" s="20" t="s">
        <v>742</v>
      </c>
      <c r="B70" s="20">
        <v>21</v>
      </c>
      <c r="C70" s="20" t="s">
        <v>64</v>
      </c>
      <c r="D70" s="20">
        <v>110150001</v>
      </c>
      <c r="E70" s="20" t="s">
        <v>718</v>
      </c>
      <c r="F70" s="20" t="s">
        <v>719</v>
      </c>
      <c r="G70" s="20" t="s">
        <v>783</v>
      </c>
      <c r="H70" s="29">
        <v>19.034400000000002</v>
      </c>
      <c r="I70" s="30">
        <v>2017</v>
      </c>
      <c r="J70" s="30">
        <v>17</v>
      </c>
      <c r="K70" s="30">
        <v>2105</v>
      </c>
      <c r="L70" s="20" t="s">
        <v>333</v>
      </c>
      <c r="M70" s="30">
        <v>2105019</v>
      </c>
      <c r="N70" s="77" t="s">
        <v>1114</v>
      </c>
      <c r="O70" s="79"/>
      <c r="P70" s="20" t="s">
        <v>334</v>
      </c>
      <c r="Q70" s="46"/>
      <c r="R70" s="20" t="s">
        <v>335</v>
      </c>
      <c r="S70" s="20" t="s">
        <v>40</v>
      </c>
      <c r="T70" s="30">
        <v>210501900</v>
      </c>
      <c r="U70" s="20" t="s">
        <v>336</v>
      </c>
      <c r="V70" s="20" t="s">
        <v>18</v>
      </c>
      <c r="W70" s="30">
        <v>12.2</v>
      </c>
      <c r="X70" s="20" t="s">
        <v>19</v>
      </c>
      <c r="Y70" s="22" t="s">
        <v>636</v>
      </c>
      <c r="Z70" s="22">
        <v>450</v>
      </c>
      <c r="AA70" s="22">
        <v>50</v>
      </c>
      <c r="AB70" s="22">
        <v>100</v>
      </c>
      <c r="AC70" s="22">
        <v>150</v>
      </c>
      <c r="AD70" s="22">
        <v>150</v>
      </c>
      <c r="AE70" s="22">
        <v>54</v>
      </c>
      <c r="AF70" s="19">
        <f t="shared" si="4"/>
        <v>12</v>
      </c>
      <c r="AG70" s="22">
        <v>0</v>
      </c>
      <c r="AH70" s="73">
        <v>0</v>
      </c>
      <c r="AI70" s="23">
        <v>0</v>
      </c>
      <c r="AJ70" s="23">
        <v>0</v>
      </c>
      <c r="AK70" s="23">
        <v>0</v>
      </c>
      <c r="AL70" s="23">
        <v>0</v>
      </c>
      <c r="AM70" s="23">
        <v>0</v>
      </c>
      <c r="AN70" s="23">
        <v>12500000</v>
      </c>
      <c r="AO70" s="23">
        <v>0</v>
      </c>
      <c r="AP70" s="23">
        <v>0</v>
      </c>
      <c r="AQ70" s="23">
        <v>0</v>
      </c>
      <c r="AR70" s="23">
        <v>0</v>
      </c>
      <c r="AS70" s="23">
        <v>0</v>
      </c>
      <c r="AT70" s="23">
        <v>12500000</v>
      </c>
      <c r="AU70" s="23">
        <v>0</v>
      </c>
      <c r="AV70" s="23">
        <v>0</v>
      </c>
      <c r="AW70" s="23">
        <v>0</v>
      </c>
      <c r="AX70" s="23">
        <v>0</v>
      </c>
      <c r="AY70" s="23">
        <v>0</v>
      </c>
      <c r="AZ70" s="23">
        <v>25000000</v>
      </c>
      <c r="BA70" s="23">
        <v>0</v>
      </c>
      <c r="BB70" s="23">
        <v>0</v>
      </c>
      <c r="BC70" s="23">
        <v>0</v>
      </c>
      <c r="BD70" s="23">
        <v>0</v>
      </c>
      <c r="BE70" s="23">
        <v>0</v>
      </c>
      <c r="BF70" s="23">
        <v>25000000</v>
      </c>
      <c r="BG70" s="23">
        <v>12500000</v>
      </c>
      <c r="BH70" s="23">
        <v>0</v>
      </c>
      <c r="BI70" s="23">
        <v>0</v>
      </c>
      <c r="BJ70" s="23">
        <v>0</v>
      </c>
      <c r="BK70" s="23">
        <v>0</v>
      </c>
      <c r="BL70" s="23">
        <v>25000000</v>
      </c>
      <c r="BM70" s="23">
        <v>0</v>
      </c>
      <c r="BN70" s="23">
        <v>0</v>
      </c>
      <c r="BO70" s="23">
        <v>0</v>
      </c>
      <c r="BP70" s="23">
        <v>0</v>
      </c>
      <c r="BQ70" s="23">
        <v>0</v>
      </c>
      <c r="BR70" s="23">
        <v>37500000</v>
      </c>
      <c r="BS70" s="23">
        <v>12500000</v>
      </c>
      <c r="BT70" s="23">
        <v>0</v>
      </c>
      <c r="BU70" s="23">
        <v>0</v>
      </c>
      <c r="BV70" s="23">
        <v>0</v>
      </c>
      <c r="BW70" s="23">
        <v>0</v>
      </c>
      <c r="BX70" s="23">
        <v>25000000</v>
      </c>
      <c r="BY70" s="23">
        <v>0</v>
      </c>
      <c r="BZ70" s="23">
        <v>0</v>
      </c>
      <c r="CA70" s="23">
        <v>0</v>
      </c>
      <c r="CB70" s="23">
        <v>0</v>
      </c>
      <c r="CC70" s="23">
        <v>0</v>
      </c>
      <c r="CD70" s="23">
        <v>37500000</v>
      </c>
      <c r="CE70" s="23">
        <f t="shared" si="3"/>
        <v>112500000</v>
      </c>
    </row>
    <row r="71" spans="1:83" ht="15" customHeight="1" x14ac:dyDescent="0.3">
      <c r="A71" s="20" t="s">
        <v>742</v>
      </c>
      <c r="B71" s="20">
        <v>35</v>
      </c>
      <c r="C71" s="20" t="s">
        <v>243</v>
      </c>
      <c r="D71" s="20">
        <v>160090004</v>
      </c>
      <c r="E71" s="20" t="s">
        <v>737</v>
      </c>
      <c r="F71" s="20" t="s">
        <v>797</v>
      </c>
      <c r="G71" s="20" t="s">
        <v>798</v>
      </c>
      <c r="H71" s="29">
        <v>0</v>
      </c>
      <c r="I71" s="30">
        <v>2021</v>
      </c>
      <c r="J71" s="30">
        <v>4</v>
      </c>
      <c r="K71" s="30">
        <v>3502</v>
      </c>
      <c r="L71" s="20" t="s">
        <v>244</v>
      </c>
      <c r="M71" s="30">
        <v>3502047</v>
      </c>
      <c r="N71" s="77" t="s">
        <v>1111</v>
      </c>
      <c r="O71" s="79">
        <v>202500000009651</v>
      </c>
      <c r="P71" s="20" t="s">
        <v>95</v>
      </c>
      <c r="Q71" s="46" t="s">
        <v>828</v>
      </c>
      <c r="R71" s="20" t="s">
        <v>337</v>
      </c>
      <c r="S71" s="20" t="s">
        <v>26</v>
      </c>
      <c r="T71" s="30">
        <v>350204700</v>
      </c>
      <c r="U71" s="20" t="s">
        <v>338</v>
      </c>
      <c r="V71" s="20" t="s">
        <v>18</v>
      </c>
      <c r="W71" s="30">
        <v>8.1999999999999993</v>
      </c>
      <c r="X71" s="20" t="s">
        <v>210</v>
      </c>
      <c r="Y71" s="22">
        <v>0</v>
      </c>
      <c r="Z71" s="22">
        <v>1</v>
      </c>
      <c r="AA71" s="22">
        <v>0</v>
      </c>
      <c r="AB71" s="22">
        <v>1</v>
      </c>
      <c r="AC71" s="22">
        <v>0</v>
      </c>
      <c r="AD71" s="22">
        <v>0</v>
      </c>
      <c r="AE71" s="22">
        <v>1</v>
      </c>
      <c r="AF71" s="19">
        <f t="shared" si="4"/>
        <v>100</v>
      </c>
      <c r="AG71" s="22">
        <v>1</v>
      </c>
      <c r="AH71" s="73">
        <v>100</v>
      </c>
      <c r="AI71" s="23">
        <v>0</v>
      </c>
      <c r="AJ71" s="23">
        <v>0</v>
      </c>
      <c r="AK71" s="23">
        <v>0</v>
      </c>
      <c r="AL71" s="23">
        <v>0</v>
      </c>
      <c r="AM71" s="23">
        <v>0</v>
      </c>
      <c r="AN71" s="23">
        <v>0</v>
      </c>
      <c r="AO71" s="23">
        <v>0</v>
      </c>
      <c r="AP71" s="23">
        <v>0</v>
      </c>
      <c r="AQ71" s="23">
        <v>0</v>
      </c>
      <c r="AR71" s="23">
        <v>0</v>
      </c>
      <c r="AS71" s="23">
        <v>0</v>
      </c>
      <c r="AT71" s="23">
        <v>0</v>
      </c>
      <c r="AU71" s="23">
        <v>0</v>
      </c>
      <c r="AV71" s="23">
        <v>0</v>
      </c>
      <c r="AW71" s="23">
        <v>0</v>
      </c>
      <c r="AX71" s="23">
        <v>0</v>
      </c>
      <c r="AY71" s="23">
        <v>0</v>
      </c>
      <c r="AZ71" s="23">
        <v>20000000</v>
      </c>
      <c r="BA71" s="23">
        <v>0</v>
      </c>
      <c r="BB71" s="23">
        <v>0</v>
      </c>
      <c r="BC71" s="23">
        <v>0</v>
      </c>
      <c r="BD71" s="23">
        <v>0</v>
      </c>
      <c r="BE71" s="23">
        <v>12305000</v>
      </c>
      <c r="BF71" s="23">
        <v>32305000</v>
      </c>
      <c r="BG71" s="23">
        <v>0</v>
      </c>
      <c r="BH71" s="23">
        <v>0</v>
      </c>
      <c r="BI71" s="23">
        <v>0</v>
      </c>
      <c r="BJ71" s="23">
        <v>0</v>
      </c>
      <c r="BK71" s="23">
        <v>0</v>
      </c>
      <c r="BL71" s="23">
        <v>0</v>
      </c>
      <c r="BM71" s="23">
        <v>0</v>
      </c>
      <c r="BN71" s="23">
        <v>0</v>
      </c>
      <c r="BO71" s="23">
        <v>0</v>
      </c>
      <c r="BP71" s="23">
        <v>0</v>
      </c>
      <c r="BQ71" s="23">
        <v>0</v>
      </c>
      <c r="BR71" s="23">
        <v>0</v>
      </c>
      <c r="BS71" s="23">
        <v>0</v>
      </c>
      <c r="BT71" s="23">
        <v>0</v>
      </c>
      <c r="BU71" s="23">
        <v>0</v>
      </c>
      <c r="BV71" s="23">
        <v>0</v>
      </c>
      <c r="BW71" s="23">
        <v>0</v>
      </c>
      <c r="BX71" s="23">
        <v>0</v>
      </c>
      <c r="BY71" s="23">
        <v>0</v>
      </c>
      <c r="BZ71" s="23">
        <v>0</v>
      </c>
      <c r="CA71" s="23">
        <v>0</v>
      </c>
      <c r="CB71" s="23">
        <v>0</v>
      </c>
      <c r="CC71" s="23">
        <v>0</v>
      </c>
      <c r="CD71" s="23">
        <v>0</v>
      </c>
      <c r="CE71" s="23">
        <f t="shared" si="3"/>
        <v>32305000</v>
      </c>
    </row>
    <row r="72" spans="1:83" ht="15" customHeight="1" x14ac:dyDescent="0.3">
      <c r="A72" s="20" t="s">
        <v>742</v>
      </c>
      <c r="B72" s="20">
        <v>21</v>
      </c>
      <c r="C72" s="20" t="s">
        <v>64</v>
      </c>
      <c r="D72" s="20">
        <v>110150001</v>
      </c>
      <c r="E72" s="20" t="s">
        <v>718</v>
      </c>
      <c r="F72" s="20" t="s">
        <v>719</v>
      </c>
      <c r="G72" s="20" t="s">
        <v>783</v>
      </c>
      <c r="H72" s="29">
        <v>19.034400000000002</v>
      </c>
      <c r="I72" s="30">
        <v>2017</v>
      </c>
      <c r="J72" s="30">
        <v>17</v>
      </c>
      <c r="K72" s="30">
        <v>2104</v>
      </c>
      <c r="L72" s="20" t="s">
        <v>72</v>
      </c>
      <c r="M72" s="30">
        <v>2104018</v>
      </c>
      <c r="N72" s="77" t="s">
        <v>1109</v>
      </c>
      <c r="O72" s="79">
        <v>202500000014446</v>
      </c>
      <c r="P72" s="20" t="s">
        <v>339</v>
      </c>
      <c r="Q72" s="46"/>
      <c r="R72" s="20" t="s">
        <v>340</v>
      </c>
      <c r="S72" s="20" t="s">
        <v>341</v>
      </c>
      <c r="T72" s="30">
        <v>210401804</v>
      </c>
      <c r="U72" s="20" t="s">
        <v>342</v>
      </c>
      <c r="V72" s="20" t="s">
        <v>18</v>
      </c>
      <c r="W72" s="30">
        <v>8.6999999999999993</v>
      </c>
      <c r="X72" s="20" t="s">
        <v>19</v>
      </c>
      <c r="Y72" s="22" t="s">
        <v>636</v>
      </c>
      <c r="Z72" s="22">
        <v>15</v>
      </c>
      <c r="AA72" s="22">
        <v>0</v>
      </c>
      <c r="AB72" s="22">
        <v>5</v>
      </c>
      <c r="AC72" s="22">
        <v>5</v>
      </c>
      <c r="AD72" s="22">
        <v>5</v>
      </c>
      <c r="AE72" s="22"/>
      <c r="AF72" s="19">
        <f t="shared" si="4"/>
        <v>0</v>
      </c>
      <c r="AG72" s="22">
        <v>0</v>
      </c>
      <c r="AH72" s="73">
        <v>0</v>
      </c>
      <c r="AI72" s="23">
        <v>0</v>
      </c>
      <c r="AJ72" s="23">
        <v>0</v>
      </c>
      <c r="AK72" s="23">
        <v>0</v>
      </c>
      <c r="AL72" s="23">
        <v>0</v>
      </c>
      <c r="AM72" s="23">
        <v>0</v>
      </c>
      <c r="AN72" s="23">
        <v>0</v>
      </c>
      <c r="AO72" s="23">
        <v>0</v>
      </c>
      <c r="AP72" s="23">
        <v>0</v>
      </c>
      <c r="AQ72" s="23">
        <v>0</v>
      </c>
      <c r="AR72" s="23">
        <v>0</v>
      </c>
      <c r="AS72" s="23">
        <v>0</v>
      </c>
      <c r="AT72" s="23">
        <v>0</v>
      </c>
      <c r="AU72" s="23">
        <v>2500000</v>
      </c>
      <c r="AV72" s="23">
        <v>0</v>
      </c>
      <c r="AW72" s="23">
        <v>0</v>
      </c>
      <c r="AX72" s="23">
        <v>0</v>
      </c>
      <c r="AY72" s="23">
        <v>0</v>
      </c>
      <c r="AZ72" s="23">
        <v>0</v>
      </c>
      <c r="BA72" s="23">
        <v>0</v>
      </c>
      <c r="BB72" s="23">
        <v>0</v>
      </c>
      <c r="BC72" s="23">
        <v>0</v>
      </c>
      <c r="BD72" s="23">
        <v>0</v>
      </c>
      <c r="BE72" s="23">
        <v>0</v>
      </c>
      <c r="BF72" s="23">
        <v>2500000</v>
      </c>
      <c r="BG72" s="23">
        <v>2500000</v>
      </c>
      <c r="BH72" s="23">
        <v>0</v>
      </c>
      <c r="BI72" s="23">
        <v>0</v>
      </c>
      <c r="BJ72" s="23">
        <v>0</v>
      </c>
      <c r="BK72" s="23">
        <v>0</v>
      </c>
      <c r="BL72" s="23">
        <v>0</v>
      </c>
      <c r="BM72" s="23">
        <v>0</v>
      </c>
      <c r="BN72" s="23">
        <v>0</v>
      </c>
      <c r="BO72" s="23">
        <v>0</v>
      </c>
      <c r="BP72" s="23">
        <v>0</v>
      </c>
      <c r="BQ72" s="23">
        <v>0</v>
      </c>
      <c r="BR72" s="23">
        <v>2500000</v>
      </c>
      <c r="BS72" s="23">
        <v>2500000</v>
      </c>
      <c r="BT72" s="23">
        <v>0</v>
      </c>
      <c r="BU72" s="23">
        <v>0</v>
      </c>
      <c r="BV72" s="23">
        <v>0</v>
      </c>
      <c r="BW72" s="23">
        <v>0</v>
      </c>
      <c r="BX72" s="23">
        <v>0</v>
      </c>
      <c r="BY72" s="23">
        <v>0</v>
      </c>
      <c r="BZ72" s="23">
        <v>0</v>
      </c>
      <c r="CA72" s="23">
        <v>0</v>
      </c>
      <c r="CB72" s="23">
        <v>0</v>
      </c>
      <c r="CC72" s="23">
        <v>0</v>
      </c>
      <c r="CD72" s="23">
        <v>2500000</v>
      </c>
      <c r="CE72" s="23">
        <f t="shared" si="3"/>
        <v>7500000</v>
      </c>
    </row>
    <row r="73" spans="1:83" ht="15" customHeight="1" x14ac:dyDescent="0.3">
      <c r="A73" s="20" t="s">
        <v>742</v>
      </c>
      <c r="B73" s="20">
        <v>21</v>
      </c>
      <c r="C73" s="20" t="s">
        <v>64</v>
      </c>
      <c r="D73" s="20">
        <v>110150001</v>
      </c>
      <c r="E73" s="20" t="s">
        <v>718</v>
      </c>
      <c r="F73" s="20" t="s">
        <v>719</v>
      </c>
      <c r="G73" s="20" t="s">
        <v>783</v>
      </c>
      <c r="H73" s="29">
        <v>19.034400000000002</v>
      </c>
      <c r="I73" s="30">
        <v>2017</v>
      </c>
      <c r="J73" s="30">
        <v>17</v>
      </c>
      <c r="K73" s="30">
        <v>2104</v>
      </c>
      <c r="L73" s="20" t="s">
        <v>72</v>
      </c>
      <c r="M73" s="30">
        <v>2104024</v>
      </c>
      <c r="N73" s="77" t="s">
        <v>1109</v>
      </c>
      <c r="O73" s="79">
        <v>202500000014446</v>
      </c>
      <c r="P73" s="20" t="s">
        <v>343</v>
      </c>
      <c r="Q73" s="46"/>
      <c r="R73" s="20" t="s">
        <v>344</v>
      </c>
      <c r="S73" s="20" t="s">
        <v>40</v>
      </c>
      <c r="T73" s="30">
        <v>210402400</v>
      </c>
      <c r="U73" s="20" t="s">
        <v>100</v>
      </c>
      <c r="V73" s="20" t="s">
        <v>18</v>
      </c>
      <c r="W73" s="30">
        <v>4.4000000000000004</v>
      </c>
      <c r="X73" s="20" t="s">
        <v>19</v>
      </c>
      <c r="Y73" s="22" t="s">
        <v>636</v>
      </c>
      <c r="Z73" s="22">
        <v>90</v>
      </c>
      <c r="AA73" s="22">
        <v>0</v>
      </c>
      <c r="AB73" s="22">
        <v>30</v>
      </c>
      <c r="AC73" s="22">
        <v>30</v>
      </c>
      <c r="AD73" s="22">
        <v>30</v>
      </c>
      <c r="AE73" s="22">
        <v>28</v>
      </c>
      <c r="AF73" s="19">
        <f t="shared" si="4"/>
        <v>31.111111111111111</v>
      </c>
      <c r="AG73" s="22">
        <v>0</v>
      </c>
      <c r="AH73" s="73">
        <v>0</v>
      </c>
      <c r="AI73" s="23">
        <v>0</v>
      </c>
      <c r="AJ73" s="23">
        <v>0</v>
      </c>
      <c r="AK73" s="23">
        <v>0</v>
      </c>
      <c r="AL73" s="23">
        <v>0</v>
      </c>
      <c r="AM73" s="23">
        <v>0</v>
      </c>
      <c r="AN73" s="23">
        <v>0</v>
      </c>
      <c r="AO73" s="23">
        <v>0</v>
      </c>
      <c r="AP73" s="23">
        <v>0</v>
      </c>
      <c r="AQ73" s="23">
        <v>0</v>
      </c>
      <c r="AR73" s="23">
        <v>0</v>
      </c>
      <c r="AS73" s="23">
        <v>0</v>
      </c>
      <c r="AT73" s="23">
        <v>0</v>
      </c>
      <c r="AU73" s="23">
        <v>3000000</v>
      </c>
      <c r="AV73" s="23">
        <v>0</v>
      </c>
      <c r="AW73" s="23">
        <v>0</v>
      </c>
      <c r="AX73" s="23">
        <v>0</v>
      </c>
      <c r="AY73" s="23">
        <v>0</v>
      </c>
      <c r="AZ73" s="23">
        <v>0</v>
      </c>
      <c r="BA73" s="23">
        <v>0</v>
      </c>
      <c r="BB73" s="23">
        <v>0</v>
      </c>
      <c r="BC73" s="23">
        <v>0</v>
      </c>
      <c r="BD73" s="23">
        <v>0</v>
      </c>
      <c r="BE73" s="23">
        <v>0</v>
      </c>
      <c r="BF73" s="23">
        <v>3000000</v>
      </c>
      <c r="BG73" s="23">
        <v>3000000</v>
      </c>
      <c r="BH73" s="23">
        <v>0</v>
      </c>
      <c r="BI73" s="23">
        <v>0</v>
      </c>
      <c r="BJ73" s="23">
        <v>0</v>
      </c>
      <c r="BK73" s="23">
        <v>0</v>
      </c>
      <c r="BL73" s="23">
        <v>0</v>
      </c>
      <c r="BM73" s="23">
        <v>0</v>
      </c>
      <c r="BN73" s="23">
        <v>0</v>
      </c>
      <c r="BO73" s="23">
        <v>0</v>
      </c>
      <c r="BP73" s="23">
        <v>0</v>
      </c>
      <c r="BQ73" s="23">
        <v>0</v>
      </c>
      <c r="BR73" s="23">
        <v>3000000</v>
      </c>
      <c r="BS73" s="23">
        <v>3000000</v>
      </c>
      <c r="BT73" s="23">
        <v>0</v>
      </c>
      <c r="BU73" s="23">
        <v>0</v>
      </c>
      <c r="BV73" s="23">
        <v>0</v>
      </c>
      <c r="BW73" s="23">
        <v>0</v>
      </c>
      <c r="BX73" s="23">
        <v>0</v>
      </c>
      <c r="BY73" s="23">
        <v>0</v>
      </c>
      <c r="BZ73" s="23">
        <v>0</v>
      </c>
      <c r="CA73" s="23">
        <v>0</v>
      </c>
      <c r="CB73" s="23">
        <v>0</v>
      </c>
      <c r="CC73" s="23">
        <v>0</v>
      </c>
      <c r="CD73" s="23">
        <v>3000000</v>
      </c>
      <c r="CE73" s="23">
        <f t="shared" si="3"/>
        <v>9000000</v>
      </c>
    </row>
    <row r="74" spans="1:83" ht="15" customHeight="1" x14ac:dyDescent="0.3">
      <c r="A74" s="20" t="s">
        <v>743</v>
      </c>
      <c r="B74" s="20">
        <v>17</v>
      </c>
      <c r="C74" s="20" t="s">
        <v>208</v>
      </c>
      <c r="D74" s="20">
        <v>120060005</v>
      </c>
      <c r="E74" s="20" t="s">
        <v>678</v>
      </c>
      <c r="F74" s="20" t="s">
        <v>679</v>
      </c>
      <c r="G74" s="20" t="s">
        <v>784</v>
      </c>
      <c r="H74" s="29">
        <v>22.276399999999999</v>
      </c>
      <c r="I74" s="30">
        <v>2014</v>
      </c>
      <c r="J74" s="30">
        <v>50</v>
      </c>
      <c r="K74" s="30">
        <v>1707</v>
      </c>
      <c r="L74" s="20" t="s">
        <v>211</v>
      </c>
      <c r="M74" s="30">
        <v>1707024</v>
      </c>
      <c r="N74" s="62" t="s">
        <v>1115</v>
      </c>
      <c r="O74" s="79">
        <v>202500000002010</v>
      </c>
      <c r="P74" s="20" t="s">
        <v>212</v>
      </c>
      <c r="Q74" s="46"/>
      <c r="R74" s="20" t="s">
        <v>213</v>
      </c>
      <c r="S74" s="20" t="s">
        <v>214</v>
      </c>
      <c r="T74" s="30">
        <v>170702400</v>
      </c>
      <c r="U74" s="20" t="s">
        <v>215</v>
      </c>
      <c r="V74" s="20" t="s">
        <v>18</v>
      </c>
      <c r="W74" s="30" t="s">
        <v>594</v>
      </c>
      <c r="X74" s="20" t="s">
        <v>210</v>
      </c>
      <c r="Y74" s="22">
        <v>500</v>
      </c>
      <c r="Z74" s="22">
        <v>560</v>
      </c>
      <c r="AA74" s="22">
        <v>140</v>
      </c>
      <c r="AB74" s="22">
        <v>140</v>
      </c>
      <c r="AC74" s="22">
        <v>140</v>
      </c>
      <c r="AD74" s="22">
        <v>140</v>
      </c>
      <c r="AE74" s="22">
        <v>71</v>
      </c>
      <c r="AF74" s="19">
        <f t="shared" si="4"/>
        <v>12.678571428571427</v>
      </c>
      <c r="AG74" s="22">
        <v>30</v>
      </c>
      <c r="AH74" s="73">
        <v>21.428571428571427</v>
      </c>
      <c r="AI74" s="23">
        <v>1050000</v>
      </c>
      <c r="AJ74" s="23">
        <v>0</v>
      </c>
      <c r="AK74" s="23">
        <v>0</v>
      </c>
      <c r="AL74" s="23">
        <v>0</v>
      </c>
      <c r="AM74" s="23">
        <v>0</v>
      </c>
      <c r="AN74" s="23">
        <v>0</v>
      </c>
      <c r="AO74" s="23">
        <v>0</v>
      </c>
      <c r="AP74" s="23">
        <v>0</v>
      </c>
      <c r="AQ74" s="23">
        <v>0</v>
      </c>
      <c r="AR74" s="23">
        <v>0</v>
      </c>
      <c r="AS74" s="23">
        <v>0</v>
      </c>
      <c r="AT74" s="23">
        <v>1050000</v>
      </c>
      <c r="AU74" s="23">
        <v>1050000</v>
      </c>
      <c r="AV74" s="23">
        <v>0</v>
      </c>
      <c r="AW74" s="23">
        <v>0</v>
      </c>
      <c r="AX74" s="23">
        <v>0</v>
      </c>
      <c r="AY74" s="23">
        <v>0</v>
      </c>
      <c r="AZ74" s="23">
        <v>0</v>
      </c>
      <c r="BA74" s="23">
        <v>0</v>
      </c>
      <c r="BB74" s="23">
        <v>0</v>
      </c>
      <c r="BC74" s="23">
        <v>0</v>
      </c>
      <c r="BD74" s="23">
        <v>0</v>
      </c>
      <c r="BE74" s="23">
        <v>0</v>
      </c>
      <c r="BF74" s="23">
        <v>1050000</v>
      </c>
      <c r="BG74" s="23">
        <v>1050000</v>
      </c>
      <c r="BH74" s="23">
        <v>0</v>
      </c>
      <c r="BI74" s="23">
        <v>0</v>
      </c>
      <c r="BJ74" s="23">
        <v>0</v>
      </c>
      <c r="BK74" s="23">
        <v>0</v>
      </c>
      <c r="BL74" s="23">
        <v>0</v>
      </c>
      <c r="BM74" s="23">
        <v>0</v>
      </c>
      <c r="BN74" s="23">
        <v>0</v>
      </c>
      <c r="BO74" s="23">
        <v>0</v>
      </c>
      <c r="BP74" s="23">
        <v>0</v>
      </c>
      <c r="BQ74" s="23">
        <v>0</v>
      </c>
      <c r="BR74" s="23">
        <v>1050000</v>
      </c>
      <c r="BS74" s="23">
        <v>1050000</v>
      </c>
      <c r="BT74" s="23">
        <v>0</v>
      </c>
      <c r="BU74" s="23">
        <v>0</v>
      </c>
      <c r="BV74" s="23">
        <v>0</v>
      </c>
      <c r="BW74" s="23">
        <v>0</v>
      </c>
      <c r="BX74" s="23">
        <v>0</v>
      </c>
      <c r="BY74" s="23">
        <v>0</v>
      </c>
      <c r="BZ74" s="23">
        <v>0</v>
      </c>
      <c r="CA74" s="23">
        <v>0</v>
      </c>
      <c r="CB74" s="23">
        <v>0</v>
      </c>
      <c r="CC74" s="23">
        <v>0</v>
      </c>
      <c r="CD74" s="23">
        <v>1050000</v>
      </c>
      <c r="CE74" s="23">
        <f t="shared" si="3"/>
        <v>4200000</v>
      </c>
    </row>
    <row r="75" spans="1:83" ht="15" customHeight="1" x14ac:dyDescent="0.3">
      <c r="A75" s="20" t="s">
        <v>743</v>
      </c>
      <c r="B75" s="20">
        <v>32</v>
      </c>
      <c r="C75" s="20" t="s">
        <v>216</v>
      </c>
      <c r="D75" s="20">
        <v>110070013</v>
      </c>
      <c r="E75" s="20" t="s">
        <v>714</v>
      </c>
      <c r="F75" s="20" t="s">
        <v>715</v>
      </c>
      <c r="G75" s="20" t="s">
        <v>785</v>
      </c>
      <c r="H75" s="29" t="s">
        <v>803</v>
      </c>
      <c r="I75" s="30" t="s">
        <v>803</v>
      </c>
      <c r="J75" s="30">
        <v>1</v>
      </c>
      <c r="K75" s="30">
        <v>3202</v>
      </c>
      <c r="L75" s="20" t="s">
        <v>217</v>
      </c>
      <c r="M75" s="30">
        <v>3202014</v>
      </c>
      <c r="N75" s="77" t="s">
        <v>1116</v>
      </c>
      <c r="O75" s="79">
        <v>202500000002015</v>
      </c>
      <c r="P75" s="20" t="s">
        <v>218</v>
      </c>
      <c r="Q75" s="46"/>
      <c r="R75" s="20" t="s">
        <v>219</v>
      </c>
      <c r="S75" s="20" t="s">
        <v>40</v>
      </c>
      <c r="T75" s="30">
        <v>320201402</v>
      </c>
      <c r="U75" s="20" t="s">
        <v>220</v>
      </c>
      <c r="V75" s="20" t="s">
        <v>18</v>
      </c>
      <c r="W75" s="30">
        <v>12.8</v>
      </c>
      <c r="X75" s="20" t="s">
        <v>210</v>
      </c>
      <c r="Y75" s="22">
        <v>8</v>
      </c>
      <c r="Z75" s="22">
        <v>8</v>
      </c>
      <c r="AA75" s="22">
        <v>2</v>
      </c>
      <c r="AB75" s="22">
        <v>2</v>
      </c>
      <c r="AC75" s="22">
        <v>2</v>
      </c>
      <c r="AD75" s="22">
        <v>2</v>
      </c>
      <c r="AE75" s="22">
        <v>2</v>
      </c>
      <c r="AF75" s="19">
        <f t="shared" si="4"/>
        <v>25</v>
      </c>
      <c r="AG75" s="22">
        <v>0</v>
      </c>
      <c r="AH75" s="73">
        <v>0</v>
      </c>
      <c r="AI75" s="23">
        <v>0</v>
      </c>
      <c r="AJ75" s="23">
        <v>0</v>
      </c>
      <c r="AK75" s="23">
        <v>0</v>
      </c>
      <c r="AL75" s="23">
        <v>0</v>
      </c>
      <c r="AM75" s="23">
        <v>0</v>
      </c>
      <c r="AN75" s="23">
        <v>20000000</v>
      </c>
      <c r="AO75" s="23">
        <v>0</v>
      </c>
      <c r="AP75" s="23">
        <v>0</v>
      </c>
      <c r="AQ75" s="23">
        <v>0</v>
      </c>
      <c r="AR75" s="23">
        <v>0</v>
      </c>
      <c r="AS75" s="23">
        <v>0</v>
      </c>
      <c r="AT75" s="23">
        <v>20000000</v>
      </c>
      <c r="AU75" s="23">
        <v>0</v>
      </c>
      <c r="AV75" s="23">
        <v>0</v>
      </c>
      <c r="AW75" s="23">
        <v>0</v>
      </c>
      <c r="AX75" s="23">
        <v>0</v>
      </c>
      <c r="AY75" s="23">
        <v>0</v>
      </c>
      <c r="AZ75" s="23">
        <v>20000000</v>
      </c>
      <c r="BA75" s="23">
        <v>0</v>
      </c>
      <c r="BB75" s="23">
        <v>0</v>
      </c>
      <c r="BC75" s="23">
        <v>0</v>
      </c>
      <c r="BD75" s="23">
        <v>0</v>
      </c>
      <c r="BE75" s="23">
        <v>0</v>
      </c>
      <c r="BF75" s="23">
        <v>20000000</v>
      </c>
      <c r="BG75" s="23">
        <v>0</v>
      </c>
      <c r="BH75" s="23">
        <v>0</v>
      </c>
      <c r="BI75" s="23">
        <v>0</v>
      </c>
      <c r="BJ75" s="23">
        <v>0</v>
      </c>
      <c r="BK75" s="23">
        <v>0</v>
      </c>
      <c r="BL75" s="23">
        <v>20000000</v>
      </c>
      <c r="BM75" s="23">
        <v>0</v>
      </c>
      <c r="BN75" s="23">
        <v>0</v>
      </c>
      <c r="BO75" s="23">
        <v>0</v>
      </c>
      <c r="BP75" s="23">
        <v>0</v>
      </c>
      <c r="BQ75" s="23">
        <v>0</v>
      </c>
      <c r="BR75" s="23">
        <v>20000000</v>
      </c>
      <c r="BS75" s="23">
        <v>0</v>
      </c>
      <c r="BT75" s="23">
        <v>0</v>
      </c>
      <c r="BU75" s="23">
        <v>0</v>
      </c>
      <c r="BV75" s="23">
        <v>0</v>
      </c>
      <c r="BW75" s="23">
        <v>0</v>
      </c>
      <c r="BX75" s="23">
        <v>20000000</v>
      </c>
      <c r="BY75" s="23">
        <v>0</v>
      </c>
      <c r="BZ75" s="23">
        <v>0</v>
      </c>
      <c r="CA75" s="23">
        <v>0</v>
      </c>
      <c r="CB75" s="23">
        <v>0</v>
      </c>
      <c r="CC75" s="23">
        <v>0</v>
      </c>
      <c r="CD75" s="23">
        <v>20000000</v>
      </c>
      <c r="CE75" s="23">
        <f t="shared" si="3"/>
        <v>80000000</v>
      </c>
    </row>
    <row r="76" spans="1:83" s="71" customFormat="1" ht="15" customHeight="1" x14ac:dyDescent="0.3">
      <c r="A76" s="16" t="s">
        <v>743</v>
      </c>
      <c r="B76" s="20">
        <v>32</v>
      </c>
      <c r="C76" s="16" t="s">
        <v>216</v>
      </c>
      <c r="D76" s="20">
        <v>110150012</v>
      </c>
      <c r="E76" s="20" t="s">
        <v>716</v>
      </c>
      <c r="F76" s="20" t="s">
        <v>428</v>
      </c>
      <c r="G76" s="20" t="s">
        <v>783</v>
      </c>
      <c r="H76" s="29" t="s">
        <v>803</v>
      </c>
      <c r="I76" s="30" t="s">
        <v>803</v>
      </c>
      <c r="J76" s="30">
        <v>50</v>
      </c>
      <c r="K76" s="30">
        <v>3201</v>
      </c>
      <c r="L76" s="16" t="s">
        <v>221</v>
      </c>
      <c r="M76" s="67">
        <v>3201008</v>
      </c>
      <c r="N76" s="77" t="s">
        <v>1117</v>
      </c>
      <c r="O76" s="79"/>
      <c r="P76" s="16" t="s">
        <v>222</v>
      </c>
      <c r="Q76" s="46"/>
      <c r="R76" s="20" t="s">
        <v>223</v>
      </c>
      <c r="S76" s="20" t="s">
        <v>224</v>
      </c>
      <c r="T76" s="30">
        <v>320100805</v>
      </c>
      <c r="U76" s="16" t="s">
        <v>225</v>
      </c>
      <c r="V76" s="16" t="s">
        <v>18</v>
      </c>
      <c r="W76" s="67">
        <v>12.8</v>
      </c>
      <c r="X76" s="16" t="s">
        <v>210</v>
      </c>
      <c r="Y76" s="68">
        <v>0</v>
      </c>
      <c r="Z76" s="68">
        <v>1</v>
      </c>
      <c r="AA76" s="68">
        <v>0</v>
      </c>
      <c r="AB76" s="68">
        <v>0</v>
      </c>
      <c r="AC76" s="68">
        <v>1</v>
      </c>
      <c r="AD76" s="68">
        <v>0</v>
      </c>
      <c r="AE76" s="68"/>
      <c r="AF76" s="69">
        <f t="shared" si="4"/>
        <v>0</v>
      </c>
      <c r="AG76" s="68" t="s">
        <v>1048</v>
      </c>
      <c r="AH76" s="76" t="s">
        <v>1048</v>
      </c>
      <c r="AI76" s="70">
        <v>0</v>
      </c>
      <c r="AJ76" s="70">
        <v>0</v>
      </c>
      <c r="AK76" s="70">
        <v>0</v>
      </c>
      <c r="AL76" s="70">
        <v>0</v>
      </c>
      <c r="AM76" s="70">
        <v>0</v>
      </c>
      <c r="AN76" s="70">
        <v>0</v>
      </c>
      <c r="AO76" s="70">
        <v>0</v>
      </c>
      <c r="AP76" s="70">
        <v>0</v>
      </c>
      <c r="AQ76" s="70">
        <v>0</v>
      </c>
      <c r="AR76" s="70">
        <v>0</v>
      </c>
      <c r="AS76" s="70">
        <v>0</v>
      </c>
      <c r="AT76" s="70">
        <v>0</v>
      </c>
      <c r="AU76" s="70">
        <v>0</v>
      </c>
      <c r="AV76" s="70">
        <v>0</v>
      </c>
      <c r="AW76" s="70">
        <v>0</v>
      </c>
      <c r="AX76" s="70">
        <v>0</v>
      </c>
      <c r="AY76" s="70">
        <v>0</v>
      </c>
      <c r="AZ76" s="70">
        <v>0</v>
      </c>
      <c r="BA76" s="70">
        <v>0</v>
      </c>
      <c r="BB76" s="70">
        <v>0</v>
      </c>
      <c r="BC76" s="70">
        <v>0</v>
      </c>
      <c r="BD76" s="70">
        <v>0</v>
      </c>
      <c r="BE76" s="70">
        <v>0</v>
      </c>
      <c r="BF76" s="70">
        <v>0</v>
      </c>
      <c r="BG76" s="70">
        <v>5000000</v>
      </c>
      <c r="BH76" s="70">
        <v>0</v>
      </c>
      <c r="BI76" s="70">
        <v>0</v>
      </c>
      <c r="BJ76" s="70">
        <v>0</v>
      </c>
      <c r="BK76" s="70">
        <v>0</v>
      </c>
      <c r="BL76" s="70">
        <v>0</v>
      </c>
      <c r="BM76" s="70">
        <v>0</v>
      </c>
      <c r="BN76" s="70">
        <v>0</v>
      </c>
      <c r="BO76" s="70">
        <v>0</v>
      </c>
      <c r="BP76" s="70">
        <v>0</v>
      </c>
      <c r="BQ76" s="70">
        <v>0</v>
      </c>
      <c r="BR76" s="70">
        <v>5000000</v>
      </c>
      <c r="BS76" s="70">
        <v>0</v>
      </c>
      <c r="BT76" s="70">
        <v>0</v>
      </c>
      <c r="BU76" s="70">
        <v>0</v>
      </c>
      <c r="BV76" s="70">
        <v>0</v>
      </c>
      <c r="BW76" s="70">
        <v>0</v>
      </c>
      <c r="BX76" s="70">
        <v>0</v>
      </c>
      <c r="BY76" s="70">
        <v>0</v>
      </c>
      <c r="BZ76" s="70">
        <v>0</v>
      </c>
      <c r="CA76" s="70">
        <v>0</v>
      </c>
      <c r="CB76" s="70">
        <v>0</v>
      </c>
      <c r="CC76" s="70">
        <v>0</v>
      </c>
      <c r="CD76" s="70">
        <v>0</v>
      </c>
      <c r="CE76" s="70">
        <f t="shared" si="3"/>
        <v>5000000</v>
      </c>
    </row>
    <row r="77" spans="1:83" ht="15" customHeight="1" x14ac:dyDescent="0.3">
      <c r="A77" s="20" t="s">
        <v>743</v>
      </c>
      <c r="B77" s="20">
        <v>32</v>
      </c>
      <c r="C77" s="20" t="s">
        <v>216</v>
      </c>
      <c r="D77" s="20">
        <v>110130003</v>
      </c>
      <c r="E77" s="20" t="s">
        <v>731</v>
      </c>
      <c r="F77" s="20" t="s">
        <v>732</v>
      </c>
      <c r="G77" s="20" t="s">
        <v>786</v>
      </c>
      <c r="H77" s="29">
        <v>27626016</v>
      </c>
      <c r="I77" s="30">
        <v>2020</v>
      </c>
      <c r="J77" s="30">
        <v>812000000</v>
      </c>
      <c r="K77" s="30">
        <v>3206</v>
      </c>
      <c r="L77" s="20" t="s">
        <v>226</v>
      </c>
      <c r="M77" s="30">
        <v>3206005</v>
      </c>
      <c r="N77" s="62" t="s">
        <v>1118</v>
      </c>
      <c r="O77" s="79"/>
      <c r="P77" s="20" t="s">
        <v>227</v>
      </c>
      <c r="Q77" s="46"/>
      <c r="R77" s="20" t="s">
        <v>228</v>
      </c>
      <c r="S77" s="20" t="s">
        <v>229</v>
      </c>
      <c r="T77" s="30">
        <v>320600500</v>
      </c>
      <c r="U77" s="20" t="s">
        <v>230</v>
      </c>
      <c r="V77" s="20" t="s">
        <v>18</v>
      </c>
      <c r="W77" s="30">
        <v>12.8</v>
      </c>
      <c r="X77" s="20" t="s">
        <v>210</v>
      </c>
      <c r="Y77" s="22">
        <v>0</v>
      </c>
      <c r="Z77" s="22">
        <v>1</v>
      </c>
      <c r="AA77" s="22">
        <v>0</v>
      </c>
      <c r="AB77" s="22">
        <v>1</v>
      </c>
      <c r="AC77" s="22">
        <v>0</v>
      </c>
      <c r="AD77" s="22">
        <v>0</v>
      </c>
      <c r="AE77" s="22"/>
      <c r="AF77" s="19">
        <f t="shared" si="4"/>
        <v>0</v>
      </c>
      <c r="AG77" s="22">
        <v>1</v>
      </c>
      <c r="AH77" s="73">
        <v>100</v>
      </c>
      <c r="AI77" s="23">
        <v>0</v>
      </c>
      <c r="AJ77" s="23">
        <v>0</v>
      </c>
      <c r="AK77" s="23">
        <v>0</v>
      </c>
      <c r="AL77" s="23">
        <v>0</v>
      </c>
      <c r="AM77" s="23">
        <v>0</v>
      </c>
      <c r="AN77" s="23">
        <v>0</v>
      </c>
      <c r="AO77" s="23">
        <v>0</v>
      </c>
      <c r="AP77" s="23">
        <v>0</v>
      </c>
      <c r="AQ77" s="23">
        <v>0</v>
      </c>
      <c r="AR77" s="23">
        <v>0</v>
      </c>
      <c r="AS77" s="23">
        <v>0</v>
      </c>
      <c r="AT77" s="23">
        <v>0</v>
      </c>
      <c r="AU77" s="23">
        <v>0</v>
      </c>
      <c r="AV77" s="23">
        <v>5000000</v>
      </c>
      <c r="AW77" s="23">
        <v>0</v>
      </c>
      <c r="AX77" s="23">
        <v>0</v>
      </c>
      <c r="AY77" s="23">
        <v>0</v>
      </c>
      <c r="AZ77" s="23">
        <v>0</v>
      </c>
      <c r="BA77" s="23">
        <v>0</v>
      </c>
      <c r="BB77" s="23">
        <v>0</v>
      </c>
      <c r="BC77" s="23">
        <v>0</v>
      </c>
      <c r="BD77" s="23">
        <v>0</v>
      </c>
      <c r="BE77" s="23">
        <v>0</v>
      </c>
      <c r="BF77" s="23">
        <v>5000000</v>
      </c>
      <c r="BG77" s="23">
        <v>0</v>
      </c>
      <c r="BH77" s="23">
        <v>0</v>
      </c>
      <c r="BI77" s="23">
        <v>0</v>
      </c>
      <c r="BJ77" s="23">
        <v>0</v>
      </c>
      <c r="BK77" s="23">
        <v>0</v>
      </c>
      <c r="BL77" s="23">
        <v>0</v>
      </c>
      <c r="BM77" s="23">
        <v>0</v>
      </c>
      <c r="BN77" s="23">
        <v>0</v>
      </c>
      <c r="BO77" s="23">
        <v>0</v>
      </c>
      <c r="BP77" s="23">
        <v>0</v>
      </c>
      <c r="BQ77" s="23">
        <v>0</v>
      </c>
      <c r="BR77" s="23">
        <v>0</v>
      </c>
      <c r="BS77" s="23">
        <v>0</v>
      </c>
      <c r="BT77" s="23">
        <v>0</v>
      </c>
      <c r="BU77" s="23">
        <v>0</v>
      </c>
      <c r="BV77" s="23">
        <v>0</v>
      </c>
      <c r="BW77" s="23">
        <v>0</v>
      </c>
      <c r="BX77" s="23">
        <v>0</v>
      </c>
      <c r="BY77" s="23">
        <v>0</v>
      </c>
      <c r="BZ77" s="23">
        <v>0</v>
      </c>
      <c r="CA77" s="23">
        <v>0</v>
      </c>
      <c r="CB77" s="23">
        <v>0</v>
      </c>
      <c r="CC77" s="23">
        <v>0</v>
      </c>
      <c r="CD77" s="23">
        <v>0</v>
      </c>
      <c r="CE77" s="23">
        <f t="shared" si="3"/>
        <v>5000000</v>
      </c>
    </row>
    <row r="78" spans="1:83" ht="15" customHeight="1" x14ac:dyDescent="0.3">
      <c r="A78" s="20" t="s">
        <v>743</v>
      </c>
      <c r="B78" s="20">
        <v>17</v>
      </c>
      <c r="C78" s="20" t="s">
        <v>208</v>
      </c>
      <c r="D78" s="20">
        <v>120060005</v>
      </c>
      <c r="E78" s="20" t="s">
        <v>678</v>
      </c>
      <c r="F78" s="20" t="s">
        <v>679</v>
      </c>
      <c r="G78" s="20" t="s">
        <v>784</v>
      </c>
      <c r="H78" s="29">
        <v>22.276399999999999</v>
      </c>
      <c r="I78" s="30">
        <v>2014</v>
      </c>
      <c r="J78" s="30">
        <v>50</v>
      </c>
      <c r="K78" s="30">
        <v>1708</v>
      </c>
      <c r="L78" s="20" t="s">
        <v>231</v>
      </c>
      <c r="M78" s="30">
        <v>1708041</v>
      </c>
      <c r="N78" s="77" t="s">
        <v>1119</v>
      </c>
      <c r="O78" s="79">
        <v>202500000002333</v>
      </c>
      <c r="P78" s="20" t="s">
        <v>232</v>
      </c>
      <c r="Q78" s="46"/>
      <c r="R78" s="20" t="s">
        <v>233</v>
      </c>
      <c r="S78" s="20" t="s">
        <v>234</v>
      </c>
      <c r="T78" s="30">
        <v>170804100</v>
      </c>
      <c r="U78" s="20" t="s">
        <v>235</v>
      </c>
      <c r="V78" s="20" t="s">
        <v>18</v>
      </c>
      <c r="W78" s="30" t="s">
        <v>588</v>
      </c>
      <c r="X78" s="20" t="s">
        <v>210</v>
      </c>
      <c r="Y78" s="22">
        <v>200</v>
      </c>
      <c r="Z78" s="22">
        <v>400</v>
      </c>
      <c r="AA78" s="22">
        <v>100</v>
      </c>
      <c r="AB78" s="22">
        <v>100</v>
      </c>
      <c r="AC78" s="22">
        <v>100</v>
      </c>
      <c r="AD78" s="22">
        <v>100</v>
      </c>
      <c r="AE78" s="22">
        <v>70</v>
      </c>
      <c r="AF78" s="19">
        <f t="shared" si="4"/>
        <v>17.5</v>
      </c>
      <c r="AG78" s="22">
        <v>25</v>
      </c>
      <c r="AH78" s="73">
        <v>25</v>
      </c>
      <c r="AI78" s="23">
        <v>50000000</v>
      </c>
      <c r="AJ78" s="23">
        <v>0</v>
      </c>
      <c r="AK78" s="23">
        <v>0</v>
      </c>
      <c r="AL78" s="23">
        <v>0</v>
      </c>
      <c r="AM78" s="23">
        <v>0</v>
      </c>
      <c r="AN78" s="23">
        <v>0</v>
      </c>
      <c r="AO78" s="23">
        <v>0</v>
      </c>
      <c r="AP78" s="23">
        <v>0</v>
      </c>
      <c r="AQ78" s="23">
        <v>0</v>
      </c>
      <c r="AR78" s="23">
        <v>0</v>
      </c>
      <c r="AS78" s="23">
        <v>0</v>
      </c>
      <c r="AT78" s="23">
        <v>50000000</v>
      </c>
      <c r="AU78" s="23">
        <v>50000000</v>
      </c>
      <c r="AV78" s="23">
        <v>0</v>
      </c>
      <c r="AW78" s="23">
        <v>0</v>
      </c>
      <c r="AX78" s="23">
        <v>0</v>
      </c>
      <c r="AY78" s="23">
        <v>0</v>
      </c>
      <c r="AZ78" s="23">
        <v>0</v>
      </c>
      <c r="BA78" s="23">
        <v>0</v>
      </c>
      <c r="BB78" s="23">
        <v>0</v>
      </c>
      <c r="BC78" s="23">
        <v>0</v>
      </c>
      <c r="BD78" s="23">
        <v>0</v>
      </c>
      <c r="BE78" s="23">
        <v>0</v>
      </c>
      <c r="BF78" s="23">
        <v>50000000</v>
      </c>
      <c r="BG78" s="23">
        <v>50000000</v>
      </c>
      <c r="BH78" s="23">
        <v>0</v>
      </c>
      <c r="BI78" s="23">
        <v>0</v>
      </c>
      <c r="BJ78" s="23">
        <v>0</v>
      </c>
      <c r="BK78" s="23">
        <v>0</v>
      </c>
      <c r="BL78" s="23">
        <v>0</v>
      </c>
      <c r="BM78" s="23">
        <v>0</v>
      </c>
      <c r="BN78" s="23">
        <v>0</v>
      </c>
      <c r="BO78" s="23">
        <v>0</v>
      </c>
      <c r="BP78" s="23">
        <v>0</v>
      </c>
      <c r="BQ78" s="23">
        <v>0</v>
      </c>
      <c r="BR78" s="23">
        <v>50000000</v>
      </c>
      <c r="BS78" s="23">
        <v>50000000</v>
      </c>
      <c r="BT78" s="23">
        <v>0</v>
      </c>
      <c r="BU78" s="23">
        <v>0</v>
      </c>
      <c r="BV78" s="23">
        <v>0</v>
      </c>
      <c r="BW78" s="23">
        <v>0</v>
      </c>
      <c r="BX78" s="23">
        <v>0</v>
      </c>
      <c r="BY78" s="23">
        <v>0</v>
      </c>
      <c r="BZ78" s="23">
        <v>0</v>
      </c>
      <c r="CA78" s="23">
        <v>0</v>
      </c>
      <c r="CB78" s="23">
        <v>0</v>
      </c>
      <c r="CC78" s="23">
        <v>0</v>
      </c>
      <c r="CD78" s="23">
        <v>50000000</v>
      </c>
      <c r="CE78" s="23">
        <f t="shared" si="3"/>
        <v>200000000</v>
      </c>
    </row>
    <row r="79" spans="1:83" s="71" customFormat="1" ht="15" customHeight="1" x14ac:dyDescent="0.3">
      <c r="A79" s="16" t="s">
        <v>743</v>
      </c>
      <c r="B79" s="20">
        <v>32</v>
      </c>
      <c r="C79" s="16" t="s">
        <v>216</v>
      </c>
      <c r="D79" s="20">
        <v>110070013</v>
      </c>
      <c r="E79" s="20" t="s">
        <v>714</v>
      </c>
      <c r="F79" s="20" t="s">
        <v>715</v>
      </c>
      <c r="G79" s="20" t="s">
        <v>785</v>
      </c>
      <c r="H79" s="29" t="s">
        <v>803</v>
      </c>
      <c r="I79" s="30" t="s">
        <v>803</v>
      </c>
      <c r="J79" s="30">
        <v>1</v>
      </c>
      <c r="K79" s="30">
        <v>3202</v>
      </c>
      <c r="L79" s="16" t="s">
        <v>217</v>
      </c>
      <c r="M79" s="67">
        <v>3202002</v>
      </c>
      <c r="N79" s="77" t="s">
        <v>1116</v>
      </c>
      <c r="O79" s="79">
        <v>202500000002015</v>
      </c>
      <c r="P79" s="16" t="s">
        <v>236</v>
      </c>
      <c r="Q79" s="46" t="s">
        <v>829</v>
      </c>
      <c r="R79" s="20" t="s">
        <v>200</v>
      </c>
      <c r="S79" s="20" t="s">
        <v>26</v>
      </c>
      <c r="T79" s="30">
        <v>320200200</v>
      </c>
      <c r="U79" s="16" t="s">
        <v>237</v>
      </c>
      <c r="V79" s="16" t="s">
        <v>18</v>
      </c>
      <c r="W79" s="67">
        <v>15.9</v>
      </c>
      <c r="X79" s="16" t="s">
        <v>210</v>
      </c>
      <c r="Y79" s="68">
        <v>0</v>
      </c>
      <c r="Z79" s="68">
        <v>1</v>
      </c>
      <c r="AA79" s="68">
        <v>0</v>
      </c>
      <c r="AB79" s="68">
        <v>0</v>
      </c>
      <c r="AC79" s="68">
        <v>1</v>
      </c>
      <c r="AD79" s="68">
        <v>0</v>
      </c>
      <c r="AE79" s="68"/>
      <c r="AF79" s="69">
        <f t="shared" si="4"/>
        <v>0</v>
      </c>
      <c r="AG79" s="68" t="s">
        <v>1048</v>
      </c>
      <c r="AH79" s="76" t="s">
        <v>1048</v>
      </c>
      <c r="AI79" s="70">
        <v>0</v>
      </c>
      <c r="AJ79" s="70">
        <v>0</v>
      </c>
      <c r="AK79" s="70">
        <v>0</v>
      </c>
      <c r="AL79" s="70">
        <v>0</v>
      </c>
      <c r="AM79" s="70">
        <v>0</v>
      </c>
      <c r="AN79" s="70">
        <v>0</v>
      </c>
      <c r="AO79" s="70">
        <v>0</v>
      </c>
      <c r="AP79" s="70">
        <v>0</v>
      </c>
      <c r="AQ79" s="70">
        <v>0</v>
      </c>
      <c r="AR79" s="70">
        <v>0</v>
      </c>
      <c r="AS79" s="70">
        <v>0</v>
      </c>
      <c r="AT79" s="70">
        <v>0</v>
      </c>
      <c r="AU79" s="70">
        <v>0</v>
      </c>
      <c r="AV79" s="70">
        <v>0</v>
      </c>
      <c r="AW79" s="70">
        <v>0</v>
      </c>
      <c r="AX79" s="70">
        <v>0</v>
      </c>
      <c r="AY79" s="70">
        <v>0</v>
      </c>
      <c r="AZ79" s="70">
        <v>0</v>
      </c>
      <c r="BA79" s="70">
        <v>0</v>
      </c>
      <c r="BB79" s="70">
        <v>0</v>
      </c>
      <c r="BC79" s="70">
        <v>0</v>
      </c>
      <c r="BD79" s="70">
        <v>0</v>
      </c>
      <c r="BE79" s="70">
        <v>0</v>
      </c>
      <c r="BF79" s="70">
        <v>0</v>
      </c>
      <c r="BG79" s="70">
        <v>25000000</v>
      </c>
      <c r="BH79" s="70">
        <v>0</v>
      </c>
      <c r="BI79" s="70">
        <v>0</v>
      </c>
      <c r="BJ79" s="70">
        <v>0</v>
      </c>
      <c r="BK79" s="70">
        <v>0</v>
      </c>
      <c r="BL79" s="70">
        <v>0</v>
      </c>
      <c r="BM79" s="70">
        <v>0</v>
      </c>
      <c r="BN79" s="70">
        <v>0</v>
      </c>
      <c r="BO79" s="70">
        <v>0</v>
      </c>
      <c r="BP79" s="70">
        <v>0</v>
      </c>
      <c r="BQ79" s="70">
        <v>0</v>
      </c>
      <c r="BR79" s="70">
        <v>25000000</v>
      </c>
      <c r="BS79" s="70">
        <v>0</v>
      </c>
      <c r="BT79" s="70">
        <v>0</v>
      </c>
      <c r="BU79" s="70">
        <v>0</v>
      </c>
      <c r="BV79" s="70">
        <v>0</v>
      </c>
      <c r="BW79" s="70">
        <v>0</v>
      </c>
      <c r="BX79" s="70">
        <v>0</v>
      </c>
      <c r="BY79" s="70">
        <v>0</v>
      </c>
      <c r="BZ79" s="70">
        <v>0</v>
      </c>
      <c r="CA79" s="70">
        <v>0</v>
      </c>
      <c r="CB79" s="70">
        <v>0</v>
      </c>
      <c r="CC79" s="70">
        <v>0</v>
      </c>
      <c r="CD79" s="70">
        <v>0</v>
      </c>
      <c r="CE79" s="70">
        <f t="shared" si="3"/>
        <v>25000000</v>
      </c>
    </row>
    <row r="80" spans="1:83" ht="15" customHeight="1" x14ac:dyDescent="0.3">
      <c r="A80" s="20" t="s">
        <v>743</v>
      </c>
      <c r="B80" s="20">
        <v>17</v>
      </c>
      <c r="C80" s="20" t="s">
        <v>208</v>
      </c>
      <c r="D80" s="20">
        <v>120040010</v>
      </c>
      <c r="E80" s="20" t="s">
        <v>680</v>
      </c>
      <c r="F80" s="20" t="s">
        <v>18</v>
      </c>
      <c r="G80" s="20" t="s">
        <v>784</v>
      </c>
      <c r="H80" s="29">
        <v>615</v>
      </c>
      <c r="I80" s="30">
        <v>2014</v>
      </c>
      <c r="J80" s="30">
        <v>680</v>
      </c>
      <c r="K80" s="30">
        <v>1702</v>
      </c>
      <c r="L80" s="20" t="s">
        <v>209</v>
      </c>
      <c r="M80" s="30">
        <v>1702011</v>
      </c>
      <c r="N80" s="77" t="s">
        <v>1120</v>
      </c>
      <c r="O80" s="79">
        <v>202500000009496</v>
      </c>
      <c r="P80" s="20" t="s">
        <v>261</v>
      </c>
      <c r="Q80" s="46" t="s">
        <v>830</v>
      </c>
      <c r="R80" s="20" t="s">
        <v>262</v>
      </c>
      <c r="S80" s="20" t="s">
        <v>263</v>
      </c>
      <c r="T80" s="30">
        <v>170201100</v>
      </c>
      <c r="U80" s="20" t="s">
        <v>264</v>
      </c>
      <c r="V80" s="20" t="s">
        <v>18</v>
      </c>
      <c r="W80" s="30">
        <v>2.2999999999999998</v>
      </c>
      <c r="X80" s="20" t="s">
        <v>210</v>
      </c>
      <c r="Y80" s="22">
        <v>1</v>
      </c>
      <c r="Z80" s="22">
        <v>4</v>
      </c>
      <c r="AA80" s="22">
        <v>1</v>
      </c>
      <c r="AB80" s="22">
        <v>1</v>
      </c>
      <c r="AC80" s="22">
        <v>1</v>
      </c>
      <c r="AD80" s="22">
        <v>1</v>
      </c>
      <c r="AE80" s="22">
        <v>2</v>
      </c>
      <c r="AF80" s="19">
        <f t="shared" si="4"/>
        <v>50</v>
      </c>
      <c r="AG80" s="22">
        <v>3</v>
      </c>
      <c r="AH80" s="73">
        <v>300</v>
      </c>
      <c r="AI80" s="23">
        <v>10000000</v>
      </c>
      <c r="AJ80" s="23">
        <v>0</v>
      </c>
      <c r="AK80" s="23">
        <v>0</v>
      </c>
      <c r="AL80" s="23">
        <v>0</v>
      </c>
      <c r="AM80" s="23">
        <v>0</v>
      </c>
      <c r="AN80" s="23">
        <v>0</v>
      </c>
      <c r="AO80" s="23">
        <v>0</v>
      </c>
      <c r="AP80" s="23">
        <v>0</v>
      </c>
      <c r="AQ80" s="23">
        <v>0</v>
      </c>
      <c r="AR80" s="23">
        <v>0</v>
      </c>
      <c r="AS80" s="23">
        <v>0</v>
      </c>
      <c r="AT80" s="23">
        <v>10000000</v>
      </c>
      <c r="AU80" s="23">
        <v>10000000</v>
      </c>
      <c r="AV80" s="23">
        <v>0</v>
      </c>
      <c r="AW80" s="23">
        <v>0</v>
      </c>
      <c r="AX80" s="23">
        <v>0</v>
      </c>
      <c r="AY80" s="23">
        <v>0</v>
      </c>
      <c r="AZ80" s="23">
        <v>0</v>
      </c>
      <c r="BA80" s="23">
        <v>0</v>
      </c>
      <c r="BB80" s="23">
        <v>0</v>
      </c>
      <c r="BC80" s="23">
        <v>0</v>
      </c>
      <c r="BD80" s="23">
        <v>0</v>
      </c>
      <c r="BE80" s="23">
        <v>0</v>
      </c>
      <c r="BF80" s="23">
        <v>10000000</v>
      </c>
      <c r="BG80" s="23">
        <v>10000000</v>
      </c>
      <c r="BH80" s="23">
        <v>0</v>
      </c>
      <c r="BI80" s="23">
        <v>0</v>
      </c>
      <c r="BJ80" s="23">
        <v>0</v>
      </c>
      <c r="BK80" s="23">
        <v>0</v>
      </c>
      <c r="BL80" s="23">
        <v>0</v>
      </c>
      <c r="BM80" s="23">
        <v>0</v>
      </c>
      <c r="BN80" s="23">
        <v>0</v>
      </c>
      <c r="BO80" s="23">
        <v>0</v>
      </c>
      <c r="BP80" s="23">
        <v>0</v>
      </c>
      <c r="BQ80" s="23">
        <v>0</v>
      </c>
      <c r="BR80" s="23">
        <v>10000000</v>
      </c>
      <c r="BS80" s="23">
        <v>10000000</v>
      </c>
      <c r="BT80" s="23">
        <v>0</v>
      </c>
      <c r="BU80" s="23">
        <v>0</v>
      </c>
      <c r="BV80" s="23">
        <v>0</v>
      </c>
      <c r="BW80" s="23">
        <v>0</v>
      </c>
      <c r="BX80" s="23">
        <v>0</v>
      </c>
      <c r="BY80" s="23">
        <v>0</v>
      </c>
      <c r="BZ80" s="23">
        <v>0</v>
      </c>
      <c r="CA80" s="23">
        <v>0</v>
      </c>
      <c r="CB80" s="23">
        <v>0</v>
      </c>
      <c r="CC80" s="23">
        <v>0</v>
      </c>
      <c r="CD80" s="23">
        <v>10000000</v>
      </c>
      <c r="CE80" s="23">
        <f t="shared" si="3"/>
        <v>40000000</v>
      </c>
    </row>
    <row r="81" spans="1:83" ht="15" customHeight="1" x14ac:dyDescent="0.3">
      <c r="A81" s="20" t="s">
        <v>743</v>
      </c>
      <c r="B81" s="20">
        <v>17</v>
      </c>
      <c r="C81" s="20" t="s">
        <v>208</v>
      </c>
      <c r="D81" s="20">
        <v>120060005</v>
      </c>
      <c r="E81" s="20" t="s">
        <v>678</v>
      </c>
      <c r="F81" s="20" t="s">
        <v>679</v>
      </c>
      <c r="G81" s="20" t="s">
        <v>784</v>
      </c>
      <c r="H81" s="29">
        <v>22.276399999999999</v>
      </c>
      <c r="I81" s="30">
        <v>2014</v>
      </c>
      <c r="J81" s="30">
        <v>50</v>
      </c>
      <c r="K81" s="30">
        <v>1707</v>
      </c>
      <c r="L81" s="20" t="s">
        <v>211</v>
      </c>
      <c r="M81" s="30">
        <v>1707042</v>
      </c>
      <c r="N81" s="62" t="s">
        <v>1115</v>
      </c>
      <c r="O81" s="79">
        <v>202500000002010</v>
      </c>
      <c r="P81" s="20" t="s">
        <v>276</v>
      </c>
      <c r="Q81" s="46"/>
      <c r="R81" s="20" t="s">
        <v>277</v>
      </c>
      <c r="S81" s="20" t="s">
        <v>278</v>
      </c>
      <c r="T81" s="30">
        <v>170704200</v>
      </c>
      <c r="U81" s="20" t="s">
        <v>279</v>
      </c>
      <c r="V81" s="20" t="s">
        <v>18</v>
      </c>
      <c r="W81" s="30" t="s">
        <v>594</v>
      </c>
      <c r="X81" s="20" t="s">
        <v>210</v>
      </c>
      <c r="Y81" s="22">
        <v>5000</v>
      </c>
      <c r="Z81" s="22">
        <v>14400</v>
      </c>
      <c r="AA81" s="22">
        <v>3600</v>
      </c>
      <c r="AB81" s="22">
        <v>3600</v>
      </c>
      <c r="AC81" s="22">
        <v>3600</v>
      </c>
      <c r="AD81" s="22">
        <v>3600</v>
      </c>
      <c r="AE81" s="22">
        <v>3600</v>
      </c>
      <c r="AF81" s="19">
        <f t="shared" si="4"/>
        <v>25</v>
      </c>
      <c r="AG81" s="22">
        <v>0</v>
      </c>
      <c r="AH81" s="73">
        <v>0</v>
      </c>
      <c r="AI81" s="23">
        <v>0</v>
      </c>
      <c r="AJ81" s="23">
        <v>0</v>
      </c>
      <c r="AK81" s="23">
        <v>0</v>
      </c>
      <c r="AL81" s="23">
        <v>0</v>
      </c>
      <c r="AM81" s="23">
        <v>0</v>
      </c>
      <c r="AN81" s="23">
        <v>4900000</v>
      </c>
      <c r="AO81" s="23">
        <v>0</v>
      </c>
      <c r="AP81" s="23">
        <v>0</v>
      </c>
      <c r="AQ81" s="23">
        <v>0</v>
      </c>
      <c r="AR81" s="23">
        <v>0</v>
      </c>
      <c r="AS81" s="23">
        <v>0</v>
      </c>
      <c r="AT81" s="23">
        <v>4900000</v>
      </c>
      <c r="AU81" s="23">
        <v>0</v>
      </c>
      <c r="AV81" s="23">
        <v>0</v>
      </c>
      <c r="AW81" s="23">
        <v>0</v>
      </c>
      <c r="AX81" s="23">
        <v>0</v>
      </c>
      <c r="AY81" s="23">
        <v>0</v>
      </c>
      <c r="AZ81" s="23">
        <v>4900000</v>
      </c>
      <c r="BA81" s="23">
        <v>0</v>
      </c>
      <c r="BB81" s="23">
        <v>0</v>
      </c>
      <c r="BC81" s="23">
        <v>0</v>
      </c>
      <c r="BD81" s="23">
        <v>0</v>
      </c>
      <c r="BE81" s="23">
        <v>0</v>
      </c>
      <c r="BF81" s="23">
        <v>4900000</v>
      </c>
      <c r="BG81" s="23">
        <v>0</v>
      </c>
      <c r="BH81" s="23">
        <v>0</v>
      </c>
      <c r="BI81" s="23">
        <v>0</v>
      </c>
      <c r="BJ81" s="23">
        <v>0</v>
      </c>
      <c r="BK81" s="23">
        <v>0</v>
      </c>
      <c r="BL81" s="23">
        <v>4900000</v>
      </c>
      <c r="BM81" s="23">
        <v>0</v>
      </c>
      <c r="BN81" s="23">
        <v>0</v>
      </c>
      <c r="BO81" s="23">
        <v>0</v>
      </c>
      <c r="BP81" s="23">
        <v>0</v>
      </c>
      <c r="BQ81" s="23">
        <v>0</v>
      </c>
      <c r="BR81" s="23">
        <v>4900000</v>
      </c>
      <c r="BS81" s="23">
        <v>0</v>
      </c>
      <c r="BT81" s="23">
        <v>0</v>
      </c>
      <c r="BU81" s="23">
        <v>0</v>
      </c>
      <c r="BV81" s="23">
        <v>0</v>
      </c>
      <c r="BW81" s="23">
        <v>0</v>
      </c>
      <c r="BX81" s="23">
        <v>4900000</v>
      </c>
      <c r="BY81" s="23">
        <v>0</v>
      </c>
      <c r="BZ81" s="23">
        <v>0</v>
      </c>
      <c r="CA81" s="23">
        <v>0</v>
      </c>
      <c r="CB81" s="23">
        <v>0</v>
      </c>
      <c r="CC81" s="23">
        <v>0</v>
      </c>
      <c r="CD81" s="23">
        <v>4900000</v>
      </c>
      <c r="CE81" s="23">
        <f t="shared" si="3"/>
        <v>19600000</v>
      </c>
    </row>
    <row r="82" spans="1:83" ht="15" customHeight="1" x14ac:dyDescent="0.3">
      <c r="A82" s="20" t="s">
        <v>743</v>
      </c>
      <c r="B82" s="20">
        <v>17</v>
      </c>
      <c r="C82" s="20" t="s">
        <v>208</v>
      </c>
      <c r="D82" s="20">
        <v>120060005</v>
      </c>
      <c r="E82" s="20" t="s">
        <v>678</v>
      </c>
      <c r="F82" s="20" t="s">
        <v>679</v>
      </c>
      <c r="G82" s="20" t="s">
        <v>784</v>
      </c>
      <c r="H82" s="29">
        <v>22.276399999999999</v>
      </c>
      <c r="I82" s="30">
        <v>2014</v>
      </c>
      <c r="J82" s="30">
        <v>50</v>
      </c>
      <c r="K82" s="30">
        <v>1702</v>
      </c>
      <c r="L82" s="20" t="s">
        <v>209</v>
      </c>
      <c r="M82" s="30">
        <v>1702014</v>
      </c>
      <c r="N82" s="77" t="s">
        <v>1120</v>
      </c>
      <c r="O82" s="79">
        <v>202500000009496</v>
      </c>
      <c r="P82" s="20" t="s">
        <v>280</v>
      </c>
      <c r="Q82" s="46" t="s">
        <v>831</v>
      </c>
      <c r="R82" s="20" t="s">
        <v>281</v>
      </c>
      <c r="S82" s="20" t="s">
        <v>234</v>
      </c>
      <c r="T82" s="31">
        <v>170201401</v>
      </c>
      <c r="U82" s="20" t="s">
        <v>637</v>
      </c>
      <c r="V82" s="20" t="s">
        <v>18</v>
      </c>
      <c r="W82" s="30">
        <v>1.4</v>
      </c>
      <c r="X82" s="20" t="s">
        <v>210</v>
      </c>
      <c r="Y82" s="22">
        <v>0</v>
      </c>
      <c r="Z82" s="22">
        <v>30</v>
      </c>
      <c r="AA82" s="22">
        <v>0</v>
      </c>
      <c r="AB82" s="22">
        <v>10</v>
      </c>
      <c r="AC82" s="22">
        <v>10</v>
      </c>
      <c r="AD82" s="22">
        <v>10</v>
      </c>
      <c r="AE82" s="22"/>
      <c r="AF82" s="19">
        <f t="shared" si="4"/>
        <v>0</v>
      </c>
      <c r="AG82" s="22">
        <v>0</v>
      </c>
      <c r="AH82" s="73">
        <v>0</v>
      </c>
      <c r="AI82" s="23">
        <v>0</v>
      </c>
      <c r="AJ82" s="23">
        <v>0</v>
      </c>
      <c r="AK82" s="23">
        <v>0</v>
      </c>
      <c r="AL82" s="23">
        <v>0</v>
      </c>
      <c r="AM82" s="23">
        <v>0</v>
      </c>
      <c r="AN82" s="23">
        <v>0</v>
      </c>
      <c r="AO82" s="23">
        <v>0</v>
      </c>
      <c r="AP82" s="23">
        <v>0</v>
      </c>
      <c r="AQ82" s="23">
        <v>0</v>
      </c>
      <c r="AR82" s="23">
        <v>0</v>
      </c>
      <c r="AS82" s="23">
        <v>0</v>
      </c>
      <c r="AT82" s="23">
        <v>0</v>
      </c>
      <c r="AU82" s="23">
        <v>0</v>
      </c>
      <c r="AV82" s="23">
        <v>10000000</v>
      </c>
      <c r="AW82" s="23">
        <v>0</v>
      </c>
      <c r="AX82" s="23">
        <v>0</v>
      </c>
      <c r="AY82" s="23">
        <v>0</v>
      </c>
      <c r="AZ82" s="23">
        <v>0</v>
      </c>
      <c r="BA82" s="23">
        <v>0</v>
      </c>
      <c r="BB82" s="23">
        <v>0</v>
      </c>
      <c r="BC82" s="23">
        <v>0</v>
      </c>
      <c r="BD82" s="23">
        <v>0</v>
      </c>
      <c r="BE82" s="23">
        <v>0</v>
      </c>
      <c r="BF82" s="23">
        <v>10000000</v>
      </c>
      <c r="BG82" s="23">
        <v>0</v>
      </c>
      <c r="BH82" s="23">
        <v>10000000</v>
      </c>
      <c r="BI82" s="23">
        <v>0</v>
      </c>
      <c r="BJ82" s="23">
        <v>0</v>
      </c>
      <c r="BK82" s="23">
        <v>0</v>
      </c>
      <c r="BL82" s="23">
        <v>0</v>
      </c>
      <c r="BM82" s="23">
        <v>0</v>
      </c>
      <c r="BN82" s="23">
        <v>0</v>
      </c>
      <c r="BO82" s="23">
        <v>0</v>
      </c>
      <c r="BP82" s="23">
        <v>0</v>
      </c>
      <c r="BQ82" s="23">
        <v>0</v>
      </c>
      <c r="BR82" s="23">
        <v>10000000</v>
      </c>
      <c r="BS82" s="23">
        <v>0</v>
      </c>
      <c r="BT82" s="23">
        <v>10000000</v>
      </c>
      <c r="BU82" s="23">
        <v>0</v>
      </c>
      <c r="BV82" s="23">
        <v>0</v>
      </c>
      <c r="BW82" s="23">
        <v>0</v>
      </c>
      <c r="BX82" s="23">
        <v>0</v>
      </c>
      <c r="BY82" s="23">
        <v>0</v>
      </c>
      <c r="BZ82" s="23">
        <v>0</v>
      </c>
      <c r="CA82" s="23">
        <v>0</v>
      </c>
      <c r="CB82" s="23">
        <v>0</v>
      </c>
      <c r="CC82" s="23">
        <v>0</v>
      </c>
      <c r="CD82" s="23">
        <v>10000000</v>
      </c>
      <c r="CE82" s="23">
        <f t="shared" si="3"/>
        <v>30000000</v>
      </c>
    </row>
    <row r="83" spans="1:83" ht="15" customHeight="1" x14ac:dyDescent="0.3">
      <c r="A83" s="20" t="s">
        <v>743</v>
      </c>
      <c r="B83" s="20">
        <v>32</v>
      </c>
      <c r="C83" s="20" t="s">
        <v>216</v>
      </c>
      <c r="D83" s="20">
        <v>110130003</v>
      </c>
      <c r="E83" s="20" t="s">
        <v>731</v>
      </c>
      <c r="F83" s="20" t="s">
        <v>732</v>
      </c>
      <c r="G83" s="20" t="s">
        <v>786</v>
      </c>
      <c r="H83" s="29">
        <v>27626016</v>
      </c>
      <c r="I83" s="30">
        <v>2020</v>
      </c>
      <c r="J83" s="30">
        <v>812000000</v>
      </c>
      <c r="K83" s="30">
        <v>3203</v>
      </c>
      <c r="L83" s="20" t="s">
        <v>286</v>
      </c>
      <c r="M83" s="31">
        <v>3203036</v>
      </c>
      <c r="N83" s="62" t="s">
        <v>1118</v>
      </c>
      <c r="O83" s="79"/>
      <c r="P83" s="20" t="s">
        <v>668</v>
      </c>
      <c r="Q83" s="46"/>
      <c r="R83" s="20" t="s">
        <v>670</v>
      </c>
      <c r="S83" s="20" t="s">
        <v>31</v>
      </c>
      <c r="T83" s="31">
        <v>320303600</v>
      </c>
      <c r="U83" s="20" t="s">
        <v>669</v>
      </c>
      <c r="V83" s="20" t="s">
        <v>18</v>
      </c>
      <c r="W83" s="30">
        <v>6.2</v>
      </c>
      <c r="X83" s="20" t="s">
        <v>207</v>
      </c>
      <c r="Y83" s="22">
        <v>0</v>
      </c>
      <c r="Z83" s="22">
        <v>14</v>
      </c>
      <c r="AA83" s="22">
        <v>2</v>
      </c>
      <c r="AB83" s="22">
        <v>4</v>
      </c>
      <c r="AC83" s="22">
        <v>4</v>
      </c>
      <c r="AD83" s="22">
        <v>4</v>
      </c>
      <c r="AE83" s="22">
        <v>2</v>
      </c>
      <c r="AF83" s="19">
        <f t="shared" si="4"/>
        <v>14.285714285714285</v>
      </c>
      <c r="AG83" s="22">
        <v>0</v>
      </c>
      <c r="AH83" s="73">
        <v>0</v>
      </c>
      <c r="AI83" s="23">
        <v>9000000</v>
      </c>
      <c r="AJ83" s="23">
        <v>0</v>
      </c>
      <c r="AK83" s="23">
        <v>0</v>
      </c>
      <c r="AL83" s="23">
        <v>0</v>
      </c>
      <c r="AM83" s="23">
        <v>0</v>
      </c>
      <c r="AN83" s="23">
        <v>0</v>
      </c>
      <c r="AO83" s="23">
        <v>0</v>
      </c>
      <c r="AP83" s="23">
        <v>0</v>
      </c>
      <c r="AQ83" s="23">
        <v>0</v>
      </c>
      <c r="AR83" s="23">
        <v>0</v>
      </c>
      <c r="AS83" s="23">
        <v>0</v>
      </c>
      <c r="AT83" s="23">
        <v>9000000</v>
      </c>
      <c r="AU83" s="23">
        <v>18000000</v>
      </c>
      <c r="AV83" s="23">
        <v>0</v>
      </c>
      <c r="AW83" s="23">
        <v>0</v>
      </c>
      <c r="AX83" s="23">
        <v>0</v>
      </c>
      <c r="AY83" s="23">
        <v>0</v>
      </c>
      <c r="AZ83" s="23">
        <v>0</v>
      </c>
      <c r="BA83" s="23">
        <v>0</v>
      </c>
      <c r="BB83" s="23">
        <v>0</v>
      </c>
      <c r="BC83" s="23">
        <v>0</v>
      </c>
      <c r="BD83" s="23">
        <v>0</v>
      </c>
      <c r="BE83" s="23">
        <v>0</v>
      </c>
      <c r="BF83" s="23">
        <v>18000000</v>
      </c>
      <c r="BG83" s="23">
        <v>18000000</v>
      </c>
      <c r="BH83" s="23">
        <v>0</v>
      </c>
      <c r="BI83" s="23">
        <v>0</v>
      </c>
      <c r="BJ83" s="23">
        <v>0</v>
      </c>
      <c r="BK83" s="23">
        <v>0</v>
      </c>
      <c r="BL83" s="23">
        <v>0</v>
      </c>
      <c r="BM83" s="23">
        <v>0</v>
      </c>
      <c r="BN83" s="23">
        <v>0</v>
      </c>
      <c r="BO83" s="23">
        <v>0</v>
      </c>
      <c r="BP83" s="23">
        <v>0</v>
      </c>
      <c r="BQ83" s="23">
        <v>0</v>
      </c>
      <c r="BR83" s="23">
        <v>18000000</v>
      </c>
      <c r="BS83" s="23">
        <v>18000000</v>
      </c>
      <c r="BT83" s="23">
        <v>0</v>
      </c>
      <c r="BU83" s="23">
        <v>0</v>
      </c>
      <c r="BV83" s="23">
        <v>0</v>
      </c>
      <c r="BW83" s="23">
        <v>0</v>
      </c>
      <c r="BX83" s="23">
        <v>0</v>
      </c>
      <c r="BY83" s="23">
        <v>0</v>
      </c>
      <c r="BZ83" s="23">
        <v>0</v>
      </c>
      <c r="CA83" s="23">
        <v>0</v>
      </c>
      <c r="CB83" s="23">
        <v>0</v>
      </c>
      <c r="CC83" s="23">
        <v>0</v>
      </c>
      <c r="CD83" s="23">
        <v>18000000</v>
      </c>
      <c r="CE83" s="23">
        <f t="shared" si="3"/>
        <v>63000000</v>
      </c>
    </row>
    <row r="84" spans="1:83" ht="15" customHeight="1" x14ac:dyDescent="0.3">
      <c r="A84" s="20" t="s">
        <v>743</v>
      </c>
      <c r="B84" s="20">
        <v>32</v>
      </c>
      <c r="C84" s="20" t="s">
        <v>216</v>
      </c>
      <c r="D84" s="20">
        <v>110070013</v>
      </c>
      <c r="E84" s="20" t="s">
        <v>714</v>
      </c>
      <c r="F84" s="20" t="s">
        <v>715</v>
      </c>
      <c r="G84" s="20" t="s">
        <v>785</v>
      </c>
      <c r="H84" s="29" t="s">
        <v>803</v>
      </c>
      <c r="I84" s="30" t="s">
        <v>803</v>
      </c>
      <c r="J84" s="30">
        <v>1</v>
      </c>
      <c r="K84" s="30">
        <v>3202</v>
      </c>
      <c r="L84" s="20" t="s">
        <v>217</v>
      </c>
      <c r="M84" s="30">
        <v>3202037</v>
      </c>
      <c r="N84" s="77" t="s">
        <v>1116</v>
      </c>
      <c r="O84" s="79">
        <v>202500000002015</v>
      </c>
      <c r="P84" s="20" t="s">
        <v>295</v>
      </c>
      <c r="Q84" s="46"/>
      <c r="R84" s="20" t="s">
        <v>296</v>
      </c>
      <c r="S84" s="20" t="s">
        <v>297</v>
      </c>
      <c r="T84" s="30">
        <v>320203700</v>
      </c>
      <c r="U84" s="20" t="s">
        <v>298</v>
      </c>
      <c r="V84" s="20" t="s">
        <v>299</v>
      </c>
      <c r="W84" s="30">
        <v>6.6</v>
      </c>
      <c r="X84" s="20" t="s">
        <v>210</v>
      </c>
      <c r="Y84" s="22">
        <v>1</v>
      </c>
      <c r="Z84" s="22">
        <v>5</v>
      </c>
      <c r="AA84" s="22">
        <v>0</v>
      </c>
      <c r="AB84" s="22">
        <v>5</v>
      </c>
      <c r="AC84" s="22">
        <v>0</v>
      </c>
      <c r="AD84" s="22">
        <v>0</v>
      </c>
      <c r="AE84" s="22">
        <v>1</v>
      </c>
      <c r="AF84" s="19">
        <f t="shared" si="4"/>
        <v>20</v>
      </c>
      <c r="AG84" s="22">
        <v>0</v>
      </c>
      <c r="AH84" s="73">
        <v>0</v>
      </c>
      <c r="AI84" s="23">
        <v>0</v>
      </c>
      <c r="AJ84" s="23">
        <v>0</v>
      </c>
      <c r="AK84" s="23">
        <v>0</v>
      </c>
      <c r="AL84" s="23">
        <v>0</v>
      </c>
      <c r="AM84" s="23">
        <v>0</v>
      </c>
      <c r="AN84" s="23">
        <v>0</v>
      </c>
      <c r="AO84" s="23">
        <v>0</v>
      </c>
      <c r="AP84" s="23">
        <v>0</v>
      </c>
      <c r="AQ84" s="23">
        <v>0</v>
      </c>
      <c r="AR84" s="23">
        <v>0</v>
      </c>
      <c r="AS84" s="23">
        <v>0</v>
      </c>
      <c r="AT84" s="23">
        <v>0</v>
      </c>
      <c r="AU84" s="23">
        <v>0</v>
      </c>
      <c r="AV84" s="23">
        <v>0</v>
      </c>
      <c r="AW84" s="23">
        <v>0</v>
      </c>
      <c r="AX84" s="23">
        <v>0</v>
      </c>
      <c r="AY84" s="23">
        <v>0</v>
      </c>
      <c r="AZ84" s="23">
        <v>0</v>
      </c>
      <c r="BA84" s="23">
        <v>0</v>
      </c>
      <c r="BB84" s="23">
        <v>84200000</v>
      </c>
      <c r="BC84" s="23">
        <v>0</v>
      </c>
      <c r="BD84" s="23">
        <v>0</v>
      </c>
      <c r="BE84" s="23">
        <v>0</v>
      </c>
      <c r="BF84" s="23">
        <v>84200000</v>
      </c>
      <c r="BG84" s="23">
        <v>0</v>
      </c>
      <c r="BH84" s="23">
        <v>0</v>
      </c>
      <c r="BI84" s="23">
        <v>0</v>
      </c>
      <c r="BJ84" s="23">
        <v>0</v>
      </c>
      <c r="BK84" s="23">
        <v>0</v>
      </c>
      <c r="BL84" s="23">
        <v>0</v>
      </c>
      <c r="BM84" s="23">
        <v>0</v>
      </c>
      <c r="BN84" s="23">
        <v>0</v>
      </c>
      <c r="BO84" s="23">
        <v>0</v>
      </c>
      <c r="BP84" s="23">
        <v>0</v>
      </c>
      <c r="BQ84" s="23">
        <v>0</v>
      </c>
      <c r="BR84" s="23">
        <v>0</v>
      </c>
      <c r="BS84" s="23">
        <v>0</v>
      </c>
      <c r="BT84" s="23">
        <v>0</v>
      </c>
      <c r="BU84" s="23">
        <v>0</v>
      </c>
      <c r="BV84" s="23">
        <v>0</v>
      </c>
      <c r="BW84" s="23">
        <v>0</v>
      </c>
      <c r="BX84" s="23">
        <v>0</v>
      </c>
      <c r="BY84" s="23">
        <v>0</v>
      </c>
      <c r="BZ84" s="23">
        <v>0</v>
      </c>
      <c r="CA84" s="23">
        <v>0</v>
      </c>
      <c r="CB84" s="23">
        <v>0</v>
      </c>
      <c r="CC84" s="23">
        <v>0</v>
      </c>
      <c r="CD84" s="23">
        <v>0</v>
      </c>
      <c r="CE84" s="23">
        <f t="shared" si="3"/>
        <v>84200000</v>
      </c>
    </row>
    <row r="85" spans="1:83" ht="15" customHeight="1" x14ac:dyDescent="0.3">
      <c r="A85" s="20" t="s">
        <v>743</v>
      </c>
      <c r="B85" s="20">
        <v>32</v>
      </c>
      <c r="C85" s="20" t="s">
        <v>216</v>
      </c>
      <c r="D85" s="20">
        <v>110130003</v>
      </c>
      <c r="E85" s="20" t="s">
        <v>731</v>
      </c>
      <c r="F85" s="20" t="s">
        <v>732</v>
      </c>
      <c r="G85" s="20" t="s">
        <v>786</v>
      </c>
      <c r="H85" s="29">
        <v>27626016</v>
      </c>
      <c r="I85" s="30">
        <v>2020</v>
      </c>
      <c r="J85" s="30">
        <v>812000000</v>
      </c>
      <c r="K85" s="30">
        <v>3206</v>
      </c>
      <c r="L85" s="20" t="s">
        <v>226</v>
      </c>
      <c r="M85" s="30">
        <v>3206014</v>
      </c>
      <c r="N85" s="62" t="s">
        <v>1118</v>
      </c>
      <c r="O85" s="79"/>
      <c r="P85" s="20" t="s">
        <v>300</v>
      </c>
      <c r="Q85" s="46" t="s">
        <v>832</v>
      </c>
      <c r="R85" s="20" t="s">
        <v>301</v>
      </c>
      <c r="S85" s="20" t="s">
        <v>302</v>
      </c>
      <c r="T85" s="30">
        <v>320601400</v>
      </c>
      <c r="U85" s="20" t="s">
        <v>303</v>
      </c>
      <c r="V85" s="20" t="s">
        <v>18</v>
      </c>
      <c r="W85" s="30">
        <v>15.2</v>
      </c>
      <c r="X85" s="20" t="s">
        <v>210</v>
      </c>
      <c r="Y85" s="22">
        <v>0</v>
      </c>
      <c r="Z85" s="22">
        <v>6000</v>
      </c>
      <c r="AA85" s="22">
        <v>0</v>
      </c>
      <c r="AB85" s="22">
        <v>1500</v>
      </c>
      <c r="AC85" s="22">
        <v>2000</v>
      </c>
      <c r="AD85" s="22">
        <v>2500</v>
      </c>
      <c r="AE85" s="22"/>
      <c r="AF85" s="19">
        <f t="shared" si="4"/>
        <v>0</v>
      </c>
      <c r="AG85" s="22">
        <v>200</v>
      </c>
      <c r="AH85" s="73">
        <v>13.333333333333334</v>
      </c>
      <c r="AI85" s="23">
        <v>0</v>
      </c>
      <c r="AJ85" s="23">
        <v>0</v>
      </c>
      <c r="AK85" s="23">
        <v>0</v>
      </c>
      <c r="AL85" s="23">
        <v>0</v>
      </c>
      <c r="AM85" s="23">
        <v>0</v>
      </c>
      <c r="AN85" s="23">
        <v>0</v>
      </c>
      <c r="AO85" s="23">
        <v>0</v>
      </c>
      <c r="AP85" s="23">
        <v>0</v>
      </c>
      <c r="AQ85" s="23">
        <v>0</v>
      </c>
      <c r="AR85" s="23">
        <v>0</v>
      </c>
      <c r="AS85" s="23">
        <v>0</v>
      </c>
      <c r="AT85" s="23">
        <v>0</v>
      </c>
      <c r="AU85" s="23">
        <v>6750000</v>
      </c>
      <c r="AV85" s="23">
        <v>0</v>
      </c>
      <c r="AW85" s="23">
        <v>0</v>
      </c>
      <c r="AX85" s="23">
        <v>0</v>
      </c>
      <c r="AY85" s="23">
        <v>0</v>
      </c>
      <c r="AZ85" s="23">
        <v>0</v>
      </c>
      <c r="BA85" s="23">
        <v>0</v>
      </c>
      <c r="BB85" s="23">
        <v>0</v>
      </c>
      <c r="BC85" s="23">
        <v>0</v>
      </c>
      <c r="BD85" s="23">
        <v>0</v>
      </c>
      <c r="BE85" s="23">
        <v>0</v>
      </c>
      <c r="BF85" s="23">
        <v>6750000</v>
      </c>
      <c r="BG85" s="23">
        <v>9000000</v>
      </c>
      <c r="BH85" s="23">
        <v>0</v>
      </c>
      <c r="BI85" s="23">
        <v>0</v>
      </c>
      <c r="BJ85" s="23">
        <v>0</v>
      </c>
      <c r="BK85" s="23">
        <v>0</v>
      </c>
      <c r="BL85" s="23">
        <v>0</v>
      </c>
      <c r="BM85" s="23">
        <v>0</v>
      </c>
      <c r="BN85" s="23">
        <v>0</v>
      </c>
      <c r="BO85" s="23">
        <v>0</v>
      </c>
      <c r="BP85" s="23">
        <v>0</v>
      </c>
      <c r="BQ85" s="23">
        <v>0</v>
      </c>
      <c r="BR85" s="23">
        <v>9000000</v>
      </c>
      <c r="BS85" s="23">
        <v>11250000</v>
      </c>
      <c r="BT85" s="23">
        <v>0</v>
      </c>
      <c r="BU85" s="23">
        <v>0</v>
      </c>
      <c r="BV85" s="23">
        <v>0</v>
      </c>
      <c r="BW85" s="23">
        <v>0</v>
      </c>
      <c r="BX85" s="23">
        <v>0</v>
      </c>
      <c r="BY85" s="23">
        <v>0</v>
      </c>
      <c r="BZ85" s="23">
        <v>0</v>
      </c>
      <c r="CA85" s="23">
        <v>0</v>
      </c>
      <c r="CB85" s="23">
        <v>0</v>
      </c>
      <c r="CC85" s="23">
        <v>0</v>
      </c>
      <c r="CD85" s="23">
        <v>11250000</v>
      </c>
      <c r="CE85" s="23">
        <f t="shared" si="3"/>
        <v>27000000</v>
      </c>
    </row>
    <row r="86" spans="1:83" ht="15" customHeight="1" x14ac:dyDescent="0.3">
      <c r="A86" s="20" t="s">
        <v>743</v>
      </c>
      <c r="B86" s="20">
        <v>32</v>
      </c>
      <c r="C86" s="20" t="s">
        <v>216</v>
      </c>
      <c r="D86" s="20">
        <v>110070013</v>
      </c>
      <c r="E86" s="20" t="s">
        <v>714</v>
      </c>
      <c r="F86" s="20" t="s">
        <v>715</v>
      </c>
      <c r="G86" s="20" t="s">
        <v>785</v>
      </c>
      <c r="H86" s="29" t="s">
        <v>803</v>
      </c>
      <c r="I86" s="30" t="s">
        <v>803</v>
      </c>
      <c r="J86" s="30">
        <v>1</v>
      </c>
      <c r="K86" s="30">
        <v>3208</v>
      </c>
      <c r="L86" s="20" t="s">
        <v>385</v>
      </c>
      <c r="M86" s="30">
        <v>3208010</v>
      </c>
      <c r="N86" s="77" t="s">
        <v>1121</v>
      </c>
      <c r="O86" s="79">
        <v>202500000002383</v>
      </c>
      <c r="P86" s="20" t="s">
        <v>386</v>
      </c>
      <c r="Q86" s="46"/>
      <c r="R86" s="20" t="s">
        <v>387</v>
      </c>
      <c r="S86" s="20" t="s">
        <v>40</v>
      </c>
      <c r="T86" s="30">
        <v>320801000</v>
      </c>
      <c r="U86" s="20" t="s">
        <v>100</v>
      </c>
      <c r="V86" s="20" t="s">
        <v>18</v>
      </c>
      <c r="W86" s="30">
        <v>12.8</v>
      </c>
      <c r="X86" s="20" t="s">
        <v>210</v>
      </c>
      <c r="Y86" s="22" t="s">
        <v>636</v>
      </c>
      <c r="Z86" s="22">
        <v>600</v>
      </c>
      <c r="AA86" s="22">
        <v>150</v>
      </c>
      <c r="AB86" s="22">
        <v>150</v>
      </c>
      <c r="AC86" s="22">
        <v>150</v>
      </c>
      <c r="AD86" s="22">
        <v>150</v>
      </c>
      <c r="AE86" s="22">
        <v>160</v>
      </c>
      <c r="AF86" s="19">
        <f t="shared" si="4"/>
        <v>26.666666666666668</v>
      </c>
      <c r="AG86" s="22">
        <v>45</v>
      </c>
      <c r="AH86" s="73">
        <v>30</v>
      </c>
      <c r="AI86" s="23">
        <v>0</v>
      </c>
      <c r="AJ86" s="23">
        <v>0</v>
      </c>
      <c r="AK86" s="23">
        <v>0</v>
      </c>
      <c r="AL86" s="23">
        <v>0</v>
      </c>
      <c r="AM86" s="23">
        <v>0</v>
      </c>
      <c r="AN86" s="23">
        <v>5475000</v>
      </c>
      <c r="AO86" s="23">
        <v>0</v>
      </c>
      <c r="AP86" s="23">
        <v>0</v>
      </c>
      <c r="AQ86" s="23">
        <v>0</v>
      </c>
      <c r="AR86" s="23">
        <v>0</v>
      </c>
      <c r="AS86" s="23">
        <v>0</v>
      </c>
      <c r="AT86" s="23">
        <v>5475000</v>
      </c>
      <c r="AU86" s="23">
        <v>0</v>
      </c>
      <c r="AV86" s="23">
        <v>0</v>
      </c>
      <c r="AW86" s="23">
        <v>0</v>
      </c>
      <c r="AX86" s="23">
        <v>0</v>
      </c>
      <c r="AY86" s="23">
        <v>0</v>
      </c>
      <c r="AZ86" s="23">
        <v>5475000</v>
      </c>
      <c r="BA86" s="23">
        <v>0</v>
      </c>
      <c r="BB86" s="23">
        <v>0</v>
      </c>
      <c r="BC86" s="23">
        <v>0</v>
      </c>
      <c r="BD86" s="23">
        <v>0</v>
      </c>
      <c r="BE86" s="23">
        <v>0</v>
      </c>
      <c r="BF86" s="23">
        <v>5475000</v>
      </c>
      <c r="BG86" s="23">
        <v>0</v>
      </c>
      <c r="BH86" s="23">
        <v>0</v>
      </c>
      <c r="BI86" s="23">
        <v>0</v>
      </c>
      <c r="BJ86" s="23">
        <v>0</v>
      </c>
      <c r="BK86" s="23">
        <v>0</v>
      </c>
      <c r="BL86" s="23">
        <v>5475000</v>
      </c>
      <c r="BM86" s="23">
        <v>0</v>
      </c>
      <c r="BN86" s="23">
        <v>0</v>
      </c>
      <c r="BO86" s="23">
        <v>0</v>
      </c>
      <c r="BP86" s="23">
        <v>0</v>
      </c>
      <c r="BQ86" s="23">
        <v>0</v>
      </c>
      <c r="BR86" s="23">
        <v>5475000</v>
      </c>
      <c r="BS86" s="23">
        <v>0</v>
      </c>
      <c r="BT86" s="23">
        <v>0</v>
      </c>
      <c r="BU86" s="23">
        <v>0</v>
      </c>
      <c r="BV86" s="23">
        <v>0</v>
      </c>
      <c r="BW86" s="23">
        <v>0</v>
      </c>
      <c r="BX86" s="23">
        <v>5475000</v>
      </c>
      <c r="BY86" s="23">
        <v>0</v>
      </c>
      <c r="BZ86" s="23">
        <v>0</v>
      </c>
      <c r="CA86" s="23">
        <v>0</v>
      </c>
      <c r="CB86" s="23">
        <v>0</v>
      </c>
      <c r="CC86" s="23">
        <v>0</v>
      </c>
      <c r="CD86" s="23">
        <v>5475000</v>
      </c>
      <c r="CE86" s="23">
        <f t="shared" si="3"/>
        <v>21900000</v>
      </c>
    </row>
    <row r="87" spans="1:83" ht="15" customHeight="1" x14ac:dyDescent="0.3">
      <c r="A87" s="20" t="s">
        <v>743</v>
      </c>
      <c r="B87" s="20">
        <v>17</v>
      </c>
      <c r="C87" s="20" t="s">
        <v>208</v>
      </c>
      <c r="D87" s="20">
        <v>120060005</v>
      </c>
      <c r="E87" s="20" t="s">
        <v>678</v>
      </c>
      <c r="F87" s="20" t="s">
        <v>679</v>
      </c>
      <c r="G87" s="20" t="s">
        <v>784</v>
      </c>
      <c r="H87" s="29">
        <v>22.276399999999999</v>
      </c>
      <c r="I87" s="30">
        <v>2014</v>
      </c>
      <c r="J87" s="30">
        <v>50</v>
      </c>
      <c r="K87" s="30">
        <v>1702</v>
      </c>
      <c r="L87" s="20" t="s">
        <v>209</v>
      </c>
      <c r="M87" s="30">
        <v>1702038</v>
      </c>
      <c r="N87" s="77" t="s">
        <v>1120</v>
      </c>
      <c r="O87" s="79">
        <v>202500000009496</v>
      </c>
      <c r="P87" s="20" t="s">
        <v>457</v>
      </c>
      <c r="Q87" s="46"/>
      <c r="R87" s="20" t="s">
        <v>458</v>
      </c>
      <c r="S87" s="20" t="s">
        <v>459</v>
      </c>
      <c r="T87" s="30">
        <v>170203805</v>
      </c>
      <c r="U87" s="20" t="s">
        <v>460</v>
      </c>
      <c r="V87" s="20" t="s">
        <v>18</v>
      </c>
      <c r="W87" s="30" t="s">
        <v>596</v>
      </c>
      <c r="X87" s="20" t="s">
        <v>210</v>
      </c>
      <c r="Y87" s="22">
        <v>15</v>
      </c>
      <c r="Z87" s="22">
        <v>39</v>
      </c>
      <c r="AA87" s="22">
        <v>6</v>
      </c>
      <c r="AB87" s="22">
        <v>11</v>
      </c>
      <c r="AC87" s="22">
        <v>11</v>
      </c>
      <c r="AD87" s="22">
        <v>11</v>
      </c>
      <c r="AE87" s="22">
        <v>7</v>
      </c>
      <c r="AF87" s="19">
        <f t="shared" si="4"/>
        <v>17.948717948717949</v>
      </c>
      <c r="AG87" s="22">
        <v>5</v>
      </c>
      <c r="AH87" s="73">
        <v>45.454545454545453</v>
      </c>
      <c r="AI87" s="23">
        <v>0</v>
      </c>
      <c r="AJ87" s="23">
        <v>0</v>
      </c>
      <c r="AK87" s="23">
        <v>0</v>
      </c>
      <c r="AL87" s="23">
        <v>0</v>
      </c>
      <c r="AM87" s="23">
        <v>0</v>
      </c>
      <c r="AN87" s="23">
        <v>2700000</v>
      </c>
      <c r="AO87" s="23">
        <v>0</v>
      </c>
      <c r="AP87" s="23">
        <v>0</v>
      </c>
      <c r="AQ87" s="23">
        <v>0</v>
      </c>
      <c r="AR87" s="23">
        <v>0</v>
      </c>
      <c r="AS87" s="23">
        <v>0</v>
      </c>
      <c r="AT87" s="23">
        <v>2700000</v>
      </c>
      <c r="AU87" s="23">
        <v>0</v>
      </c>
      <c r="AV87" s="23">
        <v>0</v>
      </c>
      <c r="AW87" s="23">
        <v>0</v>
      </c>
      <c r="AX87" s="23">
        <v>0</v>
      </c>
      <c r="AY87" s="23">
        <v>0</v>
      </c>
      <c r="AZ87" s="23">
        <v>4950000</v>
      </c>
      <c r="BA87" s="23">
        <v>0</v>
      </c>
      <c r="BB87" s="23">
        <v>0</v>
      </c>
      <c r="BC87" s="23">
        <v>0</v>
      </c>
      <c r="BD87" s="23">
        <v>0</v>
      </c>
      <c r="BE87" s="23">
        <v>0</v>
      </c>
      <c r="BF87" s="23">
        <v>4950000</v>
      </c>
      <c r="BG87" s="23">
        <v>0</v>
      </c>
      <c r="BH87" s="23">
        <v>0</v>
      </c>
      <c r="BI87" s="23">
        <v>0</v>
      </c>
      <c r="BJ87" s="23">
        <v>0</v>
      </c>
      <c r="BK87" s="23">
        <v>0</v>
      </c>
      <c r="BL87" s="23">
        <v>4950000</v>
      </c>
      <c r="BM87" s="23">
        <v>0</v>
      </c>
      <c r="BN87" s="23">
        <v>0</v>
      </c>
      <c r="BO87" s="23">
        <v>0</v>
      </c>
      <c r="BP87" s="23">
        <v>0</v>
      </c>
      <c r="BQ87" s="23">
        <v>0</v>
      </c>
      <c r="BR87" s="23">
        <v>4950000</v>
      </c>
      <c r="BS87" s="23">
        <v>0</v>
      </c>
      <c r="BT87" s="23">
        <v>0</v>
      </c>
      <c r="BU87" s="23">
        <v>0</v>
      </c>
      <c r="BV87" s="23">
        <v>0</v>
      </c>
      <c r="BW87" s="23">
        <v>0</v>
      </c>
      <c r="BX87" s="23">
        <v>4950000</v>
      </c>
      <c r="BY87" s="23">
        <v>0</v>
      </c>
      <c r="BZ87" s="23">
        <v>0</v>
      </c>
      <c r="CA87" s="23">
        <v>0</v>
      </c>
      <c r="CB87" s="23">
        <v>0</v>
      </c>
      <c r="CC87" s="23">
        <v>0</v>
      </c>
      <c r="CD87" s="23">
        <v>4950000</v>
      </c>
      <c r="CE87" s="23">
        <f t="shared" si="3"/>
        <v>17550000</v>
      </c>
    </row>
    <row r="88" spans="1:83" ht="15" customHeight="1" x14ac:dyDescent="0.3">
      <c r="A88" s="20" t="s">
        <v>743</v>
      </c>
      <c r="B88" s="20">
        <v>32</v>
      </c>
      <c r="C88" s="20" t="s">
        <v>216</v>
      </c>
      <c r="D88" s="20">
        <v>110030011</v>
      </c>
      <c r="E88" s="20" t="s">
        <v>713</v>
      </c>
      <c r="F88" s="20" t="s">
        <v>801</v>
      </c>
      <c r="G88" s="20" t="s">
        <v>802</v>
      </c>
      <c r="H88" s="29" t="s">
        <v>803</v>
      </c>
      <c r="I88" s="30" t="s">
        <v>803</v>
      </c>
      <c r="J88" s="30">
        <v>5</v>
      </c>
      <c r="K88" s="30">
        <v>3202</v>
      </c>
      <c r="L88" s="20" t="s">
        <v>217</v>
      </c>
      <c r="M88" s="30">
        <v>3202043</v>
      </c>
      <c r="N88" s="77" t="s">
        <v>1116</v>
      </c>
      <c r="O88" s="79">
        <v>202500000002015</v>
      </c>
      <c r="P88" s="20" t="s">
        <v>461</v>
      </c>
      <c r="Q88" s="46"/>
      <c r="R88" s="20" t="s">
        <v>462</v>
      </c>
      <c r="S88" s="20" t="s">
        <v>463</v>
      </c>
      <c r="T88" s="30">
        <v>320204300</v>
      </c>
      <c r="U88" s="20" t="s">
        <v>464</v>
      </c>
      <c r="V88" s="20" t="s">
        <v>299</v>
      </c>
      <c r="W88" s="30" t="s">
        <v>604</v>
      </c>
      <c r="X88" s="20" t="s">
        <v>210</v>
      </c>
      <c r="Y88" s="22">
        <v>0</v>
      </c>
      <c r="Z88" s="22">
        <v>40</v>
      </c>
      <c r="AA88" s="22">
        <v>0</v>
      </c>
      <c r="AB88" s="22">
        <v>10</v>
      </c>
      <c r="AC88" s="22">
        <v>15</v>
      </c>
      <c r="AD88" s="22">
        <v>15</v>
      </c>
      <c r="AE88" s="22"/>
      <c r="AF88" s="19">
        <f t="shared" si="4"/>
        <v>0</v>
      </c>
      <c r="AG88" s="22">
        <v>0</v>
      </c>
      <c r="AH88" s="73">
        <v>0</v>
      </c>
      <c r="AI88" s="23">
        <v>0</v>
      </c>
      <c r="AJ88" s="23">
        <v>0</v>
      </c>
      <c r="AK88" s="23">
        <v>0</v>
      </c>
      <c r="AL88" s="23">
        <v>0</v>
      </c>
      <c r="AM88" s="23">
        <v>0</v>
      </c>
      <c r="AN88" s="23">
        <v>0</v>
      </c>
      <c r="AO88" s="23">
        <v>0</v>
      </c>
      <c r="AP88" s="23">
        <v>0</v>
      </c>
      <c r="AQ88" s="23">
        <v>0</v>
      </c>
      <c r="AR88" s="23">
        <v>0</v>
      </c>
      <c r="AS88" s="23">
        <v>0</v>
      </c>
      <c r="AT88" s="23">
        <v>0</v>
      </c>
      <c r="AU88" s="23">
        <v>6500000</v>
      </c>
      <c r="AV88" s="23">
        <v>0</v>
      </c>
      <c r="AW88" s="23">
        <v>0</v>
      </c>
      <c r="AX88" s="23">
        <v>0</v>
      </c>
      <c r="AY88" s="23">
        <v>0</v>
      </c>
      <c r="AZ88" s="23">
        <v>0</v>
      </c>
      <c r="BA88" s="23">
        <v>0</v>
      </c>
      <c r="BB88" s="23">
        <v>0</v>
      </c>
      <c r="BC88" s="23">
        <v>0</v>
      </c>
      <c r="BD88" s="23">
        <v>0</v>
      </c>
      <c r="BE88" s="23">
        <v>0</v>
      </c>
      <c r="BF88" s="23">
        <v>6500000</v>
      </c>
      <c r="BG88" s="23">
        <v>9750000</v>
      </c>
      <c r="BH88" s="23">
        <v>0</v>
      </c>
      <c r="BI88" s="23">
        <v>0</v>
      </c>
      <c r="BJ88" s="23">
        <v>0</v>
      </c>
      <c r="BK88" s="23">
        <v>0</v>
      </c>
      <c r="BL88" s="23">
        <v>0</v>
      </c>
      <c r="BM88" s="23">
        <v>0</v>
      </c>
      <c r="BN88" s="23">
        <v>0</v>
      </c>
      <c r="BO88" s="23">
        <v>0</v>
      </c>
      <c r="BP88" s="23">
        <v>0</v>
      </c>
      <c r="BQ88" s="23">
        <v>0</v>
      </c>
      <c r="BR88" s="23">
        <v>9750000</v>
      </c>
      <c r="BS88" s="23">
        <v>9750000</v>
      </c>
      <c r="BT88" s="23">
        <v>0</v>
      </c>
      <c r="BU88" s="23">
        <v>0</v>
      </c>
      <c r="BV88" s="23">
        <v>0</v>
      </c>
      <c r="BW88" s="23">
        <v>0</v>
      </c>
      <c r="BX88" s="23">
        <v>0</v>
      </c>
      <c r="BY88" s="23">
        <v>0</v>
      </c>
      <c r="BZ88" s="23">
        <v>0</v>
      </c>
      <c r="CA88" s="23">
        <v>0</v>
      </c>
      <c r="CB88" s="23">
        <v>0</v>
      </c>
      <c r="CC88" s="23">
        <v>0</v>
      </c>
      <c r="CD88" s="23">
        <v>9750000</v>
      </c>
      <c r="CE88" s="23">
        <f t="shared" si="3"/>
        <v>26000000</v>
      </c>
    </row>
    <row r="89" spans="1:83" ht="15" customHeight="1" x14ac:dyDescent="0.3">
      <c r="A89" s="20" t="s">
        <v>743</v>
      </c>
      <c r="B89" s="20">
        <v>32</v>
      </c>
      <c r="C89" s="20" t="s">
        <v>216</v>
      </c>
      <c r="D89" s="20">
        <v>110030011</v>
      </c>
      <c r="E89" s="20" t="s">
        <v>713</v>
      </c>
      <c r="F89" s="20" t="s">
        <v>801</v>
      </c>
      <c r="G89" s="20" t="s">
        <v>802</v>
      </c>
      <c r="H89" s="29" t="s">
        <v>803</v>
      </c>
      <c r="I89" s="30" t="s">
        <v>803</v>
      </c>
      <c r="J89" s="30">
        <v>5</v>
      </c>
      <c r="K89" s="30">
        <v>3202</v>
      </c>
      <c r="L89" s="20" t="s">
        <v>217</v>
      </c>
      <c r="M89" s="30">
        <v>3202006</v>
      </c>
      <c r="N89" s="77" t="s">
        <v>1116</v>
      </c>
      <c r="O89" s="79">
        <v>202500000002015</v>
      </c>
      <c r="P89" s="20" t="s">
        <v>528</v>
      </c>
      <c r="Q89" s="46"/>
      <c r="R89" s="20" t="s">
        <v>529</v>
      </c>
      <c r="S89" s="20" t="s">
        <v>530</v>
      </c>
      <c r="T89" s="30">
        <v>320200604</v>
      </c>
      <c r="U89" s="20" t="s">
        <v>531</v>
      </c>
      <c r="V89" s="20" t="s">
        <v>18</v>
      </c>
      <c r="W89" s="30">
        <v>15.2</v>
      </c>
      <c r="X89" s="20" t="s">
        <v>210</v>
      </c>
      <c r="Y89" s="22">
        <v>1500</v>
      </c>
      <c r="Z89" s="22">
        <v>8000</v>
      </c>
      <c r="AA89" s="22">
        <v>0</v>
      </c>
      <c r="AB89" s="22">
        <v>4000</v>
      </c>
      <c r="AC89" s="22">
        <v>0</v>
      </c>
      <c r="AD89" s="22">
        <v>4000</v>
      </c>
      <c r="AE89" s="22"/>
      <c r="AF89" s="19">
        <f t="shared" si="4"/>
        <v>0</v>
      </c>
      <c r="AG89" s="22">
        <v>0</v>
      </c>
      <c r="AH89" s="73">
        <v>0</v>
      </c>
      <c r="AI89" s="23">
        <v>0</v>
      </c>
      <c r="AJ89" s="23">
        <v>0</v>
      </c>
      <c r="AK89" s="23">
        <v>0</v>
      </c>
      <c r="AL89" s="23">
        <v>0</v>
      </c>
      <c r="AM89" s="23">
        <v>0</v>
      </c>
      <c r="AN89" s="23">
        <v>0</v>
      </c>
      <c r="AO89" s="23">
        <v>0</v>
      </c>
      <c r="AP89" s="23">
        <v>0</v>
      </c>
      <c r="AQ89" s="23">
        <v>0</v>
      </c>
      <c r="AR89" s="23">
        <v>0</v>
      </c>
      <c r="AS89" s="23">
        <v>0</v>
      </c>
      <c r="AT89" s="23">
        <v>0</v>
      </c>
      <c r="AU89" s="23">
        <v>0</v>
      </c>
      <c r="AV89" s="23">
        <v>0</v>
      </c>
      <c r="AW89" s="23">
        <v>0</v>
      </c>
      <c r="AX89" s="23">
        <v>0</v>
      </c>
      <c r="AY89" s="23">
        <v>0</v>
      </c>
      <c r="AZ89" s="23">
        <v>0</v>
      </c>
      <c r="BA89" s="23">
        <v>0</v>
      </c>
      <c r="BB89" s="23">
        <v>104163531</v>
      </c>
      <c r="BC89" s="23">
        <v>76913704</v>
      </c>
      <c r="BD89" s="23">
        <v>0</v>
      </c>
      <c r="BE89" s="23">
        <v>0</v>
      </c>
      <c r="BF89" s="23">
        <v>181077235</v>
      </c>
      <c r="BG89" s="23">
        <v>0</v>
      </c>
      <c r="BH89" s="23">
        <v>0</v>
      </c>
      <c r="BI89" s="23">
        <v>0</v>
      </c>
      <c r="BJ89" s="23">
        <v>0</v>
      </c>
      <c r="BK89" s="23">
        <v>0</v>
      </c>
      <c r="BL89" s="23">
        <v>0</v>
      </c>
      <c r="BM89" s="23">
        <v>0</v>
      </c>
      <c r="BN89" s="23">
        <v>0</v>
      </c>
      <c r="BO89" s="23">
        <v>0</v>
      </c>
      <c r="BP89" s="23">
        <v>0</v>
      </c>
      <c r="BQ89" s="23">
        <v>0</v>
      </c>
      <c r="BR89" s="23">
        <v>0</v>
      </c>
      <c r="BS89" s="23">
        <v>0</v>
      </c>
      <c r="BT89" s="23">
        <v>0</v>
      </c>
      <c r="BU89" s="23">
        <v>0</v>
      </c>
      <c r="BV89" s="23">
        <v>0</v>
      </c>
      <c r="BW89" s="23">
        <v>0</v>
      </c>
      <c r="BX89" s="23">
        <v>0</v>
      </c>
      <c r="BY89" s="23">
        <v>0</v>
      </c>
      <c r="BZ89" s="23">
        <v>104163531</v>
      </c>
      <c r="CA89" s="23">
        <v>76913704</v>
      </c>
      <c r="CB89" s="23">
        <v>0</v>
      </c>
      <c r="CC89" s="23">
        <v>0</v>
      </c>
      <c r="CD89" s="23">
        <f>+BZ89+CA89</f>
        <v>181077235</v>
      </c>
      <c r="CE89" s="23">
        <f t="shared" si="3"/>
        <v>362154470</v>
      </c>
    </row>
    <row r="90" spans="1:83" ht="15" customHeight="1" x14ac:dyDescent="0.3">
      <c r="A90" s="20" t="s">
        <v>743</v>
      </c>
      <c r="B90" s="20">
        <v>32</v>
      </c>
      <c r="C90" s="20" t="s">
        <v>216</v>
      </c>
      <c r="D90" s="20">
        <v>110070013</v>
      </c>
      <c r="E90" s="20" t="s">
        <v>714</v>
      </c>
      <c r="F90" s="20" t="s">
        <v>715</v>
      </c>
      <c r="G90" s="20" t="s">
        <v>785</v>
      </c>
      <c r="H90" s="29" t="s">
        <v>803</v>
      </c>
      <c r="I90" s="30" t="s">
        <v>803</v>
      </c>
      <c r="J90" s="30">
        <v>1</v>
      </c>
      <c r="K90" s="30">
        <v>3208</v>
      </c>
      <c r="L90" s="20" t="s">
        <v>385</v>
      </c>
      <c r="M90" s="30">
        <v>3208008</v>
      </c>
      <c r="N90" s="77" t="s">
        <v>1121</v>
      </c>
      <c r="O90" s="79">
        <v>202500000002383</v>
      </c>
      <c r="P90" s="20" t="s">
        <v>538</v>
      </c>
      <c r="Q90" s="46"/>
      <c r="R90" s="20" t="s">
        <v>539</v>
      </c>
      <c r="S90" s="20" t="s">
        <v>229</v>
      </c>
      <c r="T90" s="30">
        <v>320800803</v>
      </c>
      <c r="U90" s="20" t="s">
        <v>540</v>
      </c>
      <c r="V90" s="20" t="s">
        <v>18</v>
      </c>
      <c r="W90" s="30">
        <v>12.8</v>
      </c>
      <c r="X90" s="20" t="s">
        <v>210</v>
      </c>
      <c r="Y90" s="22">
        <v>0</v>
      </c>
      <c r="Z90" s="22">
        <v>4</v>
      </c>
      <c r="AA90" s="22">
        <v>1</v>
      </c>
      <c r="AB90" s="22">
        <v>1</v>
      </c>
      <c r="AC90" s="22">
        <v>1</v>
      </c>
      <c r="AD90" s="22">
        <v>1</v>
      </c>
      <c r="AE90" s="22">
        <v>2</v>
      </c>
      <c r="AF90" s="19">
        <f t="shared" si="4"/>
        <v>50</v>
      </c>
      <c r="AG90" s="22">
        <v>1</v>
      </c>
      <c r="AH90" s="73">
        <v>100</v>
      </c>
      <c r="AI90" s="23">
        <v>5475000</v>
      </c>
      <c r="AJ90" s="23">
        <v>0</v>
      </c>
      <c r="AK90" s="23">
        <v>0</v>
      </c>
      <c r="AL90" s="23">
        <v>0</v>
      </c>
      <c r="AM90" s="23">
        <v>0</v>
      </c>
      <c r="AN90" s="23">
        <v>0</v>
      </c>
      <c r="AO90" s="23">
        <v>0</v>
      </c>
      <c r="AP90" s="23">
        <v>0</v>
      </c>
      <c r="AQ90" s="23">
        <v>0</v>
      </c>
      <c r="AR90" s="23">
        <v>0</v>
      </c>
      <c r="AS90" s="23">
        <v>0</v>
      </c>
      <c r="AT90" s="23">
        <v>5475000</v>
      </c>
      <c r="AU90" s="23">
        <v>5475000</v>
      </c>
      <c r="AV90" s="23">
        <v>0</v>
      </c>
      <c r="AW90" s="23">
        <v>0</v>
      </c>
      <c r="AX90" s="23">
        <v>0</v>
      </c>
      <c r="AY90" s="23">
        <v>0</v>
      </c>
      <c r="AZ90" s="23">
        <v>0</v>
      </c>
      <c r="BA90" s="23">
        <v>0</v>
      </c>
      <c r="BB90" s="23">
        <v>0</v>
      </c>
      <c r="BC90" s="23">
        <v>0</v>
      </c>
      <c r="BD90" s="23">
        <v>0</v>
      </c>
      <c r="BE90" s="23">
        <v>0</v>
      </c>
      <c r="BF90" s="23">
        <v>5475000</v>
      </c>
      <c r="BG90" s="23">
        <v>5475000</v>
      </c>
      <c r="BH90" s="23">
        <v>0</v>
      </c>
      <c r="BI90" s="23">
        <v>0</v>
      </c>
      <c r="BJ90" s="23">
        <v>0</v>
      </c>
      <c r="BK90" s="23">
        <v>0</v>
      </c>
      <c r="BL90" s="23">
        <v>0</v>
      </c>
      <c r="BM90" s="23">
        <v>0</v>
      </c>
      <c r="BN90" s="23">
        <v>0</v>
      </c>
      <c r="BO90" s="23">
        <v>0</v>
      </c>
      <c r="BP90" s="23">
        <v>0</v>
      </c>
      <c r="BQ90" s="23">
        <v>0</v>
      </c>
      <c r="BR90" s="23">
        <v>5475000</v>
      </c>
      <c r="BS90" s="23">
        <v>5475000</v>
      </c>
      <c r="BT90" s="23">
        <v>0</v>
      </c>
      <c r="BU90" s="23">
        <v>0</v>
      </c>
      <c r="BV90" s="23">
        <v>0</v>
      </c>
      <c r="BW90" s="23">
        <v>0</v>
      </c>
      <c r="BX90" s="23">
        <v>0</v>
      </c>
      <c r="BY90" s="23">
        <v>0</v>
      </c>
      <c r="BZ90" s="23">
        <v>0</v>
      </c>
      <c r="CA90" s="23">
        <v>0</v>
      </c>
      <c r="CB90" s="23">
        <v>0</v>
      </c>
      <c r="CC90" s="23">
        <v>0</v>
      </c>
      <c r="CD90" s="23">
        <v>5475000</v>
      </c>
      <c r="CE90" s="23">
        <f t="shared" si="3"/>
        <v>21900000</v>
      </c>
    </row>
    <row r="91" spans="1:83" ht="15" customHeight="1" x14ac:dyDescent="0.3">
      <c r="A91" s="20" t="s">
        <v>743</v>
      </c>
      <c r="B91" s="20">
        <v>17</v>
      </c>
      <c r="C91" s="20" t="s">
        <v>208</v>
      </c>
      <c r="D91" s="20">
        <v>120060005</v>
      </c>
      <c r="E91" s="20" t="s">
        <v>678</v>
      </c>
      <c r="F91" s="20" t="s">
        <v>679</v>
      </c>
      <c r="G91" s="20" t="s">
        <v>784</v>
      </c>
      <c r="H91" s="29">
        <v>22.276399999999999</v>
      </c>
      <c r="I91" s="30">
        <v>2014</v>
      </c>
      <c r="J91" s="30">
        <v>50</v>
      </c>
      <c r="K91" s="30">
        <v>1702</v>
      </c>
      <c r="L91" s="25" t="s">
        <v>681</v>
      </c>
      <c r="M91" s="32">
        <v>1702017</v>
      </c>
      <c r="N91" s="77" t="s">
        <v>1120</v>
      </c>
      <c r="O91" s="79">
        <v>202500000009496</v>
      </c>
      <c r="P91" s="25" t="s">
        <v>682</v>
      </c>
      <c r="Q91" s="46"/>
      <c r="R91" s="25" t="s">
        <v>683</v>
      </c>
      <c r="S91" s="25" t="s">
        <v>684</v>
      </c>
      <c r="T91" s="32">
        <v>170201700</v>
      </c>
      <c r="U91" s="25" t="s">
        <v>597</v>
      </c>
      <c r="V91" s="25" t="s">
        <v>18</v>
      </c>
      <c r="W91" s="30">
        <v>2.2999999999999998</v>
      </c>
      <c r="X91" s="20" t="s">
        <v>210</v>
      </c>
      <c r="Y91" s="22">
        <v>0</v>
      </c>
      <c r="Z91" s="22">
        <v>200</v>
      </c>
      <c r="AA91" s="22">
        <v>50</v>
      </c>
      <c r="AB91" s="22">
        <v>50</v>
      </c>
      <c r="AC91" s="22">
        <v>50</v>
      </c>
      <c r="AD91" s="22">
        <v>50</v>
      </c>
      <c r="AE91" s="22">
        <v>99</v>
      </c>
      <c r="AF91" s="19">
        <f t="shared" si="4"/>
        <v>49.5</v>
      </c>
      <c r="AG91" s="22">
        <v>0</v>
      </c>
      <c r="AH91" s="73">
        <v>0</v>
      </c>
      <c r="AI91" s="23">
        <v>20000000</v>
      </c>
      <c r="AJ91" s="23">
        <v>0</v>
      </c>
      <c r="AK91" s="23">
        <v>0</v>
      </c>
      <c r="AL91" s="23">
        <v>0</v>
      </c>
      <c r="AM91" s="23">
        <v>0</v>
      </c>
      <c r="AN91" s="23">
        <v>0</v>
      </c>
      <c r="AO91" s="23">
        <v>0</v>
      </c>
      <c r="AP91" s="23">
        <v>0</v>
      </c>
      <c r="AQ91" s="23">
        <v>0</v>
      </c>
      <c r="AR91" s="23">
        <v>0</v>
      </c>
      <c r="AS91" s="23">
        <v>0</v>
      </c>
      <c r="AT91" s="23">
        <v>20000000</v>
      </c>
      <c r="AU91" s="23">
        <v>20000000</v>
      </c>
      <c r="AV91" s="23">
        <v>0</v>
      </c>
      <c r="AW91" s="23">
        <v>0</v>
      </c>
      <c r="AX91" s="23">
        <v>0</v>
      </c>
      <c r="AY91" s="23">
        <v>0</v>
      </c>
      <c r="AZ91" s="23">
        <v>0</v>
      </c>
      <c r="BA91" s="23">
        <v>0</v>
      </c>
      <c r="BB91" s="23">
        <v>0</v>
      </c>
      <c r="BC91" s="23">
        <v>0</v>
      </c>
      <c r="BD91" s="23">
        <v>0</v>
      </c>
      <c r="BE91" s="23">
        <v>0</v>
      </c>
      <c r="BF91" s="23">
        <v>20000000</v>
      </c>
      <c r="BG91" s="23">
        <v>20000000</v>
      </c>
      <c r="BH91" s="23">
        <v>0</v>
      </c>
      <c r="BI91" s="23">
        <v>0</v>
      </c>
      <c r="BJ91" s="23">
        <v>0</v>
      </c>
      <c r="BK91" s="23">
        <v>0</v>
      </c>
      <c r="BL91" s="23">
        <v>0</v>
      </c>
      <c r="BM91" s="23">
        <v>0</v>
      </c>
      <c r="BN91" s="23">
        <v>0</v>
      </c>
      <c r="BO91" s="23">
        <v>0</v>
      </c>
      <c r="BP91" s="23">
        <v>0</v>
      </c>
      <c r="BQ91" s="23">
        <v>0</v>
      </c>
      <c r="BR91" s="23">
        <v>20000000</v>
      </c>
      <c r="BS91" s="23">
        <v>20000000</v>
      </c>
      <c r="BT91" s="23">
        <v>0</v>
      </c>
      <c r="BU91" s="23">
        <v>0</v>
      </c>
      <c r="BV91" s="23">
        <v>0</v>
      </c>
      <c r="BW91" s="23">
        <v>0</v>
      </c>
      <c r="BX91" s="23">
        <v>0</v>
      </c>
      <c r="BY91" s="23">
        <v>0</v>
      </c>
      <c r="BZ91" s="23">
        <v>0</v>
      </c>
      <c r="CA91" s="23">
        <v>0</v>
      </c>
      <c r="CB91" s="23">
        <v>0</v>
      </c>
      <c r="CC91" s="23">
        <v>0</v>
      </c>
      <c r="CD91" s="23">
        <v>20000000</v>
      </c>
      <c r="CE91" s="23">
        <f t="shared" si="3"/>
        <v>80000000</v>
      </c>
    </row>
    <row r="92" spans="1:83" ht="15" customHeight="1" x14ac:dyDescent="0.3">
      <c r="A92" s="20" t="s">
        <v>743</v>
      </c>
      <c r="B92" s="20">
        <v>32</v>
      </c>
      <c r="C92" s="20" t="s">
        <v>216</v>
      </c>
      <c r="D92" s="20">
        <v>110130003</v>
      </c>
      <c r="E92" s="20" t="s">
        <v>731</v>
      </c>
      <c r="F92" s="20" t="s">
        <v>732</v>
      </c>
      <c r="G92" s="20" t="s">
        <v>786</v>
      </c>
      <c r="H92" s="29">
        <v>27626016</v>
      </c>
      <c r="I92" s="30">
        <v>2020</v>
      </c>
      <c r="J92" s="30">
        <v>812000000</v>
      </c>
      <c r="K92" s="30">
        <v>3203</v>
      </c>
      <c r="L92" s="25" t="s">
        <v>286</v>
      </c>
      <c r="M92" s="32">
        <v>3203021</v>
      </c>
      <c r="N92" s="62" t="s">
        <v>1118</v>
      </c>
      <c r="O92" s="79"/>
      <c r="P92" s="25" t="s">
        <v>692</v>
      </c>
      <c r="Q92" s="46"/>
      <c r="R92" s="25" t="s">
        <v>693</v>
      </c>
      <c r="S92" s="25" t="s">
        <v>694</v>
      </c>
      <c r="T92" s="32">
        <v>320302104</v>
      </c>
      <c r="U92" s="25" t="s">
        <v>695</v>
      </c>
      <c r="V92" s="25" t="s">
        <v>18</v>
      </c>
      <c r="W92" s="30">
        <v>17.18</v>
      </c>
      <c r="X92" s="20" t="s">
        <v>207</v>
      </c>
      <c r="Y92" s="22">
        <v>0</v>
      </c>
      <c r="Z92" s="22">
        <v>1</v>
      </c>
      <c r="AA92" s="22">
        <v>0</v>
      </c>
      <c r="AB92" s="22">
        <v>0</v>
      </c>
      <c r="AC92" s="22">
        <v>1</v>
      </c>
      <c r="AD92" s="22">
        <v>0</v>
      </c>
      <c r="AE92" s="22"/>
      <c r="AF92" s="19">
        <f t="shared" si="4"/>
        <v>0</v>
      </c>
      <c r="AG92" s="22" t="s">
        <v>1048</v>
      </c>
      <c r="AH92" s="73" t="s">
        <v>1048</v>
      </c>
      <c r="AI92" s="23">
        <v>0</v>
      </c>
      <c r="AJ92" s="23">
        <v>0</v>
      </c>
      <c r="AK92" s="23">
        <v>0</v>
      </c>
      <c r="AL92" s="23">
        <v>0</v>
      </c>
      <c r="AM92" s="23">
        <v>0</v>
      </c>
      <c r="AN92" s="23">
        <v>0</v>
      </c>
      <c r="AO92" s="23">
        <v>0</v>
      </c>
      <c r="AP92" s="23">
        <v>0</v>
      </c>
      <c r="AQ92" s="23">
        <v>0</v>
      </c>
      <c r="AR92" s="23">
        <v>0</v>
      </c>
      <c r="AS92" s="23">
        <v>0</v>
      </c>
      <c r="AT92" s="23">
        <v>0</v>
      </c>
      <c r="AU92" s="23">
        <v>0</v>
      </c>
      <c r="AV92" s="23">
        <v>0</v>
      </c>
      <c r="AW92" s="23">
        <v>0</v>
      </c>
      <c r="AX92" s="23">
        <v>0</v>
      </c>
      <c r="AY92" s="23">
        <v>0</v>
      </c>
      <c r="AZ92" s="23">
        <v>0</v>
      </c>
      <c r="BA92" s="23">
        <v>0</v>
      </c>
      <c r="BB92" s="23">
        <v>0</v>
      </c>
      <c r="BC92" s="23">
        <v>0</v>
      </c>
      <c r="BD92" s="23">
        <v>0</v>
      </c>
      <c r="BE92" s="23">
        <v>0</v>
      </c>
      <c r="BF92" s="23">
        <v>0</v>
      </c>
      <c r="BG92" s="23">
        <v>35000000</v>
      </c>
      <c r="BH92" s="23">
        <v>0</v>
      </c>
      <c r="BI92" s="23">
        <v>0</v>
      </c>
      <c r="BJ92" s="23">
        <v>0</v>
      </c>
      <c r="BK92" s="23">
        <v>0</v>
      </c>
      <c r="BL92" s="23">
        <v>0</v>
      </c>
      <c r="BM92" s="23">
        <v>0</v>
      </c>
      <c r="BN92" s="23">
        <v>0</v>
      </c>
      <c r="BO92" s="23">
        <v>0</v>
      </c>
      <c r="BP92" s="23">
        <v>0</v>
      </c>
      <c r="BQ92" s="23">
        <v>0</v>
      </c>
      <c r="BR92" s="23">
        <v>35000000</v>
      </c>
      <c r="BS92" s="23">
        <v>0</v>
      </c>
      <c r="BT92" s="23">
        <v>0</v>
      </c>
      <c r="BU92" s="23">
        <v>0</v>
      </c>
      <c r="BV92" s="23">
        <v>0</v>
      </c>
      <c r="BW92" s="23">
        <v>0</v>
      </c>
      <c r="BX92" s="23">
        <v>0</v>
      </c>
      <c r="BY92" s="23">
        <v>0</v>
      </c>
      <c r="BZ92" s="23">
        <v>0</v>
      </c>
      <c r="CA92" s="23">
        <v>0</v>
      </c>
      <c r="CB92" s="23">
        <v>0</v>
      </c>
      <c r="CC92" s="23">
        <v>0</v>
      </c>
      <c r="CD92" s="23">
        <v>0</v>
      </c>
      <c r="CE92" s="23">
        <f t="shared" si="3"/>
        <v>35000000</v>
      </c>
    </row>
    <row r="93" spans="1:83" ht="15" customHeight="1" x14ac:dyDescent="0.3">
      <c r="A93" s="20" t="s">
        <v>743</v>
      </c>
      <c r="B93" s="20">
        <v>21</v>
      </c>
      <c r="C93" s="20" t="s">
        <v>64</v>
      </c>
      <c r="D93" s="20">
        <v>110150003</v>
      </c>
      <c r="E93" s="20" t="s">
        <v>764</v>
      </c>
      <c r="F93" s="20" t="s">
        <v>719</v>
      </c>
      <c r="G93" s="20" t="s">
        <v>783</v>
      </c>
      <c r="H93" s="29">
        <v>41.476999999999997</v>
      </c>
      <c r="I93" s="30">
        <v>2017</v>
      </c>
      <c r="J93" s="30">
        <v>38</v>
      </c>
      <c r="K93" s="30">
        <v>2102</v>
      </c>
      <c r="L93" s="20" t="s">
        <v>65</v>
      </c>
      <c r="M93" s="30">
        <v>2102011</v>
      </c>
      <c r="N93" s="77" t="s">
        <v>1122</v>
      </c>
      <c r="O93" s="79">
        <v>202500000001999</v>
      </c>
      <c r="P93" s="20" t="s">
        <v>601</v>
      </c>
      <c r="Q93" s="46"/>
      <c r="R93" s="20" t="s">
        <v>740</v>
      </c>
      <c r="S93" s="26" t="s">
        <v>287</v>
      </c>
      <c r="T93" s="31">
        <v>210205800</v>
      </c>
      <c r="U93" s="20" t="s">
        <v>601</v>
      </c>
      <c r="V93" s="20" t="s">
        <v>18</v>
      </c>
      <c r="W93" s="30" t="s">
        <v>600</v>
      </c>
      <c r="X93" s="20" t="s">
        <v>23</v>
      </c>
      <c r="Y93" s="22">
        <v>0</v>
      </c>
      <c r="Z93" s="22">
        <v>75</v>
      </c>
      <c r="AA93" s="22">
        <v>0</v>
      </c>
      <c r="AB93" s="22">
        <v>0</v>
      </c>
      <c r="AC93" s="22">
        <v>75</v>
      </c>
      <c r="AD93" s="22">
        <v>0</v>
      </c>
      <c r="AE93" s="22"/>
      <c r="AF93" s="19">
        <f t="shared" si="4"/>
        <v>0</v>
      </c>
      <c r="AG93" s="22" t="s">
        <v>1048</v>
      </c>
      <c r="AH93" s="73" t="s">
        <v>1048</v>
      </c>
      <c r="AI93" s="23">
        <v>0</v>
      </c>
      <c r="AJ93" s="23">
        <v>0</v>
      </c>
      <c r="AK93" s="23">
        <v>0</v>
      </c>
      <c r="AL93" s="23">
        <v>0</v>
      </c>
      <c r="AM93" s="23">
        <v>0</v>
      </c>
      <c r="AN93" s="23">
        <v>0</v>
      </c>
      <c r="AO93" s="23">
        <v>0</v>
      </c>
      <c r="AP93" s="23">
        <v>0</v>
      </c>
      <c r="AQ93" s="23">
        <v>0</v>
      </c>
      <c r="AR93" s="23">
        <v>0</v>
      </c>
      <c r="AS93" s="23">
        <v>0</v>
      </c>
      <c r="AT93" s="23">
        <v>0</v>
      </c>
      <c r="AU93" s="23">
        <v>0</v>
      </c>
      <c r="AV93" s="23">
        <v>0</v>
      </c>
      <c r="AW93" s="23">
        <v>0</v>
      </c>
      <c r="AX93" s="23">
        <v>0</v>
      </c>
      <c r="AY93" s="23">
        <v>0</v>
      </c>
      <c r="AZ93" s="23">
        <v>0</v>
      </c>
      <c r="BA93" s="23">
        <v>0</v>
      </c>
      <c r="BB93" s="23">
        <v>0</v>
      </c>
      <c r="BC93" s="23">
        <v>0</v>
      </c>
      <c r="BD93" s="23">
        <v>0</v>
      </c>
      <c r="BE93" s="23">
        <v>0</v>
      </c>
      <c r="BF93" s="23">
        <v>0</v>
      </c>
      <c r="BG93" s="23">
        <v>0</v>
      </c>
      <c r="BH93" s="23">
        <v>0</v>
      </c>
      <c r="BI93" s="23">
        <v>0</v>
      </c>
      <c r="BJ93" s="23">
        <v>0</v>
      </c>
      <c r="BK93" s="23">
        <v>0</v>
      </c>
      <c r="BL93" s="23">
        <v>62500000</v>
      </c>
      <c r="BM93" s="23">
        <v>0</v>
      </c>
      <c r="BN93" s="23">
        <v>0</v>
      </c>
      <c r="BO93" s="23">
        <v>0</v>
      </c>
      <c r="BP93" s="23">
        <v>200000000</v>
      </c>
      <c r="BQ93" s="23">
        <v>0</v>
      </c>
      <c r="BR93" s="23">
        <v>262500000</v>
      </c>
      <c r="BS93" s="23">
        <v>0</v>
      </c>
      <c r="BT93" s="23">
        <v>0</v>
      </c>
      <c r="BU93" s="23">
        <v>0</v>
      </c>
      <c r="BV93" s="23">
        <v>0</v>
      </c>
      <c r="BW93" s="23">
        <v>0</v>
      </c>
      <c r="BX93" s="23">
        <v>0</v>
      </c>
      <c r="BY93" s="23">
        <v>0</v>
      </c>
      <c r="BZ93" s="23">
        <v>0</v>
      </c>
      <c r="CA93" s="23">
        <v>0</v>
      </c>
      <c r="CB93" s="23">
        <v>0</v>
      </c>
      <c r="CC93" s="23">
        <v>0</v>
      </c>
      <c r="CD93" s="23">
        <v>0</v>
      </c>
      <c r="CE93" s="23">
        <f t="shared" si="3"/>
        <v>262500000</v>
      </c>
    </row>
    <row r="94" spans="1:83" ht="15" customHeight="1" x14ac:dyDescent="0.3">
      <c r="A94" s="20" t="s">
        <v>743</v>
      </c>
      <c r="B94" s="20">
        <v>17</v>
      </c>
      <c r="C94" s="20" t="s">
        <v>208</v>
      </c>
      <c r="D94" s="21">
        <v>150070007</v>
      </c>
      <c r="E94" s="21" t="s">
        <v>728</v>
      </c>
      <c r="F94" s="20" t="s">
        <v>729</v>
      </c>
      <c r="G94" s="20" t="s">
        <v>787</v>
      </c>
      <c r="H94" s="29">
        <v>0</v>
      </c>
      <c r="I94" s="30">
        <v>2021</v>
      </c>
      <c r="J94" s="30">
        <v>1</v>
      </c>
      <c r="K94" s="30">
        <v>1704</v>
      </c>
      <c r="L94" s="25" t="s">
        <v>685</v>
      </c>
      <c r="M94" s="32">
        <v>1704010</v>
      </c>
      <c r="N94" s="77" t="s">
        <v>1117</v>
      </c>
      <c r="O94" s="79"/>
      <c r="P94" s="25" t="s">
        <v>686</v>
      </c>
      <c r="Q94" s="46" t="s">
        <v>833</v>
      </c>
      <c r="R94" s="25" t="s">
        <v>687</v>
      </c>
      <c r="S94" s="25" t="s">
        <v>688</v>
      </c>
      <c r="T94" s="32">
        <v>170401000</v>
      </c>
      <c r="U94" s="25" t="s">
        <v>595</v>
      </c>
      <c r="V94" s="25" t="s">
        <v>18</v>
      </c>
      <c r="W94" s="30">
        <v>1.4</v>
      </c>
      <c r="X94" s="20" t="s">
        <v>23</v>
      </c>
      <c r="Y94" s="22">
        <v>42</v>
      </c>
      <c r="Z94" s="22">
        <v>100</v>
      </c>
      <c r="AA94" s="22">
        <v>0</v>
      </c>
      <c r="AB94" s="22">
        <v>0</v>
      </c>
      <c r="AC94" s="22">
        <v>50</v>
      </c>
      <c r="AD94" s="22">
        <v>50</v>
      </c>
      <c r="AE94" s="22"/>
      <c r="AF94" s="19">
        <f t="shared" si="4"/>
        <v>0</v>
      </c>
      <c r="AG94" s="22" t="s">
        <v>1048</v>
      </c>
      <c r="AH94" s="73" t="s">
        <v>1048</v>
      </c>
      <c r="AI94" s="23">
        <v>0</v>
      </c>
      <c r="AJ94" s="23">
        <v>0</v>
      </c>
      <c r="AK94" s="23">
        <v>0</v>
      </c>
      <c r="AL94" s="23">
        <v>0</v>
      </c>
      <c r="AM94" s="23">
        <v>0</v>
      </c>
      <c r="AN94" s="23">
        <v>0</v>
      </c>
      <c r="AO94" s="23">
        <v>0</v>
      </c>
      <c r="AP94" s="23">
        <v>0</v>
      </c>
      <c r="AQ94" s="23">
        <v>0</v>
      </c>
      <c r="AR94" s="23">
        <v>0</v>
      </c>
      <c r="AS94" s="23">
        <v>0</v>
      </c>
      <c r="AT94" s="23">
        <v>0</v>
      </c>
      <c r="AU94" s="23">
        <v>0</v>
      </c>
      <c r="AV94" s="23">
        <v>0</v>
      </c>
      <c r="AW94" s="23">
        <v>0</v>
      </c>
      <c r="AX94" s="23">
        <v>0</v>
      </c>
      <c r="AY94" s="23">
        <v>0</v>
      </c>
      <c r="AZ94" s="23">
        <v>0</v>
      </c>
      <c r="BA94" s="23">
        <v>0</v>
      </c>
      <c r="BB94" s="23">
        <v>0</v>
      </c>
      <c r="BC94" s="23">
        <v>0</v>
      </c>
      <c r="BD94" s="23">
        <v>0</v>
      </c>
      <c r="BE94" s="23">
        <v>0</v>
      </c>
      <c r="BF94" s="23">
        <v>0</v>
      </c>
      <c r="BG94" s="23">
        <v>64000000</v>
      </c>
      <c r="BH94" s="23">
        <v>0</v>
      </c>
      <c r="BI94" s="23">
        <v>0</v>
      </c>
      <c r="BJ94" s="23">
        <v>0</v>
      </c>
      <c r="BK94" s="23">
        <v>0</v>
      </c>
      <c r="BL94" s="23">
        <v>0</v>
      </c>
      <c r="BM94" s="23">
        <v>0</v>
      </c>
      <c r="BN94" s="23">
        <v>0</v>
      </c>
      <c r="BO94" s="23">
        <v>111000000</v>
      </c>
      <c r="BP94" s="23">
        <v>0</v>
      </c>
      <c r="BQ94" s="23">
        <v>0</v>
      </c>
      <c r="BR94" s="23">
        <v>175000000</v>
      </c>
      <c r="BS94" s="23">
        <v>175000000</v>
      </c>
      <c r="BT94" s="23">
        <v>0</v>
      </c>
      <c r="BU94" s="23">
        <v>0</v>
      </c>
      <c r="BV94" s="23">
        <v>0</v>
      </c>
      <c r="BW94" s="23">
        <v>0</v>
      </c>
      <c r="BX94" s="23">
        <v>0</v>
      </c>
      <c r="BY94" s="23">
        <v>0</v>
      </c>
      <c r="BZ94" s="23">
        <v>0</v>
      </c>
      <c r="CA94" s="23">
        <v>0</v>
      </c>
      <c r="CB94" s="23">
        <v>0</v>
      </c>
      <c r="CC94" s="23">
        <v>0</v>
      </c>
      <c r="CD94" s="23">
        <v>175000000</v>
      </c>
      <c r="CE94" s="23">
        <f t="shared" si="3"/>
        <v>350000000</v>
      </c>
    </row>
    <row r="95" spans="1:83" ht="15" customHeight="1" x14ac:dyDescent="0.3">
      <c r="A95" s="20" t="s">
        <v>744</v>
      </c>
      <c r="B95" s="20">
        <v>40</v>
      </c>
      <c r="C95" s="20" t="s">
        <v>194</v>
      </c>
      <c r="D95" s="20">
        <v>30010019</v>
      </c>
      <c r="E95" s="20" t="s">
        <v>675</v>
      </c>
      <c r="F95" s="20" t="s">
        <v>428</v>
      </c>
      <c r="G95" s="20" t="s">
        <v>774</v>
      </c>
      <c r="H95" s="29">
        <v>80.885800000000003</v>
      </c>
      <c r="I95" s="30">
        <v>2018</v>
      </c>
      <c r="J95" s="30">
        <v>91</v>
      </c>
      <c r="K95" s="30">
        <v>4003</v>
      </c>
      <c r="L95" s="20" t="s">
        <v>202</v>
      </c>
      <c r="M95" s="30">
        <v>4003010</v>
      </c>
      <c r="N95" s="77" t="s">
        <v>1123</v>
      </c>
      <c r="O95" s="79">
        <v>202500000006544</v>
      </c>
      <c r="P95" s="20" t="s">
        <v>203</v>
      </c>
      <c r="Q95" s="46"/>
      <c r="R95" s="20" t="s">
        <v>204</v>
      </c>
      <c r="S95" s="20" t="s">
        <v>205</v>
      </c>
      <c r="T95" s="30">
        <v>400301000</v>
      </c>
      <c r="U95" s="20" t="s">
        <v>206</v>
      </c>
      <c r="V95" s="20" t="s">
        <v>18</v>
      </c>
      <c r="W95" s="30">
        <v>6.2</v>
      </c>
      <c r="X95" s="20" t="s">
        <v>207</v>
      </c>
      <c r="Y95" s="22">
        <v>1490</v>
      </c>
      <c r="Z95" s="22">
        <v>6120</v>
      </c>
      <c r="AA95" s="22">
        <v>1500</v>
      </c>
      <c r="AB95" s="22">
        <v>1520</v>
      </c>
      <c r="AC95" s="22">
        <v>1540</v>
      </c>
      <c r="AD95" s="22">
        <v>1560</v>
      </c>
      <c r="AE95" s="22">
        <v>1562</v>
      </c>
      <c r="AF95" s="19">
        <f t="shared" si="4"/>
        <v>25.522875816993462</v>
      </c>
      <c r="AG95" s="39">
        <v>1520</v>
      </c>
      <c r="AH95" s="75">
        <v>100</v>
      </c>
      <c r="AI95" s="23">
        <v>0</v>
      </c>
      <c r="AJ95" s="23">
        <v>0</v>
      </c>
      <c r="AK95" s="23">
        <v>0</v>
      </c>
      <c r="AL95" s="23">
        <v>0</v>
      </c>
      <c r="AM95" s="23">
        <v>0</v>
      </c>
      <c r="AN95" s="23">
        <v>87000000</v>
      </c>
      <c r="AO95" s="23">
        <v>0</v>
      </c>
      <c r="AP95" s="23">
        <v>0</v>
      </c>
      <c r="AQ95" s="23">
        <v>0</v>
      </c>
      <c r="AR95" s="23">
        <v>0</v>
      </c>
      <c r="AS95" s="23">
        <v>0</v>
      </c>
      <c r="AT95" s="23">
        <v>87000000</v>
      </c>
      <c r="AU95" s="23">
        <v>0</v>
      </c>
      <c r="AV95" s="23">
        <v>0</v>
      </c>
      <c r="AW95" s="23">
        <v>0</v>
      </c>
      <c r="AX95" s="23">
        <v>0</v>
      </c>
      <c r="AY95" s="23">
        <v>0</v>
      </c>
      <c r="AZ95" s="23">
        <v>88160000</v>
      </c>
      <c r="BA95" s="23">
        <v>0</v>
      </c>
      <c r="BB95" s="23">
        <v>0</v>
      </c>
      <c r="BC95" s="23">
        <v>0</v>
      </c>
      <c r="BD95" s="23">
        <v>0</v>
      </c>
      <c r="BE95" s="23">
        <v>0</v>
      </c>
      <c r="BF95" s="23">
        <v>88160000</v>
      </c>
      <c r="BG95" s="23">
        <v>0</v>
      </c>
      <c r="BH95" s="23">
        <v>0</v>
      </c>
      <c r="BI95" s="23">
        <v>0</v>
      </c>
      <c r="BJ95" s="23">
        <v>0</v>
      </c>
      <c r="BK95" s="23">
        <v>0</v>
      </c>
      <c r="BL95" s="23">
        <v>89320000</v>
      </c>
      <c r="BM95" s="23">
        <v>0</v>
      </c>
      <c r="BN95" s="23">
        <v>0</v>
      </c>
      <c r="BO95" s="23">
        <v>0</v>
      </c>
      <c r="BP95" s="23">
        <v>0</v>
      </c>
      <c r="BQ95" s="23">
        <v>0</v>
      </c>
      <c r="BR95" s="23">
        <v>89320000</v>
      </c>
      <c r="BS95" s="23">
        <v>1160000</v>
      </c>
      <c r="BT95" s="23">
        <v>0</v>
      </c>
      <c r="BU95" s="23">
        <v>0</v>
      </c>
      <c r="BV95" s="23">
        <v>0</v>
      </c>
      <c r="BW95" s="23">
        <v>0</v>
      </c>
      <c r="BX95" s="23">
        <v>89320000</v>
      </c>
      <c r="BY95" s="23">
        <v>0</v>
      </c>
      <c r="BZ95" s="23">
        <v>0</v>
      </c>
      <c r="CA95" s="23">
        <v>0</v>
      </c>
      <c r="CB95" s="23">
        <v>0</v>
      </c>
      <c r="CC95" s="23">
        <v>0</v>
      </c>
      <c r="CD95" s="23">
        <v>90480000</v>
      </c>
      <c r="CE95" s="23">
        <f t="shared" si="3"/>
        <v>354960000</v>
      </c>
    </row>
    <row r="96" spans="1:83" ht="15" customHeight="1" x14ac:dyDescent="0.3">
      <c r="A96" s="20" t="s">
        <v>744</v>
      </c>
      <c r="B96" s="20">
        <v>40</v>
      </c>
      <c r="C96" s="20" t="s">
        <v>194</v>
      </c>
      <c r="D96" s="20">
        <v>30010006</v>
      </c>
      <c r="E96" s="20" t="s">
        <v>672</v>
      </c>
      <c r="F96" s="20" t="s">
        <v>679</v>
      </c>
      <c r="G96" s="20" t="s">
        <v>774</v>
      </c>
      <c r="H96" s="29">
        <v>64.2774</v>
      </c>
      <c r="I96" s="30">
        <v>2018</v>
      </c>
      <c r="J96" s="30">
        <v>75</v>
      </c>
      <c r="K96" s="30">
        <v>4003</v>
      </c>
      <c r="L96" s="20" t="s">
        <v>202</v>
      </c>
      <c r="M96" s="30">
        <v>4003022</v>
      </c>
      <c r="N96" s="77" t="s">
        <v>1123</v>
      </c>
      <c r="O96" s="79">
        <v>202500000006544</v>
      </c>
      <c r="P96" s="20" t="s">
        <v>658</v>
      </c>
      <c r="Q96" s="46"/>
      <c r="R96" s="20" t="s">
        <v>659</v>
      </c>
      <c r="S96" s="20" t="s">
        <v>307</v>
      </c>
      <c r="T96" s="30">
        <v>400302200</v>
      </c>
      <c r="U96" s="20" t="s">
        <v>608</v>
      </c>
      <c r="V96" s="20" t="s">
        <v>18</v>
      </c>
      <c r="W96" s="30">
        <v>11.6</v>
      </c>
      <c r="X96" s="20" t="s">
        <v>207</v>
      </c>
      <c r="Y96" s="22">
        <v>1</v>
      </c>
      <c r="Z96" s="22">
        <v>4</v>
      </c>
      <c r="AA96" s="22">
        <v>1</v>
      </c>
      <c r="AB96" s="22">
        <v>1</v>
      </c>
      <c r="AC96" s="22">
        <v>1</v>
      </c>
      <c r="AD96" s="22">
        <v>1</v>
      </c>
      <c r="AE96" s="22">
        <v>1</v>
      </c>
      <c r="AF96" s="19">
        <f t="shared" si="4"/>
        <v>25</v>
      </c>
      <c r="AG96" s="22">
        <v>1</v>
      </c>
      <c r="AH96" s="73">
        <v>100</v>
      </c>
      <c r="AI96" s="23">
        <v>50000000</v>
      </c>
      <c r="AJ96" s="23">
        <v>0</v>
      </c>
      <c r="AK96" s="23">
        <v>0</v>
      </c>
      <c r="AL96" s="23">
        <v>0</v>
      </c>
      <c r="AM96" s="23">
        <v>0</v>
      </c>
      <c r="AN96" s="23">
        <v>0</v>
      </c>
      <c r="AO96" s="23">
        <v>0</v>
      </c>
      <c r="AP96" s="23">
        <v>0</v>
      </c>
      <c r="AQ96" s="23">
        <v>0</v>
      </c>
      <c r="AR96" s="23">
        <v>0</v>
      </c>
      <c r="AS96" s="23">
        <v>0</v>
      </c>
      <c r="AT96" s="23">
        <v>50000000</v>
      </c>
      <c r="AU96" s="23">
        <v>50000000</v>
      </c>
      <c r="AV96" s="23">
        <v>0</v>
      </c>
      <c r="AW96" s="23">
        <v>0</v>
      </c>
      <c r="AX96" s="23">
        <v>0</v>
      </c>
      <c r="AY96" s="23">
        <v>0</v>
      </c>
      <c r="AZ96" s="23">
        <v>0</v>
      </c>
      <c r="BA96" s="23">
        <v>0</v>
      </c>
      <c r="BB96" s="23">
        <v>0</v>
      </c>
      <c r="BC96" s="23">
        <v>0</v>
      </c>
      <c r="BD96" s="23">
        <v>0</v>
      </c>
      <c r="BE96" s="23">
        <v>0</v>
      </c>
      <c r="BF96" s="23">
        <v>50000000</v>
      </c>
      <c r="BG96" s="23">
        <v>50000000</v>
      </c>
      <c r="BH96" s="23">
        <v>0</v>
      </c>
      <c r="BI96" s="23">
        <v>0</v>
      </c>
      <c r="BJ96" s="23">
        <v>0</v>
      </c>
      <c r="BK96" s="23">
        <v>0</v>
      </c>
      <c r="BL96" s="23">
        <v>0</v>
      </c>
      <c r="BM96" s="23">
        <v>0</v>
      </c>
      <c r="BN96" s="23">
        <v>0</v>
      </c>
      <c r="BO96" s="23">
        <v>0</v>
      </c>
      <c r="BP96" s="23">
        <v>0</v>
      </c>
      <c r="BQ96" s="23">
        <v>0</v>
      </c>
      <c r="BR96" s="23">
        <v>50000000</v>
      </c>
      <c r="BS96" s="23">
        <v>50000000</v>
      </c>
      <c r="BT96" s="23">
        <v>0</v>
      </c>
      <c r="BU96" s="23">
        <v>0</v>
      </c>
      <c r="BV96" s="23">
        <v>0</v>
      </c>
      <c r="BW96" s="23">
        <v>0</v>
      </c>
      <c r="BX96" s="23">
        <v>0</v>
      </c>
      <c r="BY96" s="23">
        <v>0</v>
      </c>
      <c r="BZ96" s="23">
        <v>0</v>
      </c>
      <c r="CA96" s="23">
        <v>0</v>
      </c>
      <c r="CB96" s="23">
        <v>0</v>
      </c>
      <c r="CC96" s="23">
        <v>0</v>
      </c>
      <c r="CD96" s="23">
        <v>50000000</v>
      </c>
      <c r="CE96" s="23">
        <f t="shared" si="3"/>
        <v>200000000</v>
      </c>
    </row>
    <row r="97" spans="1:83" ht="16.5" customHeight="1" x14ac:dyDescent="0.3">
      <c r="A97" s="20" t="s">
        <v>744</v>
      </c>
      <c r="B97" s="20">
        <v>40</v>
      </c>
      <c r="C97" s="20" t="s">
        <v>194</v>
      </c>
      <c r="D97" s="20">
        <v>30010004</v>
      </c>
      <c r="E97" s="20" t="s">
        <v>671</v>
      </c>
      <c r="F97" s="20" t="s">
        <v>679</v>
      </c>
      <c r="G97" s="20" t="s">
        <v>774</v>
      </c>
      <c r="H97" s="29">
        <v>88.578100000000006</v>
      </c>
      <c r="I97" s="30">
        <v>2018</v>
      </c>
      <c r="J97" s="30">
        <v>91</v>
      </c>
      <c r="K97" s="30">
        <v>4003</v>
      </c>
      <c r="L97" s="20" t="s">
        <v>202</v>
      </c>
      <c r="M97" s="30">
        <v>4003041</v>
      </c>
      <c r="N97" s="77" t="s">
        <v>1123</v>
      </c>
      <c r="O97" s="79">
        <v>202500000006544</v>
      </c>
      <c r="P97" s="20" t="s">
        <v>662</v>
      </c>
      <c r="Q97" s="46" t="s">
        <v>834</v>
      </c>
      <c r="R97" s="20" t="s">
        <v>663</v>
      </c>
      <c r="S97" s="20" t="s">
        <v>664</v>
      </c>
      <c r="T97" s="30">
        <v>400304101</v>
      </c>
      <c r="U97" s="20" t="s">
        <v>665</v>
      </c>
      <c r="V97" s="20" t="s">
        <v>18</v>
      </c>
      <c r="W97" s="30">
        <v>16.600000000000001</v>
      </c>
      <c r="X97" s="20" t="s">
        <v>207</v>
      </c>
      <c r="Y97" s="22">
        <v>0</v>
      </c>
      <c r="Z97" s="22">
        <v>1</v>
      </c>
      <c r="AA97" s="22">
        <v>0</v>
      </c>
      <c r="AB97" s="22">
        <v>1</v>
      </c>
      <c r="AC97" s="22">
        <v>0</v>
      </c>
      <c r="AD97" s="22">
        <v>0</v>
      </c>
      <c r="AE97" s="22"/>
      <c r="AF97" s="19">
        <f t="shared" si="4"/>
        <v>0</v>
      </c>
      <c r="AG97" s="22">
        <v>0</v>
      </c>
      <c r="AH97" s="73">
        <v>0</v>
      </c>
      <c r="AI97" s="23">
        <v>0</v>
      </c>
      <c r="AJ97" s="23">
        <v>0</v>
      </c>
      <c r="AK97" s="23">
        <v>0</v>
      </c>
      <c r="AL97" s="23">
        <v>0</v>
      </c>
      <c r="AM97" s="23">
        <v>0</v>
      </c>
      <c r="AN97" s="23">
        <v>0</v>
      </c>
      <c r="AO97" s="23">
        <v>0</v>
      </c>
      <c r="AP97" s="23">
        <v>0</v>
      </c>
      <c r="AQ97" s="23">
        <v>0</v>
      </c>
      <c r="AR97" s="23">
        <v>0</v>
      </c>
      <c r="AS97" s="23">
        <v>0</v>
      </c>
      <c r="AT97" s="23">
        <v>0</v>
      </c>
      <c r="AU97" s="23">
        <v>0</v>
      </c>
      <c r="AV97" s="23">
        <v>56324830</v>
      </c>
      <c r="AW97" s="23">
        <v>0</v>
      </c>
      <c r="AX97" s="23">
        <v>0</v>
      </c>
      <c r="AY97" s="23">
        <v>0</v>
      </c>
      <c r="AZ97" s="23">
        <v>0</v>
      </c>
      <c r="BA97" s="23">
        <v>0</v>
      </c>
      <c r="BB97" s="23">
        <v>0</v>
      </c>
      <c r="BC97" s="23">
        <v>0</v>
      </c>
      <c r="BD97" s="23">
        <v>0</v>
      </c>
      <c r="BE97" s="23">
        <v>0</v>
      </c>
      <c r="BF97" s="23">
        <v>56324830</v>
      </c>
      <c r="BG97" s="23">
        <v>0</v>
      </c>
      <c r="BH97" s="23">
        <v>0</v>
      </c>
      <c r="BI97" s="23">
        <v>0</v>
      </c>
      <c r="BJ97" s="23">
        <v>0</v>
      </c>
      <c r="BK97" s="23">
        <v>0</v>
      </c>
      <c r="BL97" s="23">
        <v>0</v>
      </c>
      <c r="BM97" s="23">
        <v>0</v>
      </c>
      <c r="BN97" s="23">
        <v>0</v>
      </c>
      <c r="BO97" s="23">
        <v>0</v>
      </c>
      <c r="BP97" s="23">
        <v>0</v>
      </c>
      <c r="BQ97" s="23">
        <v>0</v>
      </c>
      <c r="BR97" s="23">
        <v>0</v>
      </c>
      <c r="BS97" s="23">
        <v>0</v>
      </c>
      <c r="BT97" s="23">
        <v>0</v>
      </c>
      <c r="BU97" s="23">
        <v>0</v>
      </c>
      <c r="BV97" s="23">
        <v>0</v>
      </c>
      <c r="BW97" s="23">
        <v>0</v>
      </c>
      <c r="BX97" s="23">
        <v>0</v>
      </c>
      <c r="BY97" s="23">
        <v>0</v>
      </c>
      <c r="BZ97" s="23">
        <v>0</v>
      </c>
      <c r="CA97" s="23">
        <v>0</v>
      </c>
      <c r="CB97" s="23">
        <v>0</v>
      </c>
      <c r="CC97" s="23">
        <v>0</v>
      </c>
      <c r="CD97" s="23">
        <v>0</v>
      </c>
      <c r="CE97" s="23">
        <f t="shared" si="3"/>
        <v>56324830</v>
      </c>
    </row>
    <row r="98" spans="1:83" ht="15" customHeight="1" x14ac:dyDescent="0.3">
      <c r="A98" s="20" t="s">
        <v>744</v>
      </c>
      <c r="B98" s="20">
        <v>40</v>
      </c>
      <c r="C98" s="20" t="s">
        <v>194</v>
      </c>
      <c r="D98" s="20">
        <v>30010004</v>
      </c>
      <c r="E98" s="20" t="s">
        <v>671</v>
      </c>
      <c r="F98" s="20" t="s">
        <v>679</v>
      </c>
      <c r="G98" s="20" t="s">
        <v>774</v>
      </c>
      <c r="H98" s="29">
        <v>88.578100000000006</v>
      </c>
      <c r="I98" s="30">
        <v>2018</v>
      </c>
      <c r="J98" s="30">
        <v>91</v>
      </c>
      <c r="K98" s="30">
        <v>4003</v>
      </c>
      <c r="L98" s="20" t="s">
        <v>202</v>
      </c>
      <c r="M98" s="30">
        <v>4003006</v>
      </c>
      <c r="N98" s="77" t="s">
        <v>1123</v>
      </c>
      <c r="O98" s="79">
        <v>202500000006544</v>
      </c>
      <c r="P98" s="20" t="s">
        <v>95</v>
      </c>
      <c r="Q98" s="46" t="s">
        <v>835</v>
      </c>
      <c r="R98" s="20" t="s">
        <v>200</v>
      </c>
      <c r="S98" s="20" t="s">
        <v>26</v>
      </c>
      <c r="T98" s="30">
        <v>400300601</v>
      </c>
      <c r="U98" s="20" t="s">
        <v>666</v>
      </c>
      <c r="V98" s="20" t="s">
        <v>18</v>
      </c>
      <c r="W98" s="30">
        <v>6.4</v>
      </c>
      <c r="X98" s="20" t="s">
        <v>207</v>
      </c>
      <c r="Y98" s="22">
        <v>1</v>
      </c>
      <c r="Z98" s="22">
        <v>1</v>
      </c>
      <c r="AA98" s="22">
        <v>0</v>
      </c>
      <c r="AB98" s="22">
        <v>0</v>
      </c>
      <c r="AC98" s="22">
        <v>1</v>
      </c>
      <c r="AD98" s="22">
        <v>0</v>
      </c>
      <c r="AE98" s="22"/>
      <c r="AF98" s="19">
        <f t="shared" si="4"/>
        <v>0</v>
      </c>
      <c r="AG98" s="22" t="s">
        <v>1048</v>
      </c>
      <c r="AH98" s="73" t="s">
        <v>1048</v>
      </c>
      <c r="AI98" s="23">
        <v>0</v>
      </c>
      <c r="AJ98" s="23">
        <v>0</v>
      </c>
      <c r="AK98" s="23">
        <v>0</v>
      </c>
      <c r="AL98" s="23">
        <v>0</v>
      </c>
      <c r="AM98" s="23">
        <v>0</v>
      </c>
      <c r="AN98" s="23">
        <v>0</v>
      </c>
      <c r="AO98" s="23">
        <v>0</v>
      </c>
      <c r="AP98" s="23">
        <v>0</v>
      </c>
      <c r="AQ98" s="23">
        <v>0</v>
      </c>
      <c r="AR98" s="23">
        <v>0</v>
      </c>
      <c r="AS98" s="23">
        <v>0</v>
      </c>
      <c r="AT98" s="23">
        <v>0</v>
      </c>
      <c r="AU98" s="23">
        <v>0</v>
      </c>
      <c r="AV98" s="23">
        <v>0</v>
      </c>
      <c r="AW98" s="23">
        <v>0</v>
      </c>
      <c r="AX98" s="23">
        <v>0</v>
      </c>
      <c r="AY98" s="23">
        <v>0</v>
      </c>
      <c r="AZ98" s="23">
        <v>0</v>
      </c>
      <c r="BA98" s="23">
        <v>0</v>
      </c>
      <c r="BB98" s="23">
        <v>0</v>
      </c>
      <c r="BC98" s="23">
        <v>0</v>
      </c>
      <c r="BD98" s="23">
        <v>0</v>
      </c>
      <c r="BE98" s="23">
        <v>0</v>
      </c>
      <c r="BF98" s="23">
        <v>0</v>
      </c>
      <c r="BG98" s="23">
        <v>50000000</v>
      </c>
      <c r="BH98" s="23">
        <v>0</v>
      </c>
      <c r="BI98" s="23">
        <v>0</v>
      </c>
      <c r="BJ98" s="23">
        <v>0</v>
      </c>
      <c r="BK98" s="23">
        <v>0</v>
      </c>
      <c r="BL98" s="23">
        <v>0</v>
      </c>
      <c r="BM98" s="23">
        <v>0</v>
      </c>
      <c r="BN98" s="23">
        <v>0</v>
      </c>
      <c r="BO98" s="23">
        <v>100000000</v>
      </c>
      <c r="BP98" s="23">
        <v>0</v>
      </c>
      <c r="BQ98" s="23">
        <v>0</v>
      </c>
      <c r="BR98" s="23">
        <v>150000000</v>
      </c>
      <c r="BS98" s="23">
        <v>0</v>
      </c>
      <c r="BT98" s="23">
        <v>0</v>
      </c>
      <c r="BU98" s="23">
        <v>0</v>
      </c>
      <c r="BV98" s="23">
        <v>0</v>
      </c>
      <c r="BW98" s="23">
        <v>0</v>
      </c>
      <c r="BX98" s="23">
        <v>0</v>
      </c>
      <c r="BY98" s="23">
        <v>0</v>
      </c>
      <c r="BZ98" s="23">
        <v>0</v>
      </c>
      <c r="CA98" s="23">
        <v>0</v>
      </c>
      <c r="CB98" s="23">
        <v>0</v>
      </c>
      <c r="CC98" s="23">
        <v>0</v>
      </c>
      <c r="CD98" s="23">
        <v>0</v>
      </c>
      <c r="CE98" s="23">
        <f t="shared" si="3"/>
        <v>150000000</v>
      </c>
    </row>
    <row r="99" spans="1:83" ht="15" customHeight="1" x14ac:dyDescent="0.3">
      <c r="A99" s="20" t="s">
        <v>744</v>
      </c>
      <c r="B99" s="20">
        <v>41</v>
      </c>
      <c r="C99" s="20" t="s">
        <v>12</v>
      </c>
      <c r="D99" s="20">
        <v>140010051</v>
      </c>
      <c r="E99" s="20" t="s">
        <v>720</v>
      </c>
      <c r="F99" s="20" t="s">
        <v>428</v>
      </c>
      <c r="G99" s="20" t="s">
        <v>774</v>
      </c>
      <c r="H99" s="29">
        <v>77.937399999999997</v>
      </c>
      <c r="I99" s="30">
        <v>2023</v>
      </c>
      <c r="J99" s="30">
        <v>72</v>
      </c>
      <c r="K99" s="30">
        <v>4102</v>
      </c>
      <c r="L99" s="20" t="s">
        <v>13</v>
      </c>
      <c r="M99" s="30">
        <v>4102010</v>
      </c>
      <c r="N99" s="77" t="s">
        <v>1098</v>
      </c>
      <c r="O99" s="79">
        <v>202500000001968</v>
      </c>
      <c r="P99" s="20" t="s">
        <v>20</v>
      </c>
      <c r="Q99" s="46" t="s">
        <v>836</v>
      </c>
      <c r="R99" s="20" t="s">
        <v>21</v>
      </c>
      <c r="S99" s="20" t="s">
        <v>22</v>
      </c>
      <c r="T99" s="30">
        <v>410201000</v>
      </c>
      <c r="U99" s="20" t="s">
        <v>20</v>
      </c>
      <c r="V99" s="20" t="s">
        <v>18</v>
      </c>
      <c r="W99" s="30">
        <v>4.2</v>
      </c>
      <c r="X99" s="20" t="s">
        <v>23</v>
      </c>
      <c r="Y99" s="22">
        <v>1</v>
      </c>
      <c r="Z99" s="22">
        <v>1</v>
      </c>
      <c r="AA99" s="22">
        <v>0</v>
      </c>
      <c r="AB99" s="22">
        <v>1</v>
      </c>
      <c r="AC99" s="22">
        <v>0</v>
      </c>
      <c r="AD99" s="22">
        <v>0</v>
      </c>
      <c r="AE99" s="22"/>
      <c r="AF99" s="19">
        <f t="shared" si="4"/>
        <v>0</v>
      </c>
      <c r="AG99" s="22">
        <v>0</v>
      </c>
      <c r="AH99" s="73">
        <v>0</v>
      </c>
      <c r="AI99" s="23">
        <v>0</v>
      </c>
      <c r="AJ99" s="23">
        <v>0</v>
      </c>
      <c r="AK99" s="23">
        <v>0</v>
      </c>
      <c r="AL99" s="23">
        <v>0</v>
      </c>
      <c r="AM99" s="23">
        <v>0</v>
      </c>
      <c r="AN99" s="23">
        <v>0</v>
      </c>
      <c r="AO99" s="23">
        <v>0</v>
      </c>
      <c r="AP99" s="23">
        <v>0</v>
      </c>
      <c r="AQ99" s="23">
        <v>0</v>
      </c>
      <c r="AR99" s="23">
        <v>0</v>
      </c>
      <c r="AS99" s="23">
        <v>0</v>
      </c>
      <c r="AT99" s="23">
        <v>0</v>
      </c>
      <c r="AU99" s="23">
        <v>0</v>
      </c>
      <c r="AV99" s="23">
        <v>0</v>
      </c>
      <c r="AW99" s="23">
        <v>0</v>
      </c>
      <c r="AX99" s="23">
        <v>0</v>
      </c>
      <c r="AY99" s="23">
        <v>0</v>
      </c>
      <c r="AZ99" s="23">
        <v>150000000</v>
      </c>
      <c r="BA99" s="23">
        <v>0</v>
      </c>
      <c r="BB99" s="23">
        <v>0</v>
      </c>
      <c r="BC99" s="23">
        <v>85000000</v>
      </c>
      <c r="BD99" s="23">
        <v>0</v>
      </c>
      <c r="BE99" s="23">
        <v>0</v>
      </c>
      <c r="BF99" s="23">
        <v>235000000</v>
      </c>
      <c r="BG99" s="23">
        <v>0</v>
      </c>
      <c r="BH99" s="23">
        <v>0</v>
      </c>
      <c r="BI99" s="23">
        <v>0</v>
      </c>
      <c r="BJ99" s="23">
        <v>0</v>
      </c>
      <c r="BK99" s="23">
        <v>0</v>
      </c>
      <c r="BL99" s="23">
        <v>0</v>
      </c>
      <c r="BM99" s="23">
        <v>0</v>
      </c>
      <c r="BN99" s="23">
        <v>0</v>
      </c>
      <c r="BO99" s="23">
        <v>0</v>
      </c>
      <c r="BP99" s="23">
        <v>0</v>
      </c>
      <c r="BQ99" s="23">
        <v>0</v>
      </c>
      <c r="BR99" s="23">
        <v>0</v>
      </c>
      <c r="BS99" s="23">
        <v>0</v>
      </c>
      <c r="BT99" s="23">
        <v>0</v>
      </c>
      <c r="BU99" s="23">
        <v>0</v>
      </c>
      <c r="BV99" s="23">
        <v>0</v>
      </c>
      <c r="BW99" s="23">
        <v>0</v>
      </c>
      <c r="BX99" s="23">
        <v>0</v>
      </c>
      <c r="BY99" s="23">
        <v>0</v>
      </c>
      <c r="BZ99" s="23">
        <v>0</v>
      </c>
      <c r="CA99" s="23">
        <v>0</v>
      </c>
      <c r="CB99" s="23">
        <v>0</v>
      </c>
      <c r="CC99" s="23">
        <v>0</v>
      </c>
      <c r="CD99" s="23">
        <v>0</v>
      </c>
      <c r="CE99" s="23">
        <f t="shared" ref="CE99:CE130" si="5">+CD99+BR99+BF99+AT99</f>
        <v>235000000</v>
      </c>
    </row>
    <row r="100" spans="1:83" ht="15" customHeight="1" x14ac:dyDescent="0.3">
      <c r="A100" s="20" t="s">
        <v>744</v>
      </c>
      <c r="B100" s="20">
        <v>33</v>
      </c>
      <c r="C100" s="20" t="s">
        <v>83</v>
      </c>
      <c r="D100" s="20">
        <v>270010001</v>
      </c>
      <c r="E100" s="20" t="s">
        <v>759</v>
      </c>
      <c r="F100" s="20" t="s">
        <v>18</v>
      </c>
      <c r="G100" s="20" t="s">
        <v>788</v>
      </c>
      <c r="H100" s="29">
        <v>6</v>
      </c>
      <c r="I100" s="30">
        <v>2022</v>
      </c>
      <c r="J100" s="30">
        <v>6</v>
      </c>
      <c r="K100" s="30">
        <v>3301</v>
      </c>
      <c r="L100" s="20" t="s">
        <v>84</v>
      </c>
      <c r="M100" s="30">
        <v>3301068</v>
      </c>
      <c r="N100" s="77" t="s">
        <v>1105</v>
      </c>
      <c r="O100" s="79">
        <v>202500000002378</v>
      </c>
      <c r="P100" s="20" t="s">
        <v>85</v>
      </c>
      <c r="Q100" s="46" t="s">
        <v>837</v>
      </c>
      <c r="R100" s="20" t="s">
        <v>86</v>
      </c>
      <c r="S100" s="20" t="s">
        <v>87</v>
      </c>
      <c r="T100" s="30">
        <v>330106800</v>
      </c>
      <c r="U100" s="20" t="s">
        <v>88</v>
      </c>
      <c r="V100" s="20" t="s">
        <v>18</v>
      </c>
      <c r="W100" s="30">
        <v>11.4</v>
      </c>
      <c r="X100" s="20" t="s">
        <v>23</v>
      </c>
      <c r="Y100" s="22">
        <v>1</v>
      </c>
      <c r="Z100" s="22">
        <v>1</v>
      </c>
      <c r="AA100" s="22">
        <v>0</v>
      </c>
      <c r="AB100" s="22">
        <v>1</v>
      </c>
      <c r="AC100" s="22">
        <v>0</v>
      </c>
      <c r="AD100" s="22">
        <v>0</v>
      </c>
      <c r="AE100" s="22"/>
      <c r="AF100" s="19">
        <f t="shared" si="4"/>
        <v>0</v>
      </c>
      <c r="AG100" s="22">
        <v>0</v>
      </c>
      <c r="AH100" s="73">
        <v>0</v>
      </c>
      <c r="AI100" s="23">
        <v>0</v>
      </c>
      <c r="AJ100" s="23">
        <v>0</v>
      </c>
      <c r="AK100" s="23">
        <v>0</v>
      </c>
      <c r="AL100" s="23">
        <v>0</v>
      </c>
      <c r="AM100" s="23">
        <v>0</v>
      </c>
      <c r="AN100" s="23">
        <v>0</v>
      </c>
      <c r="AO100" s="23">
        <v>0</v>
      </c>
      <c r="AP100" s="23">
        <v>0</v>
      </c>
      <c r="AQ100" s="23">
        <v>0</v>
      </c>
      <c r="AR100" s="23">
        <v>0</v>
      </c>
      <c r="AS100" s="23">
        <v>0</v>
      </c>
      <c r="AT100" s="23">
        <v>0</v>
      </c>
      <c r="AU100" s="23">
        <v>0</v>
      </c>
      <c r="AV100" s="23">
        <v>64200000</v>
      </c>
      <c r="AW100" s="23">
        <v>0</v>
      </c>
      <c r="AX100" s="23">
        <v>0</v>
      </c>
      <c r="AY100" s="23">
        <v>0</v>
      </c>
      <c r="AZ100" s="23">
        <v>0</v>
      </c>
      <c r="BA100" s="23">
        <v>0</v>
      </c>
      <c r="BB100" s="23">
        <v>0</v>
      </c>
      <c r="BC100" s="23">
        <v>80800000</v>
      </c>
      <c r="BD100" s="23">
        <v>0</v>
      </c>
      <c r="BE100" s="23">
        <v>0</v>
      </c>
      <c r="BF100" s="23">
        <v>145000000</v>
      </c>
      <c r="BG100" s="23">
        <v>0</v>
      </c>
      <c r="BH100" s="23">
        <v>0</v>
      </c>
      <c r="BI100" s="23">
        <v>0</v>
      </c>
      <c r="BJ100" s="23">
        <v>0</v>
      </c>
      <c r="BK100" s="23">
        <v>0</v>
      </c>
      <c r="BL100" s="23">
        <v>0</v>
      </c>
      <c r="BM100" s="23">
        <v>0</v>
      </c>
      <c r="BN100" s="23">
        <v>0</v>
      </c>
      <c r="BO100" s="23">
        <v>0</v>
      </c>
      <c r="BP100" s="23">
        <v>0</v>
      </c>
      <c r="BQ100" s="23">
        <v>0</v>
      </c>
      <c r="BR100" s="23">
        <v>0</v>
      </c>
      <c r="BS100" s="23">
        <v>0</v>
      </c>
      <c r="BT100" s="23">
        <v>0</v>
      </c>
      <c r="BU100" s="23">
        <v>0</v>
      </c>
      <c r="BV100" s="23">
        <v>0</v>
      </c>
      <c r="BW100" s="23">
        <v>0</v>
      </c>
      <c r="BX100" s="23">
        <v>0</v>
      </c>
      <c r="BY100" s="23">
        <v>0</v>
      </c>
      <c r="BZ100" s="23">
        <v>0</v>
      </c>
      <c r="CA100" s="23">
        <v>0</v>
      </c>
      <c r="CB100" s="23">
        <v>0</v>
      </c>
      <c r="CC100" s="23">
        <v>0</v>
      </c>
      <c r="CD100" s="23">
        <v>0</v>
      </c>
      <c r="CE100" s="23">
        <f t="shared" si="5"/>
        <v>145000000</v>
      </c>
    </row>
    <row r="101" spans="1:83" ht="15" customHeight="1" x14ac:dyDescent="0.3">
      <c r="A101" s="20" t="s">
        <v>744</v>
      </c>
      <c r="B101" s="20">
        <v>22</v>
      </c>
      <c r="C101" s="20" t="s">
        <v>93</v>
      </c>
      <c r="D101" s="20">
        <v>40010006</v>
      </c>
      <c r="E101" s="20" t="s">
        <v>676</v>
      </c>
      <c r="F101" s="20" t="s">
        <v>679</v>
      </c>
      <c r="G101" s="20" t="s">
        <v>778</v>
      </c>
      <c r="H101" s="29">
        <v>101.0859</v>
      </c>
      <c r="I101" s="30">
        <v>2022</v>
      </c>
      <c r="J101" s="30">
        <v>101</v>
      </c>
      <c r="K101" s="30">
        <v>2201</v>
      </c>
      <c r="L101" s="20" t="s">
        <v>94</v>
      </c>
      <c r="M101" s="30">
        <v>2201022</v>
      </c>
      <c r="N101" s="80" t="s">
        <v>1101</v>
      </c>
      <c r="O101" s="79">
        <v>202500000002049</v>
      </c>
      <c r="P101" s="20" t="s">
        <v>109</v>
      </c>
      <c r="Q101" s="46"/>
      <c r="R101" s="20" t="s">
        <v>110</v>
      </c>
      <c r="S101" s="20" t="s">
        <v>111</v>
      </c>
      <c r="T101" s="30">
        <v>220102200</v>
      </c>
      <c r="U101" s="20" t="s">
        <v>112</v>
      </c>
      <c r="V101" s="20" t="s">
        <v>18</v>
      </c>
      <c r="W101" s="30" t="s">
        <v>590</v>
      </c>
      <c r="X101" s="20" t="s">
        <v>23</v>
      </c>
      <c r="Y101" s="22">
        <v>0</v>
      </c>
      <c r="Z101" s="22">
        <v>3</v>
      </c>
      <c r="AA101" s="22">
        <v>0</v>
      </c>
      <c r="AB101" s="22">
        <v>0</v>
      </c>
      <c r="AC101" s="22">
        <v>3</v>
      </c>
      <c r="AD101" s="22">
        <v>0</v>
      </c>
      <c r="AE101" s="22"/>
      <c r="AF101" s="19">
        <f t="shared" si="4"/>
        <v>0</v>
      </c>
      <c r="AG101" s="22" t="s">
        <v>1048</v>
      </c>
      <c r="AH101" s="73" t="s">
        <v>1048</v>
      </c>
      <c r="AI101" s="23">
        <v>0</v>
      </c>
      <c r="AJ101" s="23">
        <v>0</v>
      </c>
      <c r="AK101" s="23">
        <v>0</v>
      </c>
      <c r="AL101" s="23">
        <v>0</v>
      </c>
      <c r="AM101" s="23">
        <v>0</v>
      </c>
      <c r="AN101" s="23">
        <v>0</v>
      </c>
      <c r="AO101" s="23">
        <v>0</v>
      </c>
      <c r="AP101" s="23">
        <v>0</v>
      </c>
      <c r="AQ101" s="23">
        <v>0</v>
      </c>
      <c r="AR101" s="23">
        <v>0</v>
      </c>
      <c r="AS101" s="23">
        <v>0</v>
      </c>
      <c r="AT101" s="23">
        <v>0</v>
      </c>
      <c r="AU101" s="23">
        <v>0</v>
      </c>
      <c r="AV101" s="23">
        <v>0</v>
      </c>
      <c r="AW101" s="23">
        <v>0</v>
      </c>
      <c r="AX101" s="23">
        <v>0</v>
      </c>
      <c r="AY101" s="23">
        <v>0</v>
      </c>
      <c r="AZ101" s="23">
        <v>0</v>
      </c>
      <c r="BA101" s="23">
        <v>0</v>
      </c>
      <c r="BB101" s="23">
        <v>0</v>
      </c>
      <c r="BC101" s="23">
        <v>0</v>
      </c>
      <c r="BD101" s="23">
        <v>0</v>
      </c>
      <c r="BE101" s="23">
        <v>0</v>
      </c>
      <c r="BF101" s="23">
        <v>0</v>
      </c>
      <c r="BG101" s="23">
        <v>20000000</v>
      </c>
      <c r="BH101" s="23">
        <v>0</v>
      </c>
      <c r="BI101" s="23">
        <v>0</v>
      </c>
      <c r="BJ101" s="23">
        <v>0</v>
      </c>
      <c r="BK101" s="23">
        <v>0</v>
      </c>
      <c r="BL101" s="23">
        <v>0</v>
      </c>
      <c r="BM101" s="23">
        <v>0</v>
      </c>
      <c r="BN101" s="23">
        <v>0</v>
      </c>
      <c r="BO101" s="23">
        <v>0</v>
      </c>
      <c r="BP101" s="23">
        <v>220000000</v>
      </c>
      <c r="BQ101" s="23">
        <v>0</v>
      </c>
      <c r="BR101" s="23">
        <v>240000000</v>
      </c>
      <c r="BS101" s="23">
        <v>0</v>
      </c>
      <c r="BT101" s="23">
        <v>0</v>
      </c>
      <c r="BU101" s="23">
        <v>0</v>
      </c>
      <c r="BV101" s="23">
        <v>0</v>
      </c>
      <c r="BW101" s="23">
        <v>0</v>
      </c>
      <c r="BX101" s="23">
        <v>0</v>
      </c>
      <c r="BY101" s="23">
        <v>0</v>
      </c>
      <c r="BZ101" s="23">
        <v>0</v>
      </c>
      <c r="CA101" s="23">
        <v>0</v>
      </c>
      <c r="CB101" s="23">
        <v>0</v>
      </c>
      <c r="CC101" s="23">
        <v>0</v>
      </c>
      <c r="CD101" s="23">
        <v>0</v>
      </c>
      <c r="CE101" s="23">
        <f t="shared" si="5"/>
        <v>240000000</v>
      </c>
    </row>
    <row r="102" spans="1:83" ht="15" customHeight="1" x14ac:dyDescent="0.3">
      <c r="A102" s="20" t="s">
        <v>744</v>
      </c>
      <c r="B102" s="20">
        <v>43</v>
      </c>
      <c r="C102" s="20" t="s">
        <v>158</v>
      </c>
      <c r="D102" s="20">
        <v>270030003</v>
      </c>
      <c r="E102" s="20" t="s">
        <v>722</v>
      </c>
      <c r="F102" s="20" t="s">
        <v>797</v>
      </c>
      <c r="G102" s="20" t="s">
        <v>798</v>
      </c>
      <c r="H102" s="29" t="s">
        <v>803</v>
      </c>
      <c r="I102" s="30" t="s">
        <v>803</v>
      </c>
      <c r="J102" s="30">
        <v>480</v>
      </c>
      <c r="K102" s="30">
        <v>4301</v>
      </c>
      <c r="L102" s="20" t="s">
        <v>159</v>
      </c>
      <c r="M102" s="30">
        <v>4301004</v>
      </c>
      <c r="N102" s="77" t="s">
        <v>1103</v>
      </c>
      <c r="O102" s="79">
        <v>202500000001898</v>
      </c>
      <c r="P102" s="20" t="s">
        <v>163</v>
      </c>
      <c r="Q102" s="46" t="s">
        <v>838</v>
      </c>
      <c r="R102" s="20" t="s">
        <v>164</v>
      </c>
      <c r="S102" s="20" t="s">
        <v>165</v>
      </c>
      <c r="T102" s="30">
        <v>430100400</v>
      </c>
      <c r="U102" s="20" t="s">
        <v>166</v>
      </c>
      <c r="V102" s="20" t="s">
        <v>18</v>
      </c>
      <c r="W102" s="30">
        <v>11.7</v>
      </c>
      <c r="X102" s="20" t="s">
        <v>23</v>
      </c>
      <c r="Y102" s="22">
        <v>11</v>
      </c>
      <c r="Z102" s="22">
        <v>11</v>
      </c>
      <c r="AA102" s="22">
        <v>2</v>
      </c>
      <c r="AB102" s="22">
        <v>3</v>
      </c>
      <c r="AC102" s="22">
        <v>3</v>
      </c>
      <c r="AD102" s="22">
        <v>3</v>
      </c>
      <c r="AE102" s="22">
        <v>2</v>
      </c>
      <c r="AF102" s="19">
        <f t="shared" si="4"/>
        <v>18.181818181818183</v>
      </c>
      <c r="AG102" s="22">
        <v>2</v>
      </c>
      <c r="AH102" s="73">
        <v>66.666666666666671</v>
      </c>
      <c r="AI102" s="23">
        <v>2331000</v>
      </c>
      <c r="AJ102" s="23">
        <v>87669000</v>
      </c>
      <c r="AK102" s="23">
        <v>0</v>
      </c>
      <c r="AL102" s="23">
        <v>0</v>
      </c>
      <c r="AM102" s="23">
        <v>0</v>
      </c>
      <c r="AN102" s="23">
        <v>0</v>
      </c>
      <c r="AO102" s="23">
        <v>0</v>
      </c>
      <c r="AP102" s="23">
        <v>0</v>
      </c>
      <c r="AQ102" s="23">
        <v>0</v>
      </c>
      <c r="AR102" s="23">
        <v>0</v>
      </c>
      <c r="AS102" s="23">
        <v>0</v>
      </c>
      <c r="AT102" s="23">
        <v>90000000</v>
      </c>
      <c r="AU102" s="23">
        <v>0</v>
      </c>
      <c r="AV102" s="23">
        <v>40800000</v>
      </c>
      <c r="AW102" s="23">
        <v>0</v>
      </c>
      <c r="AX102" s="23">
        <v>0</v>
      </c>
      <c r="AY102" s="23">
        <v>0</v>
      </c>
      <c r="AZ102" s="23">
        <v>0</v>
      </c>
      <c r="BA102" s="23">
        <v>64631210</v>
      </c>
      <c r="BB102" s="23">
        <v>0</v>
      </c>
      <c r="BC102" s="23">
        <v>29568790</v>
      </c>
      <c r="BD102" s="23">
        <v>0</v>
      </c>
      <c r="BE102" s="23">
        <v>0</v>
      </c>
      <c r="BF102" s="23">
        <v>135000000</v>
      </c>
      <c r="BG102" s="23">
        <v>0</v>
      </c>
      <c r="BH102" s="23">
        <v>0</v>
      </c>
      <c r="BI102" s="23">
        <v>0</v>
      </c>
      <c r="BJ102" s="23">
        <v>0</v>
      </c>
      <c r="BK102" s="23">
        <v>0</v>
      </c>
      <c r="BL102" s="23">
        <v>0</v>
      </c>
      <c r="BM102" s="23">
        <v>6555395</v>
      </c>
      <c r="BN102" s="23">
        <v>0</v>
      </c>
      <c r="BO102" s="23">
        <v>128444605</v>
      </c>
      <c r="BP102" s="23">
        <v>0</v>
      </c>
      <c r="BQ102" s="23">
        <v>0</v>
      </c>
      <c r="BR102" s="23">
        <v>135000000</v>
      </c>
      <c r="BS102" s="23">
        <v>0</v>
      </c>
      <c r="BT102" s="23">
        <v>0</v>
      </c>
      <c r="BU102" s="23">
        <v>0</v>
      </c>
      <c r="BV102" s="23">
        <v>0</v>
      </c>
      <c r="BW102" s="23">
        <v>0</v>
      </c>
      <c r="BX102" s="23">
        <v>0</v>
      </c>
      <c r="BY102" s="23">
        <v>51396272</v>
      </c>
      <c r="BZ102" s="23">
        <v>0</v>
      </c>
      <c r="CA102" s="23">
        <v>83603728</v>
      </c>
      <c r="CB102" s="23">
        <v>0</v>
      </c>
      <c r="CC102" s="23">
        <v>0</v>
      </c>
      <c r="CD102" s="23">
        <v>135000000</v>
      </c>
      <c r="CE102" s="23">
        <f t="shared" si="5"/>
        <v>495000000</v>
      </c>
    </row>
    <row r="103" spans="1:83" ht="15" customHeight="1" x14ac:dyDescent="0.3">
      <c r="A103" s="20" t="s">
        <v>744</v>
      </c>
      <c r="B103" s="20">
        <v>43</v>
      </c>
      <c r="C103" s="20" t="s">
        <v>158</v>
      </c>
      <c r="D103" s="20">
        <v>270030003</v>
      </c>
      <c r="E103" s="20" t="s">
        <v>722</v>
      </c>
      <c r="F103" s="20" t="s">
        <v>797</v>
      </c>
      <c r="G103" s="20" t="s">
        <v>798</v>
      </c>
      <c r="H103" s="29" t="s">
        <v>803</v>
      </c>
      <c r="I103" s="30" t="s">
        <v>803</v>
      </c>
      <c r="J103" s="30">
        <v>480</v>
      </c>
      <c r="K103" s="30">
        <v>4301</v>
      </c>
      <c r="L103" s="20" t="s">
        <v>159</v>
      </c>
      <c r="M103" s="30">
        <v>4301010</v>
      </c>
      <c r="N103" s="77" t="s">
        <v>1103</v>
      </c>
      <c r="O103" s="79">
        <v>202500000001898</v>
      </c>
      <c r="P103" s="20" t="s">
        <v>171</v>
      </c>
      <c r="Q103" s="46" t="s">
        <v>839</v>
      </c>
      <c r="R103" s="20" t="s">
        <v>172</v>
      </c>
      <c r="S103" s="20" t="s">
        <v>173</v>
      </c>
      <c r="T103" s="30">
        <v>430101000</v>
      </c>
      <c r="U103" s="20" t="s">
        <v>174</v>
      </c>
      <c r="V103" s="20" t="s">
        <v>18</v>
      </c>
      <c r="W103" s="30">
        <v>11.7</v>
      </c>
      <c r="X103" s="20" t="s">
        <v>23</v>
      </c>
      <c r="Y103" s="22">
        <v>1</v>
      </c>
      <c r="Z103" s="22">
        <v>4</v>
      </c>
      <c r="AA103" s="22">
        <v>0</v>
      </c>
      <c r="AB103" s="22">
        <v>1</v>
      </c>
      <c r="AC103" s="22">
        <v>2</v>
      </c>
      <c r="AD103" s="22">
        <v>1</v>
      </c>
      <c r="AE103" s="22"/>
      <c r="AF103" s="19">
        <f t="shared" si="4"/>
        <v>0</v>
      </c>
      <c r="AG103" s="22">
        <v>0</v>
      </c>
      <c r="AH103" s="73">
        <v>0</v>
      </c>
      <c r="AI103" s="23">
        <v>0</v>
      </c>
      <c r="AJ103" s="23">
        <v>0</v>
      </c>
      <c r="AK103" s="23">
        <v>0</v>
      </c>
      <c r="AL103" s="23">
        <v>0</v>
      </c>
      <c r="AM103" s="23">
        <v>0</v>
      </c>
      <c r="AN103" s="23">
        <v>0</v>
      </c>
      <c r="AO103" s="23">
        <v>0</v>
      </c>
      <c r="AP103" s="23">
        <v>0</v>
      </c>
      <c r="AQ103" s="23">
        <v>0</v>
      </c>
      <c r="AR103" s="23">
        <v>0</v>
      </c>
      <c r="AS103" s="23">
        <v>0</v>
      </c>
      <c r="AT103" s="23">
        <v>0</v>
      </c>
      <c r="AU103" s="23">
        <v>0</v>
      </c>
      <c r="AV103" s="23">
        <v>0</v>
      </c>
      <c r="AW103" s="23">
        <v>0</v>
      </c>
      <c r="AX103" s="23">
        <v>0</v>
      </c>
      <c r="AY103" s="23">
        <v>0</v>
      </c>
      <c r="AZ103" s="23">
        <v>0</v>
      </c>
      <c r="BA103" s="23">
        <v>0</v>
      </c>
      <c r="BB103" s="23">
        <v>25415000</v>
      </c>
      <c r="BC103" s="23">
        <v>86750000</v>
      </c>
      <c r="BD103" s="23">
        <v>0</v>
      </c>
      <c r="BE103" s="23">
        <v>0</v>
      </c>
      <c r="BF103" s="23">
        <v>112165000</v>
      </c>
      <c r="BG103" s="23">
        <v>0</v>
      </c>
      <c r="BH103" s="23">
        <v>90388000</v>
      </c>
      <c r="BI103" s="23">
        <v>0</v>
      </c>
      <c r="BJ103" s="23">
        <v>0</v>
      </c>
      <c r="BK103" s="23">
        <v>0</v>
      </c>
      <c r="BL103" s="23">
        <v>0</v>
      </c>
      <c r="BM103" s="23">
        <v>0</v>
      </c>
      <c r="BN103" s="23">
        <v>0</v>
      </c>
      <c r="BO103" s="23">
        <v>134612000</v>
      </c>
      <c r="BP103" s="23">
        <v>0</v>
      </c>
      <c r="BQ103" s="23">
        <v>0</v>
      </c>
      <c r="BR103" s="23">
        <v>225000000</v>
      </c>
      <c r="BS103" s="23">
        <v>0</v>
      </c>
      <c r="BT103" s="23">
        <v>37250000</v>
      </c>
      <c r="BU103" s="23">
        <v>0</v>
      </c>
      <c r="BV103" s="23">
        <v>0</v>
      </c>
      <c r="BW103" s="23">
        <v>0</v>
      </c>
      <c r="BX103" s="23">
        <v>0</v>
      </c>
      <c r="BY103" s="23">
        <v>0</v>
      </c>
      <c r="BZ103" s="23">
        <v>0</v>
      </c>
      <c r="CA103" s="23">
        <v>86750000</v>
      </c>
      <c r="CB103" s="23">
        <v>0</v>
      </c>
      <c r="CC103" s="23">
        <v>0</v>
      </c>
      <c r="CD103" s="23">
        <v>124000000</v>
      </c>
      <c r="CE103" s="23">
        <f t="shared" si="5"/>
        <v>461165000</v>
      </c>
    </row>
    <row r="104" spans="1:83" ht="15" customHeight="1" x14ac:dyDescent="0.3">
      <c r="A104" s="20" t="s">
        <v>744</v>
      </c>
      <c r="B104" s="20">
        <v>43</v>
      </c>
      <c r="C104" s="20" t="s">
        <v>158</v>
      </c>
      <c r="D104" s="20">
        <v>270030003</v>
      </c>
      <c r="E104" s="20" t="s">
        <v>722</v>
      </c>
      <c r="F104" s="20" t="s">
        <v>797</v>
      </c>
      <c r="G104" s="20" t="s">
        <v>798</v>
      </c>
      <c r="H104" s="29" t="s">
        <v>803</v>
      </c>
      <c r="I104" s="30" t="s">
        <v>803</v>
      </c>
      <c r="J104" s="30">
        <v>480</v>
      </c>
      <c r="K104" s="30">
        <v>4301</v>
      </c>
      <c r="L104" s="20" t="s">
        <v>159</v>
      </c>
      <c r="M104" s="30">
        <v>4301019</v>
      </c>
      <c r="N104" s="77" t="s">
        <v>1103</v>
      </c>
      <c r="O104" s="79">
        <v>202500000001898</v>
      </c>
      <c r="P104" s="20" t="s">
        <v>175</v>
      </c>
      <c r="Q104" s="46"/>
      <c r="R104" s="20" t="s">
        <v>176</v>
      </c>
      <c r="S104" s="20" t="s">
        <v>177</v>
      </c>
      <c r="T104" s="30">
        <v>430101900</v>
      </c>
      <c r="U104" s="20" t="s">
        <v>178</v>
      </c>
      <c r="V104" s="20" t="s">
        <v>18</v>
      </c>
      <c r="W104" s="30">
        <v>11.7</v>
      </c>
      <c r="X104" s="20" t="s">
        <v>23</v>
      </c>
      <c r="Y104" s="22">
        <v>2</v>
      </c>
      <c r="Z104" s="22">
        <v>1</v>
      </c>
      <c r="AA104" s="22">
        <v>0</v>
      </c>
      <c r="AB104" s="22">
        <v>0</v>
      </c>
      <c r="AC104" s="22">
        <v>1</v>
      </c>
      <c r="AD104" s="22">
        <v>0</v>
      </c>
      <c r="AE104" s="22"/>
      <c r="AF104" s="19">
        <f t="shared" si="4"/>
        <v>0</v>
      </c>
      <c r="AG104" s="22" t="s">
        <v>1048</v>
      </c>
      <c r="AH104" s="73" t="s">
        <v>1048</v>
      </c>
      <c r="AI104" s="23">
        <v>0</v>
      </c>
      <c r="AJ104" s="23">
        <v>0</v>
      </c>
      <c r="AK104" s="23">
        <v>0</v>
      </c>
      <c r="AL104" s="23">
        <v>0</v>
      </c>
      <c r="AM104" s="23">
        <v>0</v>
      </c>
      <c r="AN104" s="23">
        <v>0</v>
      </c>
      <c r="AO104" s="23">
        <v>0</v>
      </c>
      <c r="AP104" s="23">
        <v>0</v>
      </c>
      <c r="AQ104" s="23">
        <v>0</v>
      </c>
      <c r="AR104" s="23">
        <v>0</v>
      </c>
      <c r="AS104" s="23">
        <v>0</v>
      </c>
      <c r="AT104" s="23">
        <v>0</v>
      </c>
      <c r="AU104" s="23">
        <v>0</v>
      </c>
      <c r="AV104" s="23">
        <v>0</v>
      </c>
      <c r="AW104" s="23">
        <v>0</v>
      </c>
      <c r="AX104" s="23">
        <v>0</v>
      </c>
      <c r="AY104" s="23">
        <v>0</v>
      </c>
      <c r="AZ104" s="23">
        <v>0</v>
      </c>
      <c r="BA104" s="23">
        <v>0</v>
      </c>
      <c r="BB104" s="23">
        <v>0</v>
      </c>
      <c r="BC104" s="23">
        <v>0</v>
      </c>
      <c r="BD104" s="23">
        <v>0</v>
      </c>
      <c r="BE104" s="23">
        <v>0</v>
      </c>
      <c r="BF104" s="23">
        <v>0</v>
      </c>
      <c r="BG104" s="23">
        <v>0</v>
      </c>
      <c r="BH104" s="23">
        <v>0</v>
      </c>
      <c r="BI104" s="23">
        <v>0</v>
      </c>
      <c r="BJ104" s="23">
        <v>0</v>
      </c>
      <c r="BK104" s="23">
        <v>0</v>
      </c>
      <c r="BL104" s="23">
        <v>0</v>
      </c>
      <c r="BM104" s="23">
        <v>0</v>
      </c>
      <c r="BN104" s="23">
        <v>102457000</v>
      </c>
      <c r="BO104" s="23">
        <v>412570000</v>
      </c>
      <c r="BP104" s="23">
        <v>0</v>
      </c>
      <c r="BQ104" s="23">
        <v>0</v>
      </c>
      <c r="BR104" s="23">
        <v>515027000</v>
      </c>
      <c r="BS104" s="23">
        <v>0</v>
      </c>
      <c r="BT104" s="23">
        <v>0</v>
      </c>
      <c r="BU104" s="23">
        <v>0</v>
      </c>
      <c r="BV104" s="23">
        <v>0</v>
      </c>
      <c r="BW104" s="23">
        <v>0</v>
      </c>
      <c r="BX104" s="23">
        <v>0</v>
      </c>
      <c r="BY104" s="23">
        <v>0</v>
      </c>
      <c r="BZ104" s="23">
        <v>0</v>
      </c>
      <c r="CA104" s="23">
        <v>0</v>
      </c>
      <c r="CB104" s="23">
        <v>0</v>
      </c>
      <c r="CC104" s="23">
        <v>0</v>
      </c>
      <c r="CD104" s="23">
        <v>0</v>
      </c>
      <c r="CE104" s="23">
        <f t="shared" si="5"/>
        <v>515027000</v>
      </c>
    </row>
    <row r="105" spans="1:83" ht="15" customHeight="1" x14ac:dyDescent="0.3">
      <c r="A105" s="20" t="s">
        <v>744</v>
      </c>
      <c r="B105" s="20">
        <v>43</v>
      </c>
      <c r="C105" s="20" t="s">
        <v>158</v>
      </c>
      <c r="D105" s="20">
        <v>270030003</v>
      </c>
      <c r="E105" s="20" t="s">
        <v>722</v>
      </c>
      <c r="F105" s="20" t="s">
        <v>797</v>
      </c>
      <c r="G105" s="20" t="s">
        <v>798</v>
      </c>
      <c r="H105" s="29" t="s">
        <v>803</v>
      </c>
      <c r="I105" s="30" t="s">
        <v>803</v>
      </c>
      <c r="J105" s="30">
        <v>480</v>
      </c>
      <c r="K105" s="30">
        <v>4301</v>
      </c>
      <c r="L105" s="20" t="s">
        <v>159</v>
      </c>
      <c r="M105" s="30">
        <v>4301024</v>
      </c>
      <c r="N105" s="77" t="s">
        <v>1103</v>
      </c>
      <c r="O105" s="79">
        <v>202500000001898</v>
      </c>
      <c r="P105" s="20" t="s">
        <v>179</v>
      </c>
      <c r="Q105" s="46"/>
      <c r="R105" s="20" t="s">
        <v>180</v>
      </c>
      <c r="S105" s="20" t="s">
        <v>181</v>
      </c>
      <c r="T105" s="30">
        <v>430102400</v>
      </c>
      <c r="U105" s="20" t="s">
        <v>182</v>
      </c>
      <c r="V105" s="20" t="s">
        <v>18</v>
      </c>
      <c r="W105" s="30">
        <v>11.7</v>
      </c>
      <c r="X105" s="20" t="s">
        <v>23</v>
      </c>
      <c r="Y105" s="22">
        <v>3</v>
      </c>
      <c r="Z105" s="22">
        <v>5</v>
      </c>
      <c r="AA105" s="22">
        <v>0</v>
      </c>
      <c r="AB105" s="22">
        <v>1</v>
      </c>
      <c r="AC105" s="22">
        <v>2</v>
      </c>
      <c r="AD105" s="22">
        <v>2</v>
      </c>
      <c r="AE105" s="22"/>
      <c r="AF105" s="19">
        <f t="shared" si="4"/>
        <v>0</v>
      </c>
      <c r="AG105" s="22">
        <v>0</v>
      </c>
      <c r="AH105" s="73">
        <v>0</v>
      </c>
      <c r="AI105" s="23">
        <v>0</v>
      </c>
      <c r="AJ105" s="23">
        <v>0</v>
      </c>
      <c r="AK105" s="23">
        <v>0</v>
      </c>
      <c r="AL105" s="23">
        <v>0</v>
      </c>
      <c r="AM105" s="23">
        <v>0</v>
      </c>
      <c r="AN105" s="23">
        <v>0</v>
      </c>
      <c r="AO105" s="23">
        <v>0</v>
      </c>
      <c r="AP105" s="23">
        <v>0</v>
      </c>
      <c r="AQ105" s="23">
        <v>0</v>
      </c>
      <c r="AR105" s="23">
        <v>0</v>
      </c>
      <c r="AS105" s="23">
        <v>0</v>
      </c>
      <c r="AT105" s="23">
        <v>0</v>
      </c>
      <c r="AU105" s="23">
        <v>0</v>
      </c>
      <c r="AV105" s="23">
        <v>0</v>
      </c>
      <c r="AW105" s="23">
        <v>0</v>
      </c>
      <c r="AX105" s="23">
        <v>0</v>
      </c>
      <c r="AY105" s="23">
        <v>0</v>
      </c>
      <c r="AZ105" s="23">
        <v>0</v>
      </c>
      <c r="BA105" s="23">
        <v>0</v>
      </c>
      <c r="BB105" s="23">
        <v>0</v>
      </c>
      <c r="BC105" s="23">
        <v>16000000</v>
      </c>
      <c r="BD105" s="23">
        <v>0</v>
      </c>
      <c r="BE105" s="23">
        <v>0</v>
      </c>
      <c r="BF105" s="23">
        <v>16000000</v>
      </c>
      <c r="BG105" s="23">
        <v>0</v>
      </c>
      <c r="BH105" s="23">
        <v>32000000</v>
      </c>
      <c r="BI105" s="23">
        <v>0</v>
      </c>
      <c r="BJ105" s="23">
        <v>0</v>
      </c>
      <c r="BK105" s="23">
        <v>0</v>
      </c>
      <c r="BL105" s="23">
        <v>0</v>
      </c>
      <c r="BM105" s="23">
        <v>0</v>
      </c>
      <c r="BN105" s="23">
        <v>0</v>
      </c>
      <c r="BO105" s="23">
        <v>0</v>
      </c>
      <c r="BP105" s="23">
        <v>0</v>
      </c>
      <c r="BQ105" s="23">
        <v>0</v>
      </c>
      <c r="BR105" s="23">
        <v>32000000</v>
      </c>
      <c r="BS105" s="23">
        <v>0</v>
      </c>
      <c r="BT105" s="23">
        <v>32000000</v>
      </c>
      <c r="BU105" s="23">
        <v>0</v>
      </c>
      <c r="BV105" s="23">
        <v>0</v>
      </c>
      <c r="BW105" s="23">
        <v>0</v>
      </c>
      <c r="BX105" s="23">
        <v>0</v>
      </c>
      <c r="BY105" s="23">
        <v>0</v>
      </c>
      <c r="BZ105" s="23">
        <v>0</v>
      </c>
      <c r="CA105" s="23">
        <v>0</v>
      </c>
      <c r="CB105" s="23">
        <v>0</v>
      </c>
      <c r="CC105" s="23">
        <v>0</v>
      </c>
      <c r="CD105" s="23">
        <v>32000000</v>
      </c>
      <c r="CE105" s="23">
        <f t="shared" si="5"/>
        <v>80000000</v>
      </c>
    </row>
    <row r="106" spans="1:83" ht="15" customHeight="1" x14ac:dyDescent="0.3">
      <c r="A106" s="20" t="s">
        <v>744</v>
      </c>
      <c r="B106" s="20">
        <v>43</v>
      </c>
      <c r="C106" s="20" t="s">
        <v>158</v>
      </c>
      <c r="D106" s="20">
        <v>270030003</v>
      </c>
      <c r="E106" s="20" t="s">
        <v>722</v>
      </c>
      <c r="F106" s="20" t="s">
        <v>797</v>
      </c>
      <c r="G106" s="20" t="s">
        <v>798</v>
      </c>
      <c r="H106" s="29" t="s">
        <v>803</v>
      </c>
      <c r="I106" s="30" t="s">
        <v>803</v>
      </c>
      <c r="J106" s="30">
        <v>480</v>
      </c>
      <c r="K106" s="30">
        <v>4302</v>
      </c>
      <c r="L106" s="20" t="s">
        <v>183</v>
      </c>
      <c r="M106" s="30">
        <v>4302058</v>
      </c>
      <c r="N106" s="77" t="s">
        <v>1104</v>
      </c>
      <c r="O106" s="79"/>
      <c r="P106" s="20" t="s">
        <v>184</v>
      </c>
      <c r="Q106" s="46"/>
      <c r="R106" s="20" t="s">
        <v>185</v>
      </c>
      <c r="S106" s="20" t="s">
        <v>181</v>
      </c>
      <c r="T106" s="30">
        <v>430205800</v>
      </c>
      <c r="U106" s="20" t="s">
        <v>184</v>
      </c>
      <c r="V106" s="20" t="s">
        <v>18</v>
      </c>
      <c r="W106" s="30">
        <v>11.7</v>
      </c>
      <c r="X106" s="20" t="s">
        <v>23</v>
      </c>
      <c r="Y106" s="22">
        <v>4</v>
      </c>
      <c r="Z106" s="22">
        <v>4</v>
      </c>
      <c r="AA106" s="22">
        <v>1</v>
      </c>
      <c r="AB106" s="22">
        <v>1</v>
      </c>
      <c r="AC106" s="22">
        <v>1</v>
      </c>
      <c r="AD106" s="22">
        <v>1</v>
      </c>
      <c r="AE106" s="22">
        <v>1</v>
      </c>
      <c r="AF106" s="19">
        <f t="shared" si="4"/>
        <v>25</v>
      </c>
      <c r="AG106" s="22">
        <v>0</v>
      </c>
      <c r="AH106" s="73">
        <v>0</v>
      </c>
      <c r="AI106" s="23">
        <v>0</v>
      </c>
      <c r="AJ106" s="23">
        <v>0</v>
      </c>
      <c r="AK106" s="23">
        <v>0</v>
      </c>
      <c r="AL106" s="23">
        <v>0</v>
      </c>
      <c r="AM106" s="23">
        <v>0</v>
      </c>
      <c r="AN106" s="23">
        <v>0</v>
      </c>
      <c r="AO106" s="23">
        <v>35134000</v>
      </c>
      <c r="AP106" s="23">
        <v>0</v>
      </c>
      <c r="AQ106" s="23">
        <v>0</v>
      </c>
      <c r="AR106" s="23">
        <v>0</v>
      </c>
      <c r="AS106" s="23">
        <v>0</v>
      </c>
      <c r="AT106" s="23">
        <v>35134000</v>
      </c>
      <c r="AU106" s="23">
        <v>0</v>
      </c>
      <c r="AV106" s="23">
        <v>20134000</v>
      </c>
      <c r="AW106" s="23">
        <v>0</v>
      </c>
      <c r="AX106" s="23">
        <v>0</v>
      </c>
      <c r="AY106" s="23">
        <v>0</v>
      </c>
      <c r="AZ106" s="23">
        <v>0</v>
      </c>
      <c r="BA106" s="23">
        <v>0</v>
      </c>
      <c r="BB106" s="23">
        <v>0</v>
      </c>
      <c r="BC106" s="23">
        <v>15000000</v>
      </c>
      <c r="BD106" s="23">
        <v>0</v>
      </c>
      <c r="BE106" s="23">
        <v>0</v>
      </c>
      <c r="BF106" s="23">
        <v>35134000</v>
      </c>
      <c r="BG106" s="23">
        <v>0</v>
      </c>
      <c r="BH106" s="23">
        <v>15000000</v>
      </c>
      <c r="BI106" s="23">
        <v>0</v>
      </c>
      <c r="BJ106" s="23">
        <v>0</v>
      </c>
      <c r="BK106" s="23">
        <v>0</v>
      </c>
      <c r="BL106" s="23">
        <v>20134000</v>
      </c>
      <c r="BM106" s="23">
        <v>0</v>
      </c>
      <c r="BN106" s="23">
        <v>0</v>
      </c>
      <c r="BO106" s="23">
        <v>0</v>
      </c>
      <c r="BP106" s="23">
        <v>0</v>
      </c>
      <c r="BQ106" s="23">
        <v>0</v>
      </c>
      <c r="BR106" s="23">
        <v>35134000</v>
      </c>
      <c r="BS106" s="23">
        <v>0</v>
      </c>
      <c r="BT106" s="23">
        <v>35134000</v>
      </c>
      <c r="BU106" s="23">
        <v>0</v>
      </c>
      <c r="BV106" s="23">
        <v>0</v>
      </c>
      <c r="BW106" s="23">
        <v>0</v>
      </c>
      <c r="BX106" s="23">
        <v>0</v>
      </c>
      <c r="BY106" s="23">
        <v>0</v>
      </c>
      <c r="BZ106" s="23">
        <v>0</v>
      </c>
      <c r="CA106" s="23">
        <v>0</v>
      </c>
      <c r="CB106" s="23">
        <v>0</v>
      </c>
      <c r="CC106" s="23">
        <v>0</v>
      </c>
      <c r="CD106" s="23">
        <v>35134000</v>
      </c>
      <c r="CE106" s="23">
        <f t="shared" si="5"/>
        <v>140536000</v>
      </c>
    </row>
    <row r="107" spans="1:83" ht="15" customHeight="1" x14ac:dyDescent="0.3">
      <c r="A107" s="20" t="s">
        <v>744</v>
      </c>
      <c r="B107" s="20">
        <v>22</v>
      </c>
      <c r="C107" s="20" t="s">
        <v>93</v>
      </c>
      <c r="D107" s="20">
        <v>40010006</v>
      </c>
      <c r="E107" s="20" t="s">
        <v>676</v>
      </c>
      <c r="F107" s="20" t="s">
        <v>679</v>
      </c>
      <c r="G107" s="20" t="s">
        <v>778</v>
      </c>
      <c r="H107" s="29">
        <v>101.0859</v>
      </c>
      <c r="I107" s="30">
        <v>2022</v>
      </c>
      <c r="J107" s="30">
        <v>101</v>
      </c>
      <c r="K107" s="30">
        <v>2201</v>
      </c>
      <c r="L107" s="20" t="s">
        <v>94</v>
      </c>
      <c r="M107" s="30">
        <v>2201039</v>
      </c>
      <c r="N107" s="80" t="s">
        <v>1101</v>
      </c>
      <c r="O107" s="79">
        <v>202500000002049</v>
      </c>
      <c r="P107" s="20" t="s">
        <v>282</v>
      </c>
      <c r="Q107" s="46"/>
      <c r="R107" s="20" t="s">
        <v>283</v>
      </c>
      <c r="S107" s="20" t="s">
        <v>284</v>
      </c>
      <c r="T107" s="30">
        <v>220103900</v>
      </c>
      <c r="U107" s="20" t="s">
        <v>285</v>
      </c>
      <c r="V107" s="20" t="s">
        <v>18</v>
      </c>
      <c r="W107" s="30" t="s">
        <v>590</v>
      </c>
      <c r="X107" s="20" t="s">
        <v>23</v>
      </c>
      <c r="Y107" s="22">
        <v>0</v>
      </c>
      <c r="Z107" s="22">
        <v>1</v>
      </c>
      <c r="AA107" s="22">
        <v>0</v>
      </c>
      <c r="AB107" s="22">
        <v>1</v>
      </c>
      <c r="AC107" s="22">
        <v>0</v>
      </c>
      <c r="AD107" s="22">
        <v>0</v>
      </c>
      <c r="AE107" s="22"/>
      <c r="AF107" s="19">
        <f t="shared" si="4"/>
        <v>0</v>
      </c>
      <c r="AG107" s="22">
        <v>0</v>
      </c>
      <c r="AH107" s="73">
        <v>0</v>
      </c>
      <c r="AI107" s="23">
        <v>0</v>
      </c>
      <c r="AJ107" s="23">
        <v>0</v>
      </c>
      <c r="AK107" s="23">
        <v>0</v>
      </c>
      <c r="AL107" s="23">
        <v>0</v>
      </c>
      <c r="AM107" s="23">
        <v>0</v>
      </c>
      <c r="AN107" s="23">
        <v>0</v>
      </c>
      <c r="AO107" s="23">
        <v>0</v>
      </c>
      <c r="AP107" s="23">
        <v>0</v>
      </c>
      <c r="AQ107" s="23">
        <v>0</v>
      </c>
      <c r="AR107" s="23">
        <v>0</v>
      </c>
      <c r="AS107" s="23">
        <v>0</v>
      </c>
      <c r="AT107" s="23">
        <v>0</v>
      </c>
      <c r="AU107" s="23">
        <v>0</v>
      </c>
      <c r="AV107" s="23">
        <v>0</v>
      </c>
      <c r="AW107" s="23">
        <v>0</v>
      </c>
      <c r="AX107" s="23">
        <v>0</v>
      </c>
      <c r="AY107" s="23">
        <v>0</v>
      </c>
      <c r="AZ107" s="23">
        <v>22000000</v>
      </c>
      <c r="BA107" s="23">
        <v>0</v>
      </c>
      <c r="BB107" s="23">
        <v>0</v>
      </c>
      <c r="BC107" s="23">
        <v>65000000</v>
      </c>
      <c r="BD107" s="23">
        <v>0</v>
      </c>
      <c r="BE107" s="23">
        <v>0</v>
      </c>
      <c r="BF107" s="23">
        <v>87000000</v>
      </c>
      <c r="BG107" s="23">
        <v>0</v>
      </c>
      <c r="BH107" s="23">
        <v>0</v>
      </c>
      <c r="BI107" s="23">
        <v>0</v>
      </c>
      <c r="BJ107" s="23">
        <v>0</v>
      </c>
      <c r="BK107" s="23">
        <v>0</v>
      </c>
      <c r="BL107" s="23">
        <v>0</v>
      </c>
      <c r="BM107" s="23">
        <v>0</v>
      </c>
      <c r="BN107" s="23">
        <v>0</v>
      </c>
      <c r="BO107" s="23">
        <v>0</v>
      </c>
      <c r="BP107" s="23">
        <v>0</v>
      </c>
      <c r="BQ107" s="23">
        <v>0</v>
      </c>
      <c r="BR107" s="23">
        <v>0</v>
      </c>
      <c r="BS107" s="23">
        <v>0</v>
      </c>
      <c r="BT107" s="23">
        <v>0</v>
      </c>
      <c r="BU107" s="23">
        <v>0</v>
      </c>
      <c r="BV107" s="23">
        <v>0</v>
      </c>
      <c r="BW107" s="23">
        <v>0</v>
      </c>
      <c r="BX107" s="23">
        <v>0</v>
      </c>
      <c r="BY107" s="23">
        <v>0</v>
      </c>
      <c r="BZ107" s="23">
        <v>0</v>
      </c>
      <c r="CA107" s="23">
        <v>0</v>
      </c>
      <c r="CB107" s="23">
        <v>0</v>
      </c>
      <c r="CC107" s="23">
        <v>0</v>
      </c>
      <c r="CD107" s="23">
        <v>0</v>
      </c>
      <c r="CE107" s="23">
        <f t="shared" si="5"/>
        <v>87000000</v>
      </c>
    </row>
    <row r="108" spans="1:83" ht="15" customHeight="1" x14ac:dyDescent="0.3">
      <c r="A108" s="20" t="s">
        <v>744</v>
      </c>
      <c r="B108" s="20">
        <v>43</v>
      </c>
      <c r="C108" s="20" t="s">
        <v>158</v>
      </c>
      <c r="D108" s="20">
        <v>270030003</v>
      </c>
      <c r="E108" s="20" t="s">
        <v>722</v>
      </c>
      <c r="F108" s="20" t="s">
        <v>797</v>
      </c>
      <c r="G108" s="20" t="s">
        <v>798</v>
      </c>
      <c r="H108" s="29" t="s">
        <v>803</v>
      </c>
      <c r="I108" s="30" t="s">
        <v>803</v>
      </c>
      <c r="J108" s="30">
        <v>480</v>
      </c>
      <c r="K108" s="30">
        <v>4301</v>
      </c>
      <c r="L108" s="20" t="s">
        <v>159</v>
      </c>
      <c r="M108" s="30">
        <v>4301031</v>
      </c>
      <c r="N108" s="77" t="s">
        <v>1103</v>
      </c>
      <c r="O108" s="79">
        <v>202500000001898</v>
      </c>
      <c r="P108" s="20" t="s">
        <v>309</v>
      </c>
      <c r="Q108" s="46"/>
      <c r="R108" s="20" t="s">
        <v>310</v>
      </c>
      <c r="S108" s="20" t="s">
        <v>284</v>
      </c>
      <c r="T108" s="30">
        <v>430103100</v>
      </c>
      <c r="U108" s="20" t="s">
        <v>311</v>
      </c>
      <c r="V108" s="20" t="s">
        <v>18</v>
      </c>
      <c r="W108" s="30">
        <v>11.7</v>
      </c>
      <c r="X108" s="20" t="s">
        <v>23</v>
      </c>
      <c r="Y108" s="22">
        <v>0</v>
      </c>
      <c r="Z108" s="22">
        <v>1</v>
      </c>
      <c r="AA108" s="22">
        <v>0</v>
      </c>
      <c r="AB108" s="22">
        <v>1</v>
      </c>
      <c r="AC108" s="22">
        <v>0</v>
      </c>
      <c r="AD108" s="22">
        <v>0</v>
      </c>
      <c r="AE108" s="22"/>
      <c r="AF108" s="19">
        <f t="shared" si="4"/>
        <v>0</v>
      </c>
      <c r="AG108" s="22">
        <v>0</v>
      </c>
      <c r="AH108" s="73">
        <v>0</v>
      </c>
      <c r="AI108" s="23">
        <v>0</v>
      </c>
      <c r="AJ108" s="23">
        <v>0</v>
      </c>
      <c r="AK108" s="23">
        <v>0</v>
      </c>
      <c r="AL108" s="23">
        <v>0</v>
      </c>
      <c r="AM108" s="23">
        <v>0</v>
      </c>
      <c r="AN108" s="23">
        <v>0</v>
      </c>
      <c r="AO108" s="23">
        <v>0</v>
      </c>
      <c r="AP108" s="23">
        <v>0</v>
      </c>
      <c r="AQ108" s="23">
        <v>0</v>
      </c>
      <c r="AR108" s="23">
        <v>0</v>
      </c>
      <c r="AS108" s="23">
        <v>0</v>
      </c>
      <c r="AT108" s="23">
        <v>0</v>
      </c>
      <c r="AU108" s="23">
        <v>0</v>
      </c>
      <c r="AV108" s="23">
        <v>25000000</v>
      </c>
      <c r="AW108" s="23">
        <v>0</v>
      </c>
      <c r="AX108" s="23">
        <v>0</v>
      </c>
      <c r="AY108" s="23">
        <v>0</v>
      </c>
      <c r="AZ108" s="23">
        <v>0</v>
      </c>
      <c r="BA108" s="23">
        <v>0</v>
      </c>
      <c r="BB108" s="23">
        <v>0</v>
      </c>
      <c r="BC108" s="23">
        <v>94500000</v>
      </c>
      <c r="BD108" s="23">
        <v>0</v>
      </c>
      <c r="BE108" s="23">
        <v>0</v>
      </c>
      <c r="BF108" s="23">
        <v>119500000</v>
      </c>
      <c r="BG108" s="23">
        <v>0</v>
      </c>
      <c r="BH108" s="23">
        <v>0</v>
      </c>
      <c r="BI108" s="23">
        <v>0</v>
      </c>
      <c r="BJ108" s="23">
        <v>0</v>
      </c>
      <c r="BK108" s="23">
        <v>0</v>
      </c>
      <c r="BL108" s="23">
        <v>0</v>
      </c>
      <c r="BM108" s="23">
        <v>0</v>
      </c>
      <c r="BN108" s="23">
        <v>0</v>
      </c>
      <c r="BO108" s="23">
        <v>0</v>
      </c>
      <c r="BP108" s="23">
        <v>0</v>
      </c>
      <c r="BQ108" s="23">
        <v>0</v>
      </c>
      <c r="BR108" s="23">
        <v>0</v>
      </c>
      <c r="BS108" s="23">
        <v>0</v>
      </c>
      <c r="BT108" s="23">
        <v>0</v>
      </c>
      <c r="BU108" s="23">
        <v>0</v>
      </c>
      <c r="BV108" s="23">
        <v>0</v>
      </c>
      <c r="BW108" s="23">
        <v>0</v>
      </c>
      <c r="BX108" s="23">
        <v>0</v>
      </c>
      <c r="BY108" s="23">
        <v>0</v>
      </c>
      <c r="BZ108" s="23">
        <v>0</v>
      </c>
      <c r="CA108" s="23">
        <v>0</v>
      </c>
      <c r="CB108" s="23">
        <v>0</v>
      </c>
      <c r="CC108" s="23">
        <v>0</v>
      </c>
      <c r="CD108" s="23">
        <v>0</v>
      </c>
      <c r="CE108" s="23">
        <f t="shared" si="5"/>
        <v>119500000</v>
      </c>
    </row>
    <row r="109" spans="1:83" ht="15" customHeight="1" x14ac:dyDescent="0.3">
      <c r="A109" s="20" t="s">
        <v>744</v>
      </c>
      <c r="B109" s="20">
        <v>22</v>
      </c>
      <c r="C109" s="20" t="s">
        <v>93</v>
      </c>
      <c r="D109" s="20">
        <v>40010006</v>
      </c>
      <c r="E109" s="20" t="s">
        <v>676</v>
      </c>
      <c r="F109" s="20" t="s">
        <v>679</v>
      </c>
      <c r="G109" s="20" t="s">
        <v>778</v>
      </c>
      <c r="H109" s="29">
        <v>101.0859</v>
      </c>
      <c r="I109" s="30">
        <v>2022</v>
      </c>
      <c r="J109" s="30">
        <v>101</v>
      </c>
      <c r="K109" s="30">
        <v>2201</v>
      </c>
      <c r="L109" s="20" t="s">
        <v>94</v>
      </c>
      <c r="M109" s="30">
        <v>2201052</v>
      </c>
      <c r="N109" s="80" t="s">
        <v>1101</v>
      </c>
      <c r="O109" s="79">
        <v>202500000002049</v>
      </c>
      <c r="P109" s="20" t="s">
        <v>320</v>
      </c>
      <c r="Q109" s="46"/>
      <c r="R109" s="20" t="s">
        <v>321</v>
      </c>
      <c r="S109" s="20" t="s">
        <v>318</v>
      </c>
      <c r="T109" s="30">
        <v>220105200</v>
      </c>
      <c r="U109" s="20" t="s">
        <v>602</v>
      </c>
      <c r="V109" s="20" t="s">
        <v>18</v>
      </c>
      <c r="W109" s="30" t="s">
        <v>590</v>
      </c>
      <c r="X109" s="20" t="s">
        <v>23</v>
      </c>
      <c r="Y109" s="22">
        <v>9</v>
      </c>
      <c r="Z109" s="22">
        <v>7</v>
      </c>
      <c r="AA109" s="22">
        <v>7</v>
      </c>
      <c r="AB109" s="22">
        <v>7</v>
      </c>
      <c r="AC109" s="22">
        <v>7</v>
      </c>
      <c r="AD109" s="22">
        <v>7</v>
      </c>
      <c r="AE109" s="22">
        <v>3</v>
      </c>
      <c r="AF109" s="19">
        <f t="shared" si="4"/>
        <v>42.857142857142854</v>
      </c>
      <c r="AG109" s="22">
        <v>0</v>
      </c>
      <c r="AH109" s="73">
        <v>0</v>
      </c>
      <c r="AI109" s="23">
        <v>276027600</v>
      </c>
      <c r="AJ109" s="23">
        <v>70000000</v>
      </c>
      <c r="AK109" s="23">
        <v>0</v>
      </c>
      <c r="AL109" s="23">
        <v>0</v>
      </c>
      <c r="AM109" s="23">
        <v>0</v>
      </c>
      <c r="AN109" s="23">
        <v>75000000</v>
      </c>
      <c r="AO109" s="23">
        <v>0</v>
      </c>
      <c r="AP109" s="23">
        <v>0</v>
      </c>
      <c r="AQ109" s="23">
        <v>68972400</v>
      </c>
      <c r="AR109" s="23">
        <v>0</v>
      </c>
      <c r="AS109" s="23">
        <v>0</v>
      </c>
      <c r="AT109" s="23">
        <v>490000000</v>
      </c>
      <c r="AU109" s="23">
        <v>0</v>
      </c>
      <c r="AV109" s="23">
        <v>0</v>
      </c>
      <c r="AW109" s="23">
        <v>0</v>
      </c>
      <c r="AX109" s="23">
        <v>0</v>
      </c>
      <c r="AY109" s="23">
        <v>0</v>
      </c>
      <c r="AZ109" s="23">
        <v>75000000</v>
      </c>
      <c r="BA109" s="23">
        <v>0</v>
      </c>
      <c r="BB109" s="23">
        <v>0</v>
      </c>
      <c r="BC109" s="23">
        <v>415000000</v>
      </c>
      <c r="BD109" s="23">
        <v>0</v>
      </c>
      <c r="BE109" s="23">
        <v>0</v>
      </c>
      <c r="BF109" s="23">
        <v>490000000</v>
      </c>
      <c r="BG109" s="23">
        <v>0</v>
      </c>
      <c r="BH109" s="23">
        <v>0</v>
      </c>
      <c r="BI109" s="23">
        <v>0</v>
      </c>
      <c r="BJ109" s="23">
        <v>0</v>
      </c>
      <c r="BK109" s="23">
        <v>0</v>
      </c>
      <c r="BL109" s="23">
        <v>30000000</v>
      </c>
      <c r="BM109" s="23">
        <v>0</v>
      </c>
      <c r="BN109" s="23">
        <v>0</v>
      </c>
      <c r="BO109" s="23">
        <v>0</v>
      </c>
      <c r="BP109" s="23">
        <v>460000000</v>
      </c>
      <c r="BQ109" s="23">
        <v>0</v>
      </c>
      <c r="BR109" s="23">
        <v>490000000</v>
      </c>
      <c r="BS109" s="23">
        <v>0</v>
      </c>
      <c r="BT109" s="23">
        <v>140000000</v>
      </c>
      <c r="BU109" s="23">
        <v>0</v>
      </c>
      <c r="BV109" s="23">
        <v>0</v>
      </c>
      <c r="BW109" s="23">
        <v>0</v>
      </c>
      <c r="BX109" s="23">
        <v>28000000</v>
      </c>
      <c r="BY109" s="23">
        <v>0</v>
      </c>
      <c r="BZ109" s="23">
        <v>0</v>
      </c>
      <c r="CA109" s="23">
        <v>322000000</v>
      </c>
      <c r="CB109" s="23">
        <v>0</v>
      </c>
      <c r="CC109" s="23">
        <v>0</v>
      </c>
      <c r="CD109" s="23">
        <v>490000000</v>
      </c>
      <c r="CE109" s="23">
        <f t="shared" si="5"/>
        <v>1960000000</v>
      </c>
    </row>
    <row r="110" spans="1:83" x14ac:dyDescent="0.3">
      <c r="A110" s="20" t="s">
        <v>744</v>
      </c>
      <c r="B110" s="20">
        <v>19</v>
      </c>
      <c r="C110" s="20" t="s">
        <v>47</v>
      </c>
      <c r="D110" s="20">
        <v>50010004</v>
      </c>
      <c r="E110" s="20" t="s">
        <v>708</v>
      </c>
      <c r="F110" s="20" t="s">
        <v>679</v>
      </c>
      <c r="G110" s="20" t="s">
        <v>781</v>
      </c>
      <c r="H110" s="29">
        <v>99.391400000000004</v>
      </c>
      <c r="I110" s="30">
        <v>2021</v>
      </c>
      <c r="J110" s="30">
        <v>100</v>
      </c>
      <c r="K110" s="30">
        <v>1906</v>
      </c>
      <c r="L110" s="20" t="s">
        <v>479</v>
      </c>
      <c r="M110" s="32">
        <v>1906001</v>
      </c>
      <c r="N110" s="77" t="s">
        <v>1107</v>
      </c>
      <c r="O110" s="79">
        <v>202500000006564</v>
      </c>
      <c r="P110" s="25" t="s">
        <v>480</v>
      </c>
      <c r="Q110" s="46"/>
      <c r="R110" s="25" t="s">
        <v>739</v>
      </c>
      <c r="S110" s="25" t="s">
        <v>481</v>
      </c>
      <c r="T110" s="32">
        <v>190600100</v>
      </c>
      <c r="U110" s="25" t="s">
        <v>480</v>
      </c>
      <c r="V110" s="25" t="s">
        <v>18</v>
      </c>
      <c r="W110" s="30">
        <v>3.8</v>
      </c>
      <c r="X110" s="20" t="s">
        <v>23</v>
      </c>
      <c r="Y110" s="22">
        <v>1</v>
      </c>
      <c r="Z110" s="22">
        <v>1</v>
      </c>
      <c r="AA110" s="22">
        <v>0</v>
      </c>
      <c r="AB110" s="22">
        <v>1</v>
      </c>
      <c r="AC110" s="22">
        <v>0</v>
      </c>
      <c r="AD110" s="22">
        <v>0</v>
      </c>
      <c r="AE110" s="22"/>
      <c r="AF110" s="19">
        <f t="shared" si="4"/>
        <v>0</v>
      </c>
      <c r="AG110" s="22">
        <v>0</v>
      </c>
      <c r="AH110" s="73">
        <v>0</v>
      </c>
      <c r="AI110" s="23">
        <v>0</v>
      </c>
      <c r="AJ110" s="23">
        <v>0</v>
      </c>
      <c r="AK110" s="23">
        <v>0</v>
      </c>
      <c r="AL110" s="23">
        <v>0</v>
      </c>
      <c r="AM110" s="23">
        <v>0</v>
      </c>
      <c r="AN110" s="23">
        <v>0</v>
      </c>
      <c r="AO110" s="23">
        <v>0</v>
      </c>
      <c r="AP110" s="23">
        <v>0</v>
      </c>
      <c r="AQ110" s="23">
        <v>0</v>
      </c>
      <c r="AR110" s="23">
        <v>0</v>
      </c>
      <c r="AS110" s="23">
        <v>0</v>
      </c>
      <c r="AT110" s="23">
        <v>0</v>
      </c>
      <c r="AU110" s="23">
        <v>0</v>
      </c>
      <c r="AV110" s="23">
        <v>0</v>
      </c>
      <c r="AW110" s="23">
        <v>0</v>
      </c>
      <c r="AX110" s="23">
        <v>0</v>
      </c>
      <c r="AY110" s="23">
        <v>0</v>
      </c>
      <c r="AZ110" s="23">
        <v>0</v>
      </c>
      <c r="BA110" s="23">
        <v>0</v>
      </c>
      <c r="BB110" s="23">
        <v>84500000</v>
      </c>
      <c r="BC110" s="23">
        <v>102450000</v>
      </c>
      <c r="BD110" s="23">
        <v>0</v>
      </c>
      <c r="BE110" s="23">
        <v>0</v>
      </c>
      <c r="BF110" s="23">
        <v>186950000</v>
      </c>
      <c r="BG110" s="23">
        <v>0</v>
      </c>
      <c r="BH110" s="23">
        <v>0</v>
      </c>
      <c r="BI110" s="23">
        <v>0</v>
      </c>
      <c r="BJ110" s="23">
        <v>0</v>
      </c>
      <c r="BK110" s="23">
        <v>0</v>
      </c>
      <c r="BL110" s="23">
        <v>0</v>
      </c>
      <c r="BM110" s="23">
        <v>0</v>
      </c>
      <c r="BN110" s="23">
        <v>0</v>
      </c>
      <c r="BO110" s="23">
        <v>0</v>
      </c>
      <c r="BP110" s="23">
        <v>0</v>
      </c>
      <c r="BQ110" s="23">
        <v>0</v>
      </c>
      <c r="BR110" s="23">
        <v>0</v>
      </c>
      <c r="BS110" s="23">
        <v>0</v>
      </c>
      <c r="BT110" s="23">
        <v>0</v>
      </c>
      <c r="BU110" s="23">
        <v>0</v>
      </c>
      <c r="BV110" s="23">
        <v>0</v>
      </c>
      <c r="BW110" s="23">
        <v>0</v>
      </c>
      <c r="BX110" s="23">
        <v>0</v>
      </c>
      <c r="BY110" s="23">
        <v>0</v>
      </c>
      <c r="BZ110" s="23">
        <v>0</v>
      </c>
      <c r="CA110" s="23">
        <v>0</v>
      </c>
      <c r="CB110" s="23">
        <v>0</v>
      </c>
      <c r="CC110" s="23">
        <v>0</v>
      </c>
      <c r="CD110" s="23">
        <v>0</v>
      </c>
      <c r="CE110" s="23">
        <f t="shared" si="5"/>
        <v>186950000</v>
      </c>
    </row>
    <row r="111" spans="1:83" ht="15" customHeight="1" x14ac:dyDescent="0.3">
      <c r="A111" s="20" t="s">
        <v>744</v>
      </c>
      <c r="B111" s="20">
        <v>19</v>
      </c>
      <c r="C111" s="20" t="s">
        <v>47</v>
      </c>
      <c r="D111" s="20">
        <v>50020001</v>
      </c>
      <c r="E111" s="20" t="s">
        <v>753</v>
      </c>
      <c r="F111" s="20" t="s">
        <v>754</v>
      </c>
      <c r="G111" s="20" t="s">
        <v>781</v>
      </c>
      <c r="H111" s="29">
        <v>4.6224999999999996</v>
      </c>
      <c r="I111" s="30">
        <v>2020</v>
      </c>
      <c r="J111" s="30">
        <v>2</v>
      </c>
      <c r="K111" s="30">
        <v>1905</v>
      </c>
      <c r="L111" s="20" t="s">
        <v>497</v>
      </c>
      <c r="M111" s="30">
        <v>1905017</v>
      </c>
      <c r="N111" s="77" t="s">
        <v>1108</v>
      </c>
      <c r="O111" s="79">
        <v>202500000006572</v>
      </c>
      <c r="P111" s="20" t="s">
        <v>498</v>
      </c>
      <c r="Q111" s="46"/>
      <c r="R111" s="20" t="s">
        <v>499</v>
      </c>
      <c r="S111" s="20" t="s">
        <v>500</v>
      </c>
      <c r="T111" s="30">
        <v>190501700</v>
      </c>
      <c r="U111" s="20" t="s">
        <v>498</v>
      </c>
      <c r="V111" s="20" t="s">
        <v>18</v>
      </c>
      <c r="W111" s="30" t="s">
        <v>598</v>
      </c>
      <c r="X111" s="20" t="s">
        <v>23</v>
      </c>
      <c r="Y111" s="22">
        <v>0</v>
      </c>
      <c r="Z111" s="22">
        <v>1</v>
      </c>
      <c r="AA111" s="22">
        <v>0</v>
      </c>
      <c r="AB111" s="22">
        <v>0</v>
      </c>
      <c r="AC111" s="22">
        <v>0</v>
      </c>
      <c r="AD111" s="22">
        <v>1</v>
      </c>
      <c r="AE111" s="22"/>
      <c r="AF111" s="19">
        <f t="shared" si="4"/>
        <v>0</v>
      </c>
      <c r="AG111" s="22" t="s">
        <v>1048</v>
      </c>
      <c r="AH111" s="73" t="s">
        <v>1048</v>
      </c>
      <c r="AI111" s="23">
        <v>0</v>
      </c>
      <c r="AJ111" s="23">
        <v>0</v>
      </c>
      <c r="AK111" s="23">
        <v>0</v>
      </c>
      <c r="AL111" s="23">
        <v>0</v>
      </c>
      <c r="AM111" s="23">
        <v>0</v>
      </c>
      <c r="AN111" s="23">
        <v>0</v>
      </c>
      <c r="AO111" s="23">
        <v>0</v>
      </c>
      <c r="AP111" s="23">
        <v>0</v>
      </c>
      <c r="AQ111" s="23">
        <v>0</v>
      </c>
      <c r="AR111" s="23">
        <v>0</v>
      </c>
      <c r="AS111" s="23">
        <v>0</v>
      </c>
      <c r="AT111" s="23">
        <v>0</v>
      </c>
      <c r="AU111" s="23">
        <v>0</v>
      </c>
      <c r="AV111" s="23">
        <v>0</v>
      </c>
      <c r="AW111" s="23">
        <v>0</v>
      </c>
      <c r="AX111" s="23">
        <v>0</v>
      </c>
      <c r="AY111" s="23">
        <v>0</v>
      </c>
      <c r="AZ111" s="23">
        <v>0</v>
      </c>
      <c r="BA111" s="23">
        <v>0</v>
      </c>
      <c r="BB111" s="23">
        <v>0</v>
      </c>
      <c r="BC111" s="23">
        <v>0</v>
      </c>
      <c r="BD111" s="23">
        <v>0</v>
      </c>
      <c r="BE111" s="23">
        <v>0</v>
      </c>
      <c r="BF111" s="23">
        <v>0</v>
      </c>
      <c r="BG111" s="23">
        <v>0</v>
      </c>
      <c r="BH111" s="23">
        <v>0</v>
      </c>
      <c r="BI111" s="23">
        <v>0</v>
      </c>
      <c r="BJ111" s="23">
        <v>0</v>
      </c>
      <c r="BK111" s="23">
        <v>0</v>
      </c>
      <c r="BL111" s="23">
        <v>0</v>
      </c>
      <c r="BM111" s="23">
        <v>0</v>
      </c>
      <c r="BN111" s="23">
        <v>0</v>
      </c>
      <c r="BO111" s="23">
        <v>0</v>
      </c>
      <c r="BP111" s="23">
        <v>0</v>
      </c>
      <c r="BQ111" s="23">
        <v>0</v>
      </c>
      <c r="BR111" s="23">
        <v>0</v>
      </c>
      <c r="BS111" s="23">
        <v>45000000</v>
      </c>
      <c r="BT111" s="23">
        <v>0</v>
      </c>
      <c r="BU111" s="23">
        <v>0</v>
      </c>
      <c r="BV111" s="23">
        <v>0</v>
      </c>
      <c r="BW111" s="23">
        <v>0</v>
      </c>
      <c r="BX111" s="23">
        <v>0</v>
      </c>
      <c r="BY111" s="23">
        <v>0</v>
      </c>
      <c r="BZ111" s="23">
        <v>0</v>
      </c>
      <c r="CA111" s="23">
        <v>0</v>
      </c>
      <c r="CB111" s="23">
        <v>0</v>
      </c>
      <c r="CC111" s="23">
        <v>0</v>
      </c>
      <c r="CD111" s="23">
        <v>45000000</v>
      </c>
      <c r="CE111" s="23">
        <f t="shared" si="5"/>
        <v>45000000</v>
      </c>
    </row>
    <row r="112" spans="1:83" ht="15" customHeight="1" x14ac:dyDescent="0.3">
      <c r="A112" s="20" t="s">
        <v>744</v>
      </c>
      <c r="B112" s="20">
        <v>21</v>
      </c>
      <c r="C112" s="20" t="s">
        <v>64</v>
      </c>
      <c r="D112" s="21">
        <v>110130003</v>
      </c>
      <c r="E112" s="21" t="s">
        <v>731</v>
      </c>
      <c r="F112" s="20" t="s">
        <v>732</v>
      </c>
      <c r="G112" s="20" t="s">
        <v>786</v>
      </c>
      <c r="H112" s="29">
        <v>27626016</v>
      </c>
      <c r="I112" s="30">
        <v>2020</v>
      </c>
      <c r="J112" s="30">
        <v>812000000</v>
      </c>
      <c r="K112" s="30">
        <v>2102</v>
      </c>
      <c r="L112" s="20" t="s">
        <v>65</v>
      </c>
      <c r="M112" s="30">
        <v>2102010</v>
      </c>
      <c r="N112" s="77" t="s">
        <v>1122</v>
      </c>
      <c r="O112" s="79">
        <v>202500000001999</v>
      </c>
      <c r="P112" s="20" t="s">
        <v>66</v>
      </c>
      <c r="Q112" s="46"/>
      <c r="R112" s="20" t="s">
        <v>67</v>
      </c>
      <c r="S112" s="20" t="s">
        <v>68</v>
      </c>
      <c r="T112" s="30">
        <v>210201000</v>
      </c>
      <c r="U112" s="20" t="s">
        <v>66</v>
      </c>
      <c r="V112" s="20" t="s">
        <v>69</v>
      </c>
      <c r="W112" s="30" t="s">
        <v>600</v>
      </c>
      <c r="X112" s="20" t="s">
        <v>23</v>
      </c>
      <c r="Y112" s="22">
        <v>0</v>
      </c>
      <c r="Z112" s="22">
        <v>150</v>
      </c>
      <c r="AA112" s="22">
        <v>0</v>
      </c>
      <c r="AB112" s="22">
        <v>0</v>
      </c>
      <c r="AC112" s="22">
        <v>150</v>
      </c>
      <c r="AD112" s="22">
        <v>0</v>
      </c>
      <c r="AE112" s="22"/>
      <c r="AF112" s="19">
        <f t="shared" si="4"/>
        <v>0</v>
      </c>
      <c r="AG112" s="22" t="s">
        <v>1048</v>
      </c>
      <c r="AH112" s="73" t="s">
        <v>1048</v>
      </c>
      <c r="AI112" s="23">
        <v>0</v>
      </c>
      <c r="AJ112" s="23">
        <v>0</v>
      </c>
      <c r="AK112" s="23">
        <v>0</v>
      </c>
      <c r="AL112" s="23">
        <v>0</v>
      </c>
      <c r="AM112" s="23">
        <v>0</v>
      </c>
      <c r="AN112" s="23">
        <v>0</v>
      </c>
      <c r="AO112" s="23">
        <v>0</v>
      </c>
      <c r="AP112" s="23">
        <v>0</v>
      </c>
      <c r="AQ112" s="23">
        <v>0</v>
      </c>
      <c r="AR112" s="23">
        <v>0</v>
      </c>
      <c r="AS112" s="23">
        <v>0</v>
      </c>
      <c r="AT112" s="23">
        <v>0</v>
      </c>
      <c r="AU112" s="23">
        <v>0</v>
      </c>
      <c r="AV112" s="23">
        <v>0</v>
      </c>
      <c r="AW112" s="23">
        <v>0</v>
      </c>
      <c r="AX112" s="23">
        <v>0</v>
      </c>
      <c r="AY112" s="23">
        <v>0</v>
      </c>
      <c r="AZ112" s="23">
        <v>0</v>
      </c>
      <c r="BA112" s="23">
        <v>0</v>
      </c>
      <c r="BB112" s="23">
        <v>0</v>
      </c>
      <c r="BC112" s="23">
        <v>0</v>
      </c>
      <c r="BD112" s="23">
        <v>0</v>
      </c>
      <c r="BE112" s="23">
        <v>0</v>
      </c>
      <c r="BF112" s="23">
        <v>0</v>
      </c>
      <c r="BG112" s="23">
        <v>42930866</v>
      </c>
      <c r="BH112" s="23">
        <v>0</v>
      </c>
      <c r="BI112" s="23">
        <v>0</v>
      </c>
      <c r="BJ112" s="23">
        <v>0</v>
      </c>
      <c r="BK112" s="23">
        <v>0</v>
      </c>
      <c r="BL112" s="23">
        <v>0</v>
      </c>
      <c r="BM112" s="23">
        <v>0</v>
      </c>
      <c r="BN112" s="23">
        <v>0</v>
      </c>
      <c r="BO112" s="23">
        <v>182069134</v>
      </c>
      <c r="BP112" s="23">
        <v>0</v>
      </c>
      <c r="BQ112" s="23">
        <v>0</v>
      </c>
      <c r="BR112" s="23">
        <v>225000000</v>
      </c>
      <c r="BS112" s="23">
        <v>0</v>
      </c>
      <c r="BT112" s="23">
        <v>0</v>
      </c>
      <c r="BU112" s="23">
        <v>0</v>
      </c>
      <c r="BV112" s="23">
        <v>0</v>
      </c>
      <c r="BW112" s="23">
        <v>0</v>
      </c>
      <c r="BX112" s="23">
        <v>0</v>
      </c>
      <c r="BY112" s="23">
        <v>0</v>
      </c>
      <c r="BZ112" s="23">
        <v>0</v>
      </c>
      <c r="CA112" s="23">
        <v>0</v>
      </c>
      <c r="CB112" s="23">
        <v>0</v>
      </c>
      <c r="CC112" s="23">
        <v>0</v>
      </c>
      <c r="CD112" s="23">
        <v>0</v>
      </c>
      <c r="CE112" s="23">
        <f t="shared" si="5"/>
        <v>225000000</v>
      </c>
    </row>
    <row r="113" spans="1:83" ht="15" customHeight="1" x14ac:dyDescent="0.3">
      <c r="A113" s="20" t="s">
        <v>744</v>
      </c>
      <c r="B113" s="20">
        <v>21</v>
      </c>
      <c r="C113" s="20" t="s">
        <v>64</v>
      </c>
      <c r="D113" s="21">
        <v>110130003</v>
      </c>
      <c r="E113" s="21" t="s">
        <v>731</v>
      </c>
      <c r="F113" s="20" t="s">
        <v>732</v>
      </c>
      <c r="G113" s="20" t="s">
        <v>786</v>
      </c>
      <c r="H113" s="29">
        <v>27626016</v>
      </c>
      <c r="I113" s="30">
        <v>2020</v>
      </c>
      <c r="J113" s="30">
        <v>812000000</v>
      </c>
      <c r="K113" s="30">
        <v>2102</v>
      </c>
      <c r="L113" s="20" t="s">
        <v>65</v>
      </c>
      <c r="M113" s="30">
        <v>2102011</v>
      </c>
      <c r="N113" s="77" t="s">
        <v>1122</v>
      </c>
      <c r="O113" s="79">
        <v>202500000001999</v>
      </c>
      <c r="P113" s="20" t="s">
        <v>70</v>
      </c>
      <c r="Q113" s="46"/>
      <c r="R113" s="20" t="s">
        <v>71</v>
      </c>
      <c r="S113" s="20" t="s">
        <v>68</v>
      </c>
      <c r="T113" s="30">
        <v>210201100</v>
      </c>
      <c r="U113" s="20" t="s">
        <v>70</v>
      </c>
      <c r="V113" s="20" t="s">
        <v>69</v>
      </c>
      <c r="W113" s="30" t="s">
        <v>600</v>
      </c>
      <c r="X113" s="20" t="s">
        <v>23</v>
      </c>
      <c r="Y113" s="22">
        <v>120</v>
      </c>
      <c r="Z113" s="22">
        <v>550</v>
      </c>
      <c r="AA113" s="22">
        <v>0</v>
      </c>
      <c r="AB113" s="22">
        <v>0</v>
      </c>
      <c r="AC113" s="22">
        <v>250</v>
      </c>
      <c r="AD113" s="22">
        <v>300</v>
      </c>
      <c r="AE113" s="22"/>
      <c r="AF113" s="19">
        <f t="shared" si="4"/>
        <v>0</v>
      </c>
      <c r="AG113" s="22" t="s">
        <v>1048</v>
      </c>
      <c r="AH113" s="73" t="s">
        <v>1048</v>
      </c>
      <c r="AI113" s="23">
        <v>0</v>
      </c>
      <c r="AJ113" s="23">
        <v>0</v>
      </c>
      <c r="AK113" s="23">
        <v>0</v>
      </c>
      <c r="AL113" s="23">
        <v>0</v>
      </c>
      <c r="AM113" s="23">
        <v>0</v>
      </c>
      <c r="AN113" s="23">
        <v>0</v>
      </c>
      <c r="AO113" s="23">
        <v>0</v>
      </c>
      <c r="AP113" s="23">
        <v>0</v>
      </c>
      <c r="AQ113" s="23">
        <v>0</v>
      </c>
      <c r="AR113" s="23">
        <v>0</v>
      </c>
      <c r="AS113" s="23">
        <v>0</v>
      </c>
      <c r="AT113" s="23">
        <v>0</v>
      </c>
      <c r="AU113" s="23">
        <v>0</v>
      </c>
      <c r="AV113" s="23">
        <v>0</v>
      </c>
      <c r="AW113" s="23">
        <v>0</v>
      </c>
      <c r="AX113" s="23">
        <v>0</v>
      </c>
      <c r="AY113" s="23">
        <v>0</v>
      </c>
      <c r="AZ113" s="23">
        <v>0</v>
      </c>
      <c r="BA113" s="23">
        <v>0</v>
      </c>
      <c r="BB113" s="23">
        <v>0</v>
      </c>
      <c r="BC113" s="23">
        <v>0</v>
      </c>
      <c r="BD113" s="23">
        <v>0</v>
      </c>
      <c r="BE113" s="23">
        <v>0</v>
      </c>
      <c r="BF113" s="23">
        <v>0</v>
      </c>
      <c r="BG113" s="23">
        <v>0</v>
      </c>
      <c r="BH113" s="23">
        <v>0</v>
      </c>
      <c r="BI113" s="23">
        <v>0</v>
      </c>
      <c r="BJ113" s="23">
        <v>0</v>
      </c>
      <c r="BK113" s="23">
        <v>0</v>
      </c>
      <c r="BL113" s="23">
        <v>92082477</v>
      </c>
      <c r="BM113" s="23">
        <v>0</v>
      </c>
      <c r="BN113" s="23">
        <v>0</v>
      </c>
      <c r="BO113" s="23">
        <v>95417523</v>
      </c>
      <c r="BP113" s="23">
        <v>0</v>
      </c>
      <c r="BQ113" s="23">
        <v>0</v>
      </c>
      <c r="BR113" s="23">
        <v>187500000</v>
      </c>
      <c r="BS113" s="23">
        <v>225000000</v>
      </c>
      <c r="BT113" s="23">
        <v>0</v>
      </c>
      <c r="BU113" s="23">
        <v>0</v>
      </c>
      <c r="BV113" s="23">
        <v>0</v>
      </c>
      <c r="BW113" s="23">
        <v>0</v>
      </c>
      <c r="BX113" s="23">
        <v>0</v>
      </c>
      <c r="BY113" s="23">
        <v>0</v>
      </c>
      <c r="BZ113" s="23">
        <v>0</v>
      </c>
      <c r="CA113" s="23">
        <v>0</v>
      </c>
      <c r="CB113" s="23">
        <v>0</v>
      </c>
      <c r="CC113" s="23">
        <v>0</v>
      </c>
      <c r="CD113" s="23">
        <v>225000000</v>
      </c>
      <c r="CE113" s="23">
        <f t="shared" si="5"/>
        <v>412500000</v>
      </c>
    </row>
    <row r="114" spans="1:83" ht="15" customHeight="1" x14ac:dyDescent="0.3">
      <c r="A114" s="20" t="s">
        <v>744</v>
      </c>
      <c r="B114" s="20">
        <v>35</v>
      </c>
      <c r="C114" s="20" t="s">
        <v>243</v>
      </c>
      <c r="D114" s="21">
        <v>160090004</v>
      </c>
      <c r="E114" s="21" t="s">
        <v>737</v>
      </c>
      <c r="F114" s="20" t="s">
        <v>797</v>
      </c>
      <c r="G114" s="20" t="s">
        <v>798</v>
      </c>
      <c r="H114" s="29">
        <v>0</v>
      </c>
      <c r="I114" s="30">
        <v>2021</v>
      </c>
      <c r="J114" s="30">
        <v>4</v>
      </c>
      <c r="K114" s="30">
        <v>3502</v>
      </c>
      <c r="L114" s="20" t="s">
        <v>244</v>
      </c>
      <c r="M114" s="30">
        <v>3502043</v>
      </c>
      <c r="N114" s="77" t="s">
        <v>1111</v>
      </c>
      <c r="O114" s="79">
        <v>202500000009651</v>
      </c>
      <c r="P114" s="20" t="s">
        <v>265</v>
      </c>
      <c r="Q114" s="46" t="s">
        <v>840</v>
      </c>
      <c r="R114" s="20" t="s">
        <v>266</v>
      </c>
      <c r="S114" s="20" t="s">
        <v>267</v>
      </c>
      <c r="T114" s="30">
        <v>350204300</v>
      </c>
      <c r="U114" s="20" t="s">
        <v>265</v>
      </c>
      <c r="V114" s="20" t="s">
        <v>18</v>
      </c>
      <c r="W114" s="30">
        <v>11.7</v>
      </c>
      <c r="X114" s="20" t="s">
        <v>23</v>
      </c>
      <c r="Y114" s="22">
        <v>0</v>
      </c>
      <c r="Z114" s="22">
        <v>1</v>
      </c>
      <c r="AA114" s="22">
        <v>0</v>
      </c>
      <c r="AB114" s="22">
        <v>1</v>
      </c>
      <c r="AC114" s="22">
        <v>0</v>
      </c>
      <c r="AD114" s="22">
        <v>0</v>
      </c>
      <c r="AE114" s="22"/>
      <c r="AF114" s="19">
        <f t="shared" si="4"/>
        <v>0</v>
      </c>
      <c r="AG114" s="22">
        <v>0</v>
      </c>
      <c r="AH114" s="73">
        <v>0</v>
      </c>
      <c r="AI114" s="23">
        <v>0</v>
      </c>
      <c r="AJ114" s="23">
        <v>0</v>
      </c>
      <c r="AK114" s="23">
        <v>0</v>
      </c>
      <c r="AL114" s="23">
        <v>0</v>
      </c>
      <c r="AM114" s="23">
        <v>0</v>
      </c>
      <c r="AN114" s="23">
        <v>0</v>
      </c>
      <c r="AO114" s="23">
        <v>0</v>
      </c>
      <c r="AP114" s="23">
        <v>0</v>
      </c>
      <c r="AQ114" s="23">
        <v>0</v>
      </c>
      <c r="AR114" s="23">
        <v>0</v>
      </c>
      <c r="AS114" s="23">
        <v>0</v>
      </c>
      <c r="AT114" s="23">
        <v>0</v>
      </c>
      <c r="AU114" s="23">
        <v>200000000</v>
      </c>
      <c r="AV114" s="23">
        <v>0</v>
      </c>
      <c r="AW114" s="23">
        <v>0</v>
      </c>
      <c r="AX114" s="23">
        <v>0</v>
      </c>
      <c r="AY114" s="23">
        <v>0</v>
      </c>
      <c r="AZ114" s="23">
        <v>108371909</v>
      </c>
      <c r="BA114" s="23">
        <v>0</v>
      </c>
      <c r="BB114" s="23">
        <v>0</v>
      </c>
      <c r="BC114" s="23">
        <v>201628091</v>
      </c>
      <c r="BD114" s="23">
        <v>0</v>
      </c>
      <c r="BE114" s="23">
        <v>0</v>
      </c>
      <c r="BF114" s="23">
        <v>510000000</v>
      </c>
      <c r="BG114" s="23">
        <v>0</v>
      </c>
      <c r="BH114" s="23">
        <v>0</v>
      </c>
      <c r="BI114" s="23">
        <v>0</v>
      </c>
      <c r="BJ114" s="23">
        <v>0</v>
      </c>
      <c r="BK114" s="23">
        <v>0</v>
      </c>
      <c r="BL114" s="23">
        <v>0</v>
      </c>
      <c r="BM114" s="23">
        <v>0</v>
      </c>
      <c r="BN114" s="23">
        <v>0</v>
      </c>
      <c r="BO114" s="23">
        <v>0</v>
      </c>
      <c r="BP114" s="23">
        <v>0</v>
      </c>
      <c r="BQ114" s="23">
        <v>0</v>
      </c>
      <c r="BR114" s="23">
        <v>0</v>
      </c>
      <c r="BS114" s="23">
        <v>0</v>
      </c>
      <c r="BT114" s="23">
        <v>0</v>
      </c>
      <c r="BU114" s="23">
        <v>0</v>
      </c>
      <c r="BV114" s="23">
        <v>0</v>
      </c>
      <c r="BW114" s="23">
        <v>0</v>
      </c>
      <c r="BX114" s="23">
        <v>0</v>
      </c>
      <c r="BY114" s="23">
        <v>0</v>
      </c>
      <c r="BZ114" s="23">
        <v>0</v>
      </c>
      <c r="CA114" s="23">
        <v>0</v>
      </c>
      <c r="CB114" s="23">
        <v>0</v>
      </c>
      <c r="CC114" s="23">
        <v>0</v>
      </c>
      <c r="CD114" s="23">
        <v>0</v>
      </c>
      <c r="CE114" s="23">
        <f t="shared" si="5"/>
        <v>510000000</v>
      </c>
    </row>
    <row r="115" spans="1:83" ht="15" customHeight="1" x14ac:dyDescent="0.3">
      <c r="A115" s="20" t="s">
        <v>744</v>
      </c>
      <c r="B115" s="20">
        <v>32</v>
      </c>
      <c r="C115" s="20" t="s">
        <v>216</v>
      </c>
      <c r="D115" s="20">
        <v>110030011</v>
      </c>
      <c r="E115" s="20" t="s">
        <v>713</v>
      </c>
      <c r="F115" s="20" t="s">
        <v>801</v>
      </c>
      <c r="G115" s="20" t="s">
        <v>802</v>
      </c>
      <c r="H115" s="29" t="s">
        <v>803</v>
      </c>
      <c r="I115" s="30" t="s">
        <v>803</v>
      </c>
      <c r="J115" s="30">
        <v>5</v>
      </c>
      <c r="K115" s="30">
        <v>3202</v>
      </c>
      <c r="L115" s="20" t="s">
        <v>217</v>
      </c>
      <c r="M115" s="30">
        <v>3202033</v>
      </c>
      <c r="N115" s="77" t="s">
        <v>1116</v>
      </c>
      <c r="O115" s="79">
        <v>202500000002015</v>
      </c>
      <c r="P115" s="20" t="s">
        <v>288</v>
      </c>
      <c r="Q115" s="46"/>
      <c r="R115" s="20" t="s">
        <v>289</v>
      </c>
      <c r="S115" s="20" t="s">
        <v>290</v>
      </c>
      <c r="T115" s="30">
        <v>320203300</v>
      </c>
      <c r="U115" s="20" t="s">
        <v>291</v>
      </c>
      <c r="V115" s="20" t="s">
        <v>18</v>
      </c>
      <c r="W115" s="30">
        <v>8.9</v>
      </c>
      <c r="X115" s="20" t="s">
        <v>23</v>
      </c>
      <c r="Y115" s="22">
        <v>0</v>
      </c>
      <c r="Z115" s="22">
        <v>3</v>
      </c>
      <c r="AA115" s="22">
        <v>0</v>
      </c>
      <c r="AB115" s="22">
        <v>0</v>
      </c>
      <c r="AC115" s="22">
        <v>1</v>
      </c>
      <c r="AD115" s="22">
        <v>2</v>
      </c>
      <c r="AE115" s="22"/>
      <c r="AF115" s="19">
        <f t="shared" si="4"/>
        <v>0</v>
      </c>
      <c r="AG115" s="22" t="s">
        <v>1048</v>
      </c>
      <c r="AH115" s="73" t="s">
        <v>1048</v>
      </c>
      <c r="AI115" s="23">
        <v>0</v>
      </c>
      <c r="AJ115" s="23">
        <v>0</v>
      </c>
      <c r="AK115" s="23">
        <v>0</v>
      </c>
      <c r="AL115" s="23">
        <v>0</v>
      </c>
      <c r="AM115" s="23">
        <v>0</v>
      </c>
      <c r="AN115" s="23">
        <v>0</v>
      </c>
      <c r="AO115" s="23">
        <v>0</v>
      </c>
      <c r="AP115" s="23">
        <v>0</v>
      </c>
      <c r="AQ115" s="23">
        <v>0</v>
      </c>
      <c r="AR115" s="23">
        <v>0</v>
      </c>
      <c r="AS115" s="23">
        <v>0</v>
      </c>
      <c r="AT115" s="23">
        <v>0</v>
      </c>
      <c r="AU115" s="23">
        <v>0</v>
      </c>
      <c r="AV115" s="23">
        <v>0</v>
      </c>
      <c r="AW115" s="23">
        <v>0</v>
      </c>
      <c r="AX115" s="23">
        <v>0</v>
      </c>
      <c r="AY115" s="23">
        <v>0</v>
      </c>
      <c r="AZ115" s="23">
        <v>0</v>
      </c>
      <c r="BA115" s="23">
        <v>0</v>
      </c>
      <c r="BB115" s="23">
        <v>0</v>
      </c>
      <c r="BC115" s="23">
        <v>0</v>
      </c>
      <c r="BD115" s="23">
        <v>0</v>
      </c>
      <c r="BE115" s="23">
        <v>0</v>
      </c>
      <c r="BF115" s="23">
        <v>0</v>
      </c>
      <c r="BG115" s="23">
        <v>0</v>
      </c>
      <c r="BH115" s="23">
        <v>0</v>
      </c>
      <c r="BI115" s="23">
        <v>0</v>
      </c>
      <c r="BJ115" s="23">
        <v>0</v>
      </c>
      <c r="BK115" s="23">
        <v>0</v>
      </c>
      <c r="BL115" s="23">
        <v>0</v>
      </c>
      <c r="BM115" s="23">
        <v>0</v>
      </c>
      <c r="BN115" s="23">
        <v>76540000</v>
      </c>
      <c r="BO115" s="23">
        <v>0</v>
      </c>
      <c r="BP115" s="23">
        <v>0</v>
      </c>
      <c r="BQ115" s="23">
        <v>0</v>
      </c>
      <c r="BR115" s="23">
        <v>76540000</v>
      </c>
      <c r="BS115" s="23">
        <v>0</v>
      </c>
      <c r="BT115" s="23">
        <v>0</v>
      </c>
      <c r="BU115" s="23">
        <v>0</v>
      </c>
      <c r="BV115" s="23">
        <v>0</v>
      </c>
      <c r="BW115" s="23">
        <v>0</v>
      </c>
      <c r="BX115" s="23">
        <v>125940000</v>
      </c>
      <c r="BY115" s="23">
        <v>0</v>
      </c>
      <c r="BZ115" s="23">
        <v>0</v>
      </c>
      <c r="CA115" s="23">
        <v>0</v>
      </c>
      <c r="CB115" s="23">
        <v>0</v>
      </c>
      <c r="CC115" s="23">
        <v>0</v>
      </c>
      <c r="CD115" s="23">
        <v>125940000</v>
      </c>
      <c r="CE115" s="23">
        <f t="shared" si="5"/>
        <v>202480000</v>
      </c>
    </row>
    <row r="116" spans="1:83" ht="15" customHeight="1" x14ac:dyDescent="0.3">
      <c r="A116" s="20" t="s">
        <v>744</v>
      </c>
      <c r="B116" s="20">
        <v>32</v>
      </c>
      <c r="C116" s="20" t="s">
        <v>216</v>
      </c>
      <c r="D116" s="21">
        <v>110130003</v>
      </c>
      <c r="E116" s="21" t="s">
        <v>731</v>
      </c>
      <c r="F116" s="20" t="s">
        <v>732</v>
      </c>
      <c r="G116" s="20" t="s">
        <v>786</v>
      </c>
      <c r="H116" s="29">
        <v>27626016</v>
      </c>
      <c r="I116" s="30">
        <v>2020</v>
      </c>
      <c r="J116" s="30">
        <v>812000000</v>
      </c>
      <c r="K116" s="30">
        <v>3206</v>
      </c>
      <c r="L116" s="20" t="s">
        <v>226</v>
      </c>
      <c r="M116" s="30">
        <v>3206016</v>
      </c>
      <c r="N116" s="62" t="s">
        <v>1118</v>
      </c>
      <c r="O116" s="79"/>
      <c r="P116" s="20" t="s">
        <v>533</v>
      </c>
      <c r="Q116" s="46"/>
      <c r="R116" s="20" t="s">
        <v>534</v>
      </c>
      <c r="S116" s="20" t="s">
        <v>535</v>
      </c>
      <c r="T116" s="30">
        <v>320601600</v>
      </c>
      <c r="U116" s="20" t="s">
        <v>536</v>
      </c>
      <c r="V116" s="20" t="s">
        <v>18</v>
      </c>
      <c r="W116" s="30" t="s">
        <v>603</v>
      </c>
      <c r="X116" s="20" t="s">
        <v>23</v>
      </c>
      <c r="Y116" s="22">
        <v>0</v>
      </c>
      <c r="Z116" s="22">
        <v>35</v>
      </c>
      <c r="AA116" s="22">
        <v>0</v>
      </c>
      <c r="AB116" s="22">
        <v>0</v>
      </c>
      <c r="AC116" s="22">
        <v>35</v>
      </c>
      <c r="AD116" s="22">
        <v>0</v>
      </c>
      <c r="AE116" s="22"/>
      <c r="AF116" s="19">
        <f t="shared" si="4"/>
        <v>0</v>
      </c>
      <c r="AG116" s="22" t="s">
        <v>1048</v>
      </c>
      <c r="AH116" s="73" t="s">
        <v>1048</v>
      </c>
      <c r="AI116" s="23">
        <v>0</v>
      </c>
      <c r="AJ116" s="23">
        <v>0</v>
      </c>
      <c r="AK116" s="23">
        <v>0</v>
      </c>
      <c r="AL116" s="23">
        <v>0</v>
      </c>
      <c r="AM116" s="23">
        <v>0</v>
      </c>
      <c r="AN116" s="23">
        <v>0</v>
      </c>
      <c r="AO116" s="23">
        <v>0</v>
      </c>
      <c r="AP116" s="23">
        <v>0</v>
      </c>
      <c r="AQ116" s="23">
        <v>0</v>
      </c>
      <c r="AR116" s="23">
        <v>0</v>
      </c>
      <c r="AS116" s="23">
        <v>0</v>
      </c>
      <c r="AT116" s="23">
        <v>0</v>
      </c>
      <c r="AU116" s="23">
        <v>0</v>
      </c>
      <c r="AV116" s="23">
        <v>0</v>
      </c>
      <c r="AW116" s="23">
        <v>0</v>
      </c>
      <c r="AX116" s="23">
        <v>0</v>
      </c>
      <c r="AY116" s="23">
        <v>0</v>
      </c>
      <c r="AZ116" s="23">
        <v>0</v>
      </c>
      <c r="BA116" s="23">
        <v>0</v>
      </c>
      <c r="BB116" s="23">
        <v>0</v>
      </c>
      <c r="BC116" s="23">
        <v>0</v>
      </c>
      <c r="BD116" s="23">
        <v>0</v>
      </c>
      <c r="BE116" s="23">
        <v>0</v>
      </c>
      <c r="BF116" s="23">
        <v>0</v>
      </c>
      <c r="BG116" s="23">
        <v>0</v>
      </c>
      <c r="BH116" s="23">
        <v>0</v>
      </c>
      <c r="BI116" s="23">
        <v>0</v>
      </c>
      <c r="BJ116" s="23">
        <v>0</v>
      </c>
      <c r="BK116" s="23">
        <v>0</v>
      </c>
      <c r="BL116" s="23">
        <v>0</v>
      </c>
      <c r="BM116" s="23">
        <v>0</v>
      </c>
      <c r="BN116" s="23">
        <v>65000000</v>
      </c>
      <c r="BO116" s="23">
        <v>0</v>
      </c>
      <c r="BP116" s="23">
        <v>0</v>
      </c>
      <c r="BQ116" s="23">
        <v>0</v>
      </c>
      <c r="BR116" s="23">
        <v>65000000</v>
      </c>
      <c r="BS116" s="23">
        <v>0</v>
      </c>
      <c r="BT116" s="23">
        <v>0</v>
      </c>
      <c r="BU116" s="23">
        <v>0</v>
      </c>
      <c r="BV116" s="23">
        <v>0</v>
      </c>
      <c r="BW116" s="23">
        <v>0</v>
      </c>
      <c r="BX116" s="23">
        <v>0</v>
      </c>
      <c r="BY116" s="23">
        <v>0</v>
      </c>
      <c r="BZ116" s="23">
        <v>0</v>
      </c>
      <c r="CA116" s="23">
        <v>0</v>
      </c>
      <c r="CB116" s="23">
        <v>0</v>
      </c>
      <c r="CC116" s="23">
        <v>0</v>
      </c>
      <c r="CD116" s="23">
        <v>0</v>
      </c>
      <c r="CE116" s="23">
        <f t="shared" si="5"/>
        <v>65000000</v>
      </c>
    </row>
    <row r="117" spans="1:83" ht="15" customHeight="1" x14ac:dyDescent="0.3">
      <c r="A117" s="20" t="s">
        <v>744</v>
      </c>
      <c r="B117" s="20">
        <v>32</v>
      </c>
      <c r="C117" s="20" t="s">
        <v>216</v>
      </c>
      <c r="D117" s="21">
        <v>110150012</v>
      </c>
      <c r="E117" s="21" t="s">
        <v>716</v>
      </c>
      <c r="F117" s="20" t="s">
        <v>428</v>
      </c>
      <c r="G117" s="20" t="s">
        <v>783</v>
      </c>
      <c r="H117" s="29" t="s">
        <v>803</v>
      </c>
      <c r="I117" s="30" t="s">
        <v>803</v>
      </c>
      <c r="J117" s="30">
        <v>50</v>
      </c>
      <c r="K117" s="30">
        <v>3202</v>
      </c>
      <c r="L117" s="20" t="s">
        <v>217</v>
      </c>
      <c r="M117" s="30">
        <v>3202051</v>
      </c>
      <c r="N117" s="77" t="s">
        <v>1116</v>
      </c>
      <c r="O117" s="79">
        <v>202500000002015</v>
      </c>
      <c r="P117" s="20" t="s">
        <v>582</v>
      </c>
      <c r="Q117" s="46"/>
      <c r="R117" s="20" t="s">
        <v>583</v>
      </c>
      <c r="S117" s="20" t="s">
        <v>535</v>
      </c>
      <c r="T117" s="30">
        <v>320205100</v>
      </c>
      <c r="U117" s="20" t="s">
        <v>584</v>
      </c>
      <c r="V117" s="20" t="s">
        <v>18</v>
      </c>
      <c r="W117" s="30">
        <v>13.2</v>
      </c>
      <c r="X117" s="20" t="s">
        <v>23</v>
      </c>
      <c r="Y117" s="22">
        <v>53</v>
      </c>
      <c r="Z117" s="22">
        <v>30</v>
      </c>
      <c r="AA117" s="22">
        <v>0</v>
      </c>
      <c r="AB117" s="22">
        <v>30</v>
      </c>
      <c r="AC117" s="22">
        <v>0</v>
      </c>
      <c r="AD117" s="22">
        <v>0</v>
      </c>
      <c r="AE117" s="22"/>
      <c r="AF117" s="19">
        <f t="shared" si="4"/>
        <v>0</v>
      </c>
      <c r="AG117" s="22">
        <v>0</v>
      </c>
      <c r="AH117" s="73">
        <v>0</v>
      </c>
      <c r="AI117" s="23">
        <v>0</v>
      </c>
      <c r="AJ117" s="23">
        <v>0</v>
      </c>
      <c r="AK117" s="23">
        <v>0</v>
      </c>
      <c r="AL117" s="23">
        <v>0</v>
      </c>
      <c r="AM117" s="23">
        <v>0</v>
      </c>
      <c r="AN117" s="23">
        <v>0</v>
      </c>
      <c r="AO117" s="23">
        <v>0</v>
      </c>
      <c r="AP117" s="23">
        <v>0</v>
      </c>
      <c r="AQ117" s="23">
        <v>0</v>
      </c>
      <c r="AR117" s="23">
        <v>0</v>
      </c>
      <c r="AS117" s="23">
        <v>0</v>
      </c>
      <c r="AT117" s="23">
        <v>0</v>
      </c>
      <c r="AU117" s="23">
        <v>0</v>
      </c>
      <c r="AV117" s="23">
        <v>0</v>
      </c>
      <c r="AW117" s="23">
        <v>0</v>
      </c>
      <c r="AX117" s="23">
        <v>0</v>
      </c>
      <c r="AY117" s="23">
        <v>0</v>
      </c>
      <c r="AZ117" s="23">
        <v>0</v>
      </c>
      <c r="BA117" s="23">
        <v>0</v>
      </c>
      <c r="BB117" s="23">
        <v>70000000</v>
      </c>
      <c r="BC117" s="23">
        <v>0</v>
      </c>
      <c r="BD117" s="23">
        <v>0</v>
      </c>
      <c r="BE117" s="23">
        <v>0</v>
      </c>
      <c r="BF117" s="23">
        <v>70000000</v>
      </c>
      <c r="BG117" s="23">
        <v>0</v>
      </c>
      <c r="BH117" s="23">
        <v>0</v>
      </c>
      <c r="BI117" s="23">
        <v>0</v>
      </c>
      <c r="BJ117" s="23">
        <v>0</v>
      </c>
      <c r="BK117" s="23">
        <v>0</v>
      </c>
      <c r="BL117" s="23">
        <v>0</v>
      </c>
      <c r="BM117" s="23">
        <v>0</v>
      </c>
      <c r="BN117" s="23">
        <v>0</v>
      </c>
      <c r="BO117" s="23">
        <v>0</v>
      </c>
      <c r="BP117" s="23">
        <v>0</v>
      </c>
      <c r="BQ117" s="23">
        <v>0</v>
      </c>
      <c r="BR117" s="23">
        <v>0</v>
      </c>
      <c r="BS117" s="23">
        <v>0</v>
      </c>
      <c r="BT117" s="23">
        <v>0</v>
      </c>
      <c r="BU117" s="23">
        <v>0</v>
      </c>
      <c r="BV117" s="23">
        <v>0</v>
      </c>
      <c r="BW117" s="23">
        <v>0</v>
      </c>
      <c r="BX117" s="23">
        <v>0</v>
      </c>
      <c r="BY117" s="23">
        <v>0</v>
      </c>
      <c r="BZ117" s="23"/>
      <c r="CA117" s="23">
        <v>0</v>
      </c>
      <c r="CB117" s="23">
        <v>0</v>
      </c>
      <c r="CC117" s="23">
        <v>0</v>
      </c>
      <c r="CD117" s="23">
        <v>0</v>
      </c>
      <c r="CE117" s="23">
        <f t="shared" si="5"/>
        <v>70000000</v>
      </c>
    </row>
    <row r="118" spans="1:83" ht="15" customHeight="1" x14ac:dyDescent="0.3">
      <c r="A118" s="20" t="s">
        <v>744</v>
      </c>
      <c r="B118" s="20">
        <v>24</v>
      </c>
      <c r="C118" s="20" t="s">
        <v>130</v>
      </c>
      <c r="D118" s="20">
        <v>120040010</v>
      </c>
      <c r="E118" s="20" t="s">
        <v>680</v>
      </c>
      <c r="F118" s="20" t="s">
        <v>18</v>
      </c>
      <c r="G118" s="20" t="s">
        <v>784</v>
      </c>
      <c r="H118" s="29">
        <v>615</v>
      </c>
      <c r="I118" s="30">
        <v>2014</v>
      </c>
      <c r="J118" s="30">
        <v>680</v>
      </c>
      <c r="K118" s="30">
        <v>2402</v>
      </c>
      <c r="L118" s="20" t="s">
        <v>131</v>
      </c>
      <c r="M118" s="30">
        <v>2402039</v>
      </c>
      <c r="N118" s="77" t="s">
        <v>1124</v>
      </c>
      <c r="O118" s="79">
        <v>202500000009349</v>
      </c>
      <c r="P118" s="20" t="s">
        <v>132</v>
      </c>
      <c r="Q118" s="46" t="s">
        <v>841</v>
      </c>
      <c r="R118" s="20" t="s">
        <v>133</v>
      </c>
      <c r="S118" s="20" t="s">
        <v>134</v>
      </c>
      <c r="T118" s="30">
        <v>240203900</v>
      </c>
      <c r="U118" s="20" t="s">
        <v>135</v>
      </c>
      <c r="V118" s="20" t="s">
        <v>136</v>
      </c>
      <c r="W118" s="30">
        <v>9.1</v>
      </c>
      <c r="X118" s="20" t="s">
        <v>23</v>
      </c>
      <c r="Y118" s="22">
        <v>0</v>
      </c>
      <c r="Z118" s="22">
        <v>2</v>
      </c>
      <c r="AA118" s="22">
        <v>0</v>
      </c>
      <c r="AB118" s="22">
        <v>0</v>
      </c>
      <c r="AC118" s="22">
        <v>2</v>
      </c>
      <c r="AD118" s="22">
        <v>0</v>
      </c>
      <c r="AE118" s="22"/>
      <c r="AF118" s="19">
        <f t="shared" si="4"/>
        <v>0</v>
      </c>
      <c r="AG118" s="22" t="s">
        <v>1048</v>
      </c>
      <c r="AH118" s="73" t="s">
        <v>1048</v>
      </c>
      <c r="AI118" s="23">
        <v>0</v>
      </c>
      <c r="AJ118" s="23">
        <v>0</v>
      </c>
      <c r="AK118" s="23">
        <v>0</v>
      </c>
      <c r="AL118" s="23">
        <v>0</v>
      </c>
      <c r="AM118" s="23">
        <v>0</v>
      </c>
      <c r="AN118" s="23">
        <v>0</v>
      </c>
      <c r="AO118" s="23">
        <v>0</v>
      </c>
      <c r="AP118" s="23">
        <v>0</v>
      </c>
      <c r="AQ118" s="23">
        <v>0</v>
      </c>
      <c r="AR118" s="23">
        <v>0</v>
      </c>
      <c r="AS118" s="23">
        <v>0</v>
      </c>
      <c r="AT118" s="23">
        <v>0</v>
      </c>
      <c r="AU118" s="23">
        <v>0</v>
      </c>
      <c r="AV118" s="23">
        <v>0</v>
      </c>
      <c r="AW118" s="23">
        <v>0</v>
      </c>
      <c r="AX118" s="23">
        <v>0</v>
      </c>
      <c r="AY118" s="23">
        <v>0</v>
      </c>
      <c r="AZ118" s="23">
        <v>0</v>
      </c>
      <c r="BA118" s="23">
        <v>0</v>
      </c>
      <c r="BB118" s="23">
        <v>0</v>
      </c>
      <c r="BC118" s="23">
        <v>0</v>
      </c>
      <c r="BD118" s="23">
        <v>0</v>
      </c>
      <c r="BE118" s="23">
        <v>0</v>
      </c>
      <c r="BF118" s="23">
        <v>0</v>
      </c>
      <c r="BG118" s="23">
        <v>0</v>
      </c>
      <c r="BH118" s="23">
        <v>0</v>
      </c>
      <c r="BI118" s="23">
        <v>0</v>
      </c>
      <c r="BJ118" s="23">
        <v>0</v>
      </c>
      <c r="BK118" s="23">
        <v>0</v>
      </c>
      <c r="BL118" s="23">
        <v>129866000</v>
      </c>
      <c r="BM118" s="23">
        <v>0</v>
      </c>
      <c r="BN118" s="23">
        <v>0</v>
      </c>
      <c r="BO118" s="23">
        <v>170134000</v>
      </c>
      <c r="BP118" s="23">
        <v>0</v>
      </c>
      <c r="BQ118" s="23">
        <v>0</v>
      </c>
      <c r="BR118" s="23">
        <v>300000000</v>
      </c>
      <c r="BS118" s="23">
        <v>0</v>
      </c>
      <c r="BT118" s="23">
        <v>0</v>
      </c>
      <c r="BU118" s="23">
        <v>0</v>
      </c>
      <c r="BV118" s="23">
        <v>0</v>
      </c>
      <c r="BW118" s="23">
        <v>0</v>
      </c>
      <c r="BX118" s="23">
        <v>0</v>
      </c>
      <c r="BY118" s="23">
        <v>0</v>
      </c>
      <c r="BZ118" s="23">
        <v>0</v>
      </c>
      <c r="CA118" s="23">
        <v>0</v>
      </c>
      <c r="CB118" s="23">
        <v>0</v>
      </c>
      <c r="CC118" s="23">
        <v>0</v>
      </c>
      <c r="CD118" s="23">
        <v>0</v>
      </c>
      <c r="CE118" s="23">
        <f t="shared" si="5"/>
        <v>300000000</v>
      </c>
    </row>
    <row r="119" spans="1:83" ht="15" customHeight="1" x14ac:dyDescent="0.3">
      <c r="A119" s="20" t="s">
        <v>744</v>
      </c>
      <c r="B119" s="20">
        <v>24</v>
      </c>
      <c r="C119" s="20" t="s">
        <v>130</v>
      </c>
      <c r="D119" s="20">
        <v>120040010</v>
      </c>
      <c r="E119" s="20" t="s">
        <v>680</v>
      </c>
      <c r="F119" s="20" t="s">
        <v>18</v>
      </c>
      <c r="G119" s="20" t="s">
        <v>784</v>
      </c>
      <c r="H119" s="29">
        <v>615</v>
      </c>
      <c r="I119" s="30">
        <v>2014</v>
      </c>
      <c r="J119" s="30">
        <v>680</v>
      </c>
      <c r="K119" s="30">
        <v>2402</v>
      </c>
      <c r="L119" s="20" t="s">
        <v>131</v>
      </c>
      <c r="M119" s="30">
        <v>2402041</v>
      </c>
      <c r="N119" s="77" t="s">
        <v>1124</v>
      </c>
      <c r="O119" s="79">
        <v>202500000009349</v>
      </c>
      <c r="P119" s="20" t="s">
        <v>137</v>
      </c>
      <c r="Q119" s="46"/>
      <c r="R119" s="20" t="s">
        <v>138</v>
      </c>
      <c r="S119" s="20" t="s">
        <v>134</v>
      </c>
      <c r="T119" s="30">
        <v>240204100</v>
      </c>
      <c r="U119" s="20" t="s">
        <v>137</v>
      </c>
      <c r="V119" s="20" t="s">
        <v>136</v>
      </c>
      <c r="W119" s="30">
        <v>9.1</v>
      </c>
      <c r="X119" s="20" t="s">
        <v>23</v>
      </c>
      <c r="Y119" s="22">
        <v>41.3</v>
      </c>
      <c r="Z119" s="22">
        <v>10</v>
      </c>
      <c r="AA119" s="22">
        <v>2.5</v>
      </c>
      <c r="AB119" s="22">
        <v>2.5</v>
      </c>
      <c r="AC119" s="22">
        <v>2.5</v>
      </c>
      <c r="AD119" s="22">
        <v>2.5</v>
      </c>
      <c r="AE119" s="22">
        <v>10</v>
      </c>
      <c r="AF119" s="19">
        <f t="shared" si="4"/>
        <v>100</v>
      </c>
      <c r="AG119" s="39">
        <v>4</v>
      </c>
      <c r="AH119" s="75">
        <v>160</v>
      </c>
      <c r="AI119" s="23">
        <v>0</v>
      </c>
      <c r="AJ119" s="23">
        <v>82500000</v>
      </c>
      <c r="AK119" s="23">
        <v>0</v>
      </c>
      <c r="AL119" s="23">
        <v>0</v>
      </c>
      <c r="AM119" s="23">
        <v>0</v>
      </c>
      <c r="AN119" s="23">
        <v>417500000</v>
      </c>
      <c r="AO119" s="23">
        <v>0</v>
      </c>
      <c r="AP119" s="23">
        <v>0</v>
      </c>
      <c r="AQ119" s="23">
        <v>0</v>
      </c>
      <c r="AR119" s="23">
        <v>0</v>
      </c>
      <c r="AS119" s="23">
        <v>0</v>
      </c>
      <c r="AT119" s="23">
        <v>500000000</v>
      </c>
      <c r="AU119" s="23">
        <v>0</v>
      </c>
      <c r="AV119" s="23">
        <v>82500000</v>
      </c>
      <c r="AW119" s="23">
        <v>0</v>
      </c>
      <c r="AX119" s="23">
        <v>0</v>
      </c>
      <c r="AY119" s="23">
        <v>0</v>
      </c>
      <c r="AZ119" s="23">
        <v>417500000</v>
      </c>
      <c r="BA119" s="23">
        <v>0</v>
      </c>
      <c r="BB119" s="23">
        <v>0</v>
      </c>
      <c r="BC119" s="23">
        <v>0</v>
      </c>
      <c r="BD119" s="23">
        <v>0</v>
      </c>
      <c r="BE119" s="23">
        <v>0</v>
      </c>
      <c r="BF119" s="23">
        <v>500000000</v>
      </c>
      <c r="BG119" s="23">
        <v>0</v>
      </c>
      <c r="BH119" s="23">
        <v>82500000</v>
      </c>
      <c r="BI119" s="23">
        <v>0</v>
      </c>
      <c r="BJ119" s="23">
        <v>0</v>
      </c>
      <c r="BK119" s="23">
        <v>0</v>
      </c>
      <c r="BL119" s="23">
        <v>417500000</v>
      </c>
      <c r="BM119" s="23">
        <v>0</v>
      </c>
      <c r="BN119" s="23">
        <v>0</v>
      </c>
      <c r="BO119" s="23">
        <v>0</v>
      </c>
      <c r="BP119" s="23">
        <v>0</v>
      </c>
      <c r="BQ119" s="23">
        <v>0</v>
      </c>
      <c r="BR119" s="23">
        <v>500000000</v>
      </c>
      <c r="BS119" s="23">
        <v>0</v>
      </c>
      <c r="BT119" s="23">
        <v>82500000</v>
      </c>
      <c r="BU119" s="23">
        <v>0</v>
      </c>
      <c r="BV119" s="23">
        <v>0</v>
      </c>
      <c r="BW119" s="23">
        <v>0</v>
      </c>
      <c r="BX119" s="23">
        <v>417500000</v>
      </c>
      <c r="BY119" s="23">
        <v>0</v>
      </c>
      <c r="BZ119" s="23">
        <v>0</v>
      </c>
      <c r="CA119" s="23">
        <v>0</v>
      </c>
      <c r="CB119" s="23">
        <v>0</v>
      </c>
      <c r="CC119" s="23">
        <v>0</v>
      </c>
      <c r="CD119" s="23">
        <v>500000000</v>
      </c>
      <c r="CE119" s="23">
        <f t="shared" si="5"/>
        <v>2000000000</v>
      </c>
    </row>
    <row r="120" spans="1:83" ht="15" customHeight="1" x14ac:dyDescent="0.3">
      <c r="A120" s="20" t="s">
        <v>744</v>
      </c>
      <c r="B120" s="20">
        <v>24</v>
      </c>
      <c r="C120" s="20" t="s">
        <v>130</v>
      </c>
      <c r="D120" s="20">
        <v>120040010</v>
      </c>
      <c r="E120" s="20" t="s">
        <v>680</v>
      </c>
      <c r="F120" s="20" t="s">
        <v>18</v>
      </c>
      <c r="G120" s="20" t="s">
        <v>784</v>
      </c>
      <c r="H120" s="29">
        <v>615</v>
      </c>
      <c r="I120" s="30">
        <v>2014</v>
      </c>
      <c r="J120" s="30">
        <v>680</v>
      </c>
      <c r="K120" s="30">
        <v>2402</v>
      </c>
      <c r="L120" s="20" t="s">
        <v>131</v>
      </c>
      <c r="M120" s="30">
        <v>2402042</v>
      </c>
      <c r="N120" s="77" t="s">
        <v>1124</v>
      </c>
      <c r="O120" s="79">
        <v>202500000009349</v>
      </c>
      <c r="P120" s="20" t="s">
        <v>139</v>
      </c>
      <c r="Q120" s="46"/>
      <c r="R120" s="20" t="s">
        <v>140</v>
      </c>
      <c r="S120" s="20" t="s">
        <v>141</v>
      </c>
      <c r="T120" s="30">
        <v>240204200</v>
      </c>
      <c r="U120" s="20" t="s">
        <v>137</v>
      </c>
      <c r="V120" s="20" t="s">
        <v>142</v>
      </c>
      <c r="W120" s="30">
        <v>9.1</v>
      </c>
      <c r="X120" s="20" t="s">
        <v>23</v>
      </c>
      <c r="Y120" s="22">
        <v>41.3</v>
      </c>
      <c r="Z120" s="22">
        <v>5000</v>
      </c>
      <c r="AA120" s="22">
        <v>1000</v>
      </c>
      <c r="AB120" s="22">
        <v>1000</v>
      </c>
      <c r="AC120" s="22">
        <v>2000</v>
      </c>
      <c r="AD120" s="22">
        <v>1000</v>
      </c>
      <c r="AE120" s="22">
        <v>0</v>
      </c>
      <c r="AF120" s="19">
        <f t="shared" si="4"/>
        <v>0</v>
      </c>
      <c r="AG120" s="22">
        <v>0</v>
      </c>
      <c r="AH120" s="73">
        <v>0</v>
      </c>
      <c r="AI120" s="23">
        <v>350000000</v>
      </c>
      <c r="AJ120" s="23">
        <v>0</v>
      </c>
      <c r="AK120" s="23">
        <v>0</v>
      </c>
      <c r="AL120" s="23">
        <v>0</v>
      </c>
      <c r="AM120" s="23">
        <v>0</v>
      </c>
      <c r="AN120" s="23">
        <v>302763000</v>
      </c>
      <c r="AO120" s="23">
        <v>0</v>
      </c>
      <c r="AP120" s="23">
        <v>0</v>
      </c>
      <c r="AQ120" s="23">
        <v>196350000</v>
      </c>
      <c r="AR120" s="23">
        <v>0</v>
      </c>
      <c r="AS120" s="23">
        <v>0</v>
      </c>
      <c r="AT120" s="23">
        <v>849113000</v>
      </c>
      <c r="AU120" s="23">
        <v>0</v>
      </c>
      <c r="AV120" s="23">
        <v>0</v>
      </c>
      <c r="AW120" s="23">
        <v>0</v>
      </c>
      <c r="AX120" s="23">
        <v>0</v>
      </c>
      <c r="AY120" s="23">
        <v>0</v>
      </c>
      <c r="AZ120" s="23">
        <v>302763000</v>
      </c>
      <c r="BA120" s="23">
        <v>0</v>
      </c>
      <c r="BB120" s="23">
        <v>0</v>
      </c>
      <c r="BC120" s="23">
        <v>546350000</v>
      </c>
      <c r="BD120" s="23">
        <v>0</v>
      </c>
      <c r="BE120" s="23">
        <v>0</v>
      </c>
      <c r="BF120" s="23">
        <v>849113000</v>
      </c>
      <c r="BG120" s="23">
        <v>0</v>
      </c>
      <c r="BH120" s="23">
        <v>0</v>
      </c>
      <c r="BI120" s="23">
        <v>0</v>
      </c>
      <c r="BJ120" s="23">
        <v>0</v>
      </c>
      <c r="BK120" s="23">
        <v>0</v>
      </c>
      <c r="BL120" s="23">
        <v>300000000</v>
      </c>
      <c r="BM120" s="23">
        <v>0</v>
      </c>
      <c r="BN120" s="23">
        <v>210514000</v>
      </c>
      <c r="BO120" s="23">
        <v>1187712000</v>
      </c>
      <c r="BP120" s="23">
        <v>0</v>
      </c>
      <c r="BQ120" s="23">
        <v>0</v>
      </c>
      <c r="BR120" s="23">
        <v>1698226000</v>
      </c>
      <c r="BS120" s="23">
        <v>0</v>
      </c>
      <c r="BT120" s="23">
        <v>0</v>
      </c>
      <c r="BU120" s="23">
        <v>0</v>
      </c>
      <c r="BV120" s="23">
        <v>0</v>
      </c>
      <c r="BW120" s="23">
        <v>0</v>
      </c>
      <c r="BX120" s="23">
        <v>302763000</v>
      </c>
      <c r="BY120" s="23">
        <v>0</v>
      </c>
      <c r="BZ120" s="23">
        <v>0</v>
      </c>
      <c r="CA120" s="23">
        <v>546350000</v>
      </c>
      <c r="CB120" s="23">
        <v>0</v>
      </c>
      <c r="CC120" s="23">
        <v>0</v>
      </c>
      <c r="CD120" s="23">
        <v>849113000</v>
      </c>
      <c r="CE120" s="23">
        <f t="shared" si="5"/>
        <v>4245565000</v>
      </c>
    </row>
    <row r="121" spans="1:83" ht="15" customHeight="1" x14ac:dyDescent="0.3">
      <c r="A121" s="20" t="s">
        <v>744</v>
      </c>
      <c r="B121" s="20">
        <v>24</v>
      </c>
      <c r="C121" s="20" t="s">
        <v>130</v>
      </c>
      <c r="D121" s="20">
        <v>120040010</v>
      </c>
      <c r="E121" s="20" t="s">
        <v>680</v>
      </c>
      <c r="F121" s="20" t="s">
        <v>18</v>
      </c>
      <c r="G121" s="20" t="s">
        <v>784</v>
      </c>
      <c r="H121" s="29">
        <v>615</v>
      </c>
      <c r="I121" s="30">
        <v>2014</v>
      </c>
      <c r="J121" s="30">
        <v>680</v>
      </c>
      <c r="K121" s="30">
        <v>2402</v>
      </c>
      <c r="L121" s="20" t="s">
        <v>131</v>
      </c>
      <c r="M121" s="30">
        <v>2402044</v>
      </c>
      <c r="N121" s="77" t="s">
        <v>1124</v>
      </c>
      <c r="O121" s="79">
        <v>202500000009349</v>
      </c>
      <c r="P121" s="20" t="s">
        <v>143</v>
      </c>
      <c r="Q121" s="46"/>
      <c r="R121" s="20" t="s">
        <v>144</v>
      </c>
      <c r="S121" s="20" t="s">
        <v>145</v>
      </c>
      <c r="T121" s="30">
        <v>240204400</v>
      </c>
      <c r="U121" s="20" t="s">
        <v>146</v>
      </c>
      <c r="V121" s="20" t="s">
        <v>18</v>
      </c>
      <c r="W121" s="30">
        <v>9.1</v>
      </c>
      <c r="X121" s="20" t="s">
        <v>23</v>
      </c>
      <c r="Y121" s="22">
        <v>0</v>
      </c>
      <c r="Z121" s="22">
        <v>2</v>
      </c>
      <c r="AA121" s="22">
        <v>0</v>
      </c>
      <c r="AB121" s="22">
        <v>0</v>
      </c>
      <c r="AC121" s="22">
        <v>1</v>
      </c>
      <c r="AD121" s="22">
        <v>1</v>
      </c>
      <c r="AE121" s="22"/>
      <c r="AF121" s="19">
        <f t="shared" si="4"/>
        <v>0</v>
      </c>
      <c r="AG121" s="22" t="s">
        <v>1048</v>
      </c>
      <c r="AH121" s="73" t="s">
        <v>1048</v>
      </c>
      <c r="AI121" s="23">
        <v>0</v>
      </c>
      <c r="AJ121" s="23">
        <v>0</v>
      </c>
      <c r="AK121" s="23">
        <v>0</v>
      </c>
      <c r="AL121" s="23">
        <v>0</v>
      </c>
      <c r="AM121" s="23">
        <v>0</v>
      </c>
      <c r="AN121" s="23">
        <v>0</v>
      </c>
      <c r="AO121" s="23">
        <v>0</v>
      </c>
      <c r="AP121" s="23">
        <v>0</v>
      </c>
      <c r="AQ121" s="23">
        <v>0</v>
      </c>
      <c r="AR121" s="23">
        <v>0</v>
      </c>
      <c r="AS121" s="23">
        <v>0</v>
      </c>
      <c r="AT121" s="23">
        <v>0</v>
      </c>
      <c r="AU121" s="23">
        <v>0</v>
      </c>
      <c r="AV121" s="23">
        <v>0</v>
      </c>
      <c r="AW121" s="23">
        <v>0</v>
      </c>
      <c r="AX121" s="23">
        <v>0</v>
      </c>
      <c r="AY121" s="23">
        <v>0</v>
      </c>
      <c r="AZ121" s="23">
        <v>0</v>
      </c>
      <c r="BA121" s="23">
        <v>0</v>
      </c>
      <c r="BB121" s="23">
        <v>0</v>
      </c>
      <c r="BC121" s="23">
        <v>0</v>
      </c>
      <c r="BD121" s="23">
        <v>0</v>
      </c>
      <c r="BE121" s="23">
        <v>0</v>
      </c>
      <c r="BF121" s="23">
        <v>0</v>
      </c>
      <c r="BG121" s="23">
        <v>0</v>
      </c>
      <c r="BH121" s="23">
        <v>0</v>
      </c>
      <c r="BI121" s="23">
        <v>0</v>
      </c>
      <c r="BJ121" s="23">
        <v>0</v>
      </c>
      <c r="BK121" s="23">
        <v>0</v>
      </c>
      <c r="BL121" s="23">
        <v>62500000</v>
      </c>
      <c r="BM121" s="23">
        <v>0</v>
      </c>
      <c r="BN121" s="23">
        <v>0</v>
      </c>
      <c r="BO121" s="23">
        <v>187500000</v>
      </c>
      <c r="BP121" s="23">
        <v>0</v>
      </c>
      <c r="BQ121" s="23">
        <v>0</v>
      </c>
      <c r="BR121" s="23">
        <v>250000000</v>
      </c>
      <c r="BS121" s="23">
        <v>0</v>
      </c>
      <c r="BT121" s="23">
        <v>0</v>
      </c>
      <c r="BU121" s="23">
        <v>0</v>
      </c>
      <c r="BV121" s="23">
        <v>0</v>
      </c>
      <c r="BW121" s="23">
        <v>0</v>
      </c>
      <c r="BX121" s="23">
        <v>62500000</v>
      </c>
      <c r="BY121" s="23">
        <v>0</v>
      </c>
      <c r="BZ121" s="23">
        <v>0</v>
      </c>
      <c r="CA121" s="23">
        <v>187500000</v>
      </c>
      <c r="CB121" s="23">
        <v>0</v>
      </c>
      <c r="CC121" s="23">
        <v>0</v>
      </c>
      <c r="CD121" s="23">
        <v>250000000</v>
      </c>
      <c r="CE121" s="23">
        <f t="shared" si="5"/>
        <v>500000000</v>
      </c>
    </row>
    <row r="122" spans="1:83" ht="15" customHeight="1" x14ac:dyDescent="0.3">
      <c r="A122" s="20" t="s">
        <v>744</v>
      </c>
      <c r="B122" s="20">
        <v>24</v>
      </c>
      <c r="C122" s="20" t="s">
        <v>130</v>
      </c>
      <c r="D122" s="20">
        <v>120040010</v>
      </c>
      <c r="E122" s="20" t="s">
        <v>680</v>
      </c>
      <c r="F122" s="20" t="s">
        <v>18</v>
      </c>
      <c r="G122" s="20" t="s">
        <v>784</v>
      </c>
      <c r="H122" s="29">
        <v>615</v>
      </c>
      <c r="I122" s="30">
        <v>2014</v>
      </c>
      <c r="J122" s="30">
        <v>680</v>
      </c>
      <c r="K122" s="30">
        <v>2402</v>
      </c>
      <c r="L122" s="20" t="s">
        <v>131</v>
      </c>
      <c r="M122" s="30">
        <v>2402055</v>
      </c>
      <c r="N122" s="77" t="s">
        <v>1124</v>
      </c>
      <c r="O122" s="79">
        <v>202500000009349</v>
      </c>
      <c r="P122" s="20" t="s">
        <v>147</v>
      </c>
      <c r="Q122" s="46"/>
      <c r="R122" s="20" t="s">
        <v>133</v>
      </c>
      <c r="S122" s="20" t="s">
        <v>148</v>
      </c>
      <c r="T122" s="30">
        <v>240205500</v>
      </c>
      <c r="U122" s="20" t="s">
        <v>149</v>
      </c>
      <c r="V122" s="20" t="s">
        <v>136</v>
      </c>
      <c r="W122" s="30">
        <v>9.1</v>
      </c>
      <c r="X122" s="20" t="s">
        <v>23</v>
      </c>
      <c r="Y122" s="22">
        <v>0</v>
      </c>
      <c r="Z122" s="22">
        <v>2</v>
      </c>
      <c r="AA122" s="22">
        <v>0</v>
      </c>
      <c r="AB122" s="22">
        <v>1</v>
      </c>
      <c r="AC122" s="22">
        <v>1</v>
      </c>
      <c r="AD122" s="22">
        <v>0</v>
      </c>
      <c r="AE122" s="22"/>
      <c r="AF122" s="19">
        <f t="shared" si="4"/>
        <v>0</v>
      </c>
      <c r="AG122" s="22">
        <v>0</v>
      </c>
      <c r="AH122" s="73">
        <v>0</v>
      </c>
      <c r="AI122" s="23">
        <v>0</v>
      </c>
      <c r="AJ122" s="23">
        <v>0</v>
      </c>
      <c r="AK122" s="23">
        <v>0</v>
      </c>
      <c r="AL122" s="23">
        <v>0</v>
      </c>
      <c r="AM122" s="23">
        <v>0</v>
      </c>
      <c r="AN122" s="23">
        <v>0</v>
      </c>
      <c r="AO122" s="23">
        <v>0</v>
      </c>
      <c r="AP122" s="23">
        <v>0</v>
      </c>
      <c r="AQ122" s="23">
        <v>0</v>
      </c>
      <c r="AR122" s="23">
        <v>0</v>
      </c>
      <c r="AS122" s="23">
        <v>0</v>
      </c>
      <c r="AT122" s="23">
        <v>0</v>
      </c>
      <c r="AU122" s="23">
        <v>55000000</v>
      </c>
      <c r="AV122" s="23">
        <v>0</v>
      </c>
      <c r="AW122" s="23">
        <v>0</v>
      </c>
      <c r="AX122" s="23">
        <v>0</v>
      </c>
      <c r="AY122" s="23">
        <v>0</v>
      </c>
      <c r="AZ122" s="23">
        <v>0</v>
      </c>
      <c r="BA122" s="23">
        <v>0</v>
      </c>
      <c r="BB122" s="23">
        <v>0</v>
      </c>
      <c r="BC122" s="23">
        <v>0</v>
      </c>
      <c r="BD122" s="23">
        <v>0</v>
      </c>
      <c r="BE122" s="23">
        <v>0</v>
      </c>
      <c r="BF122" s="23">
        <v>55000000</v>
      </c>
      <c r="BG122" s="23">
        <v>55000000</v>
      </c>
      <c r="BH122" s="23">
        <v>0</v>
      </c>
      <c r="BI122" s="23">
        <v>0</v>
      </c>
      <c r="BJ122" s="23">
        <v>0</v>
      </c>
      <c r="BK122" s="23">
        <v>0</v>
      </c>
      <c r="BL122" s="23">
        <v>0</v>
      </c>
      <c r="BM122" s="23">
        <v>0</v>
      </c>
      <c r="BN122" s="23">
        <v>0</v>
      </c>
      <c r="BO122" s="23">
        <v>0</v>
      </c>
      <c r="BP122" s="23">
        <v>0</v>
      </c>
      <c r="BQ122" s="23">
        <v>0</v>
      </c>
      <c r="BR122" s="23">
        <v>55000000</v>
      </c>
      <c r="BS122" s="23">
        <v>0</v>
      </c>
      <c r="BT122" s="23">
        <v>0</v>
      </c>
      <c r="BU122" s="23">
        <v>0</v>
      </c>
      <c r="BV122" s="23">
        <v>0</v>
      </c>
      <c r="BW122" s="23">
        <v>0</v>
      </c>
      <c r="BX122" s="23">
        <v>0</v>
      </c>
      <c r="BY122" s="23">
        <v>0</v>
      </c>
      <c r="BZ122" s="23">
        <v>0</v>
      </c>
      <c r="CA122" s="23">
        <v>0</v>
      </c>
      <c r="CB122" s="23">
        <v>0</v>
      </c>
      <c r="CC122" s="23">
        <v>0</v>
      </c>
      <c r="CD122" s="23">
        <v>0</v>
      </c>
      <c r="CE122" s="23">
        <f t="shared" si="5"/>
        <v>110000000</v>
      </c>
    </row>
    <row r="123" spans="1:83" ht="15" customHeight="1" x14ac:dyDescent="0.3">
      <c r="A123" s="20" t="s">
        <v>744</v>
      </c>
      <c r="B123" s="20">
        <v>24</v>
      </c>
      <c r="C123" s="20" t="s">
        <v>130</v>
      </c>
      <c r="D123" s="20">
        <v>120040010</v>
      </c>
      <c r="E123" s="20" t="s">
        <v>680</v>
      </c>
      <c r="F123" s="20" t="s">
        <v>18</v>
      </c>
      <c r="G123" s="20" t="s">
        <v>784</v>
      </c>
      <c r="H123" s="29">
        <v>615</v>
      </c>
      <c r="I123" s="30">
        <v>2014</v>
      </c>
      <c r="J123" s="30">
        <v>680</v>
      </c>
      <c r="K123" s="30">
        <v>2402</v>
      </c>
      <c r="L123" s="20" t="s">
        <v>131</v>
      </c>
      <c r="M123" s="30">
        <v>2402092</v>
      </c>
      <c r="N123" s="77" t="s">
        <v>1124</v>
      </c>
      <c r="O123" s="79">
        <v>202500000009349</v>
      </c>
      <c r="P123" s="20" t="s">
        <v>150</v>
      </c>
      <c r="Q123" s="46" t="s">
        <v>842</v>
      </c>
      <c r="R123" s="20" t="s">
        <v>151</v>
      </c>
      <c r="S123" s="20" t="s">
        <v>152</v>
      </c>
      <c r="T123" s="30">
        <v>240209200</v>
      </c>
      <c r="U123" s="20" t="s">
        <v>153</v>
      </c>
      <c r="V123" s="20" t="s">
        <v>142</v>
      </c>
      <c r="W123" s="30">
        <v>11.2</v>
      </c>
      <c r="X123" s="20" t="s">
        <v>23</v>
      </c>
      <c r="Y123" s="22">
        <v>0</v>
      </c>
      <c r="Z123" s="22">
        <v>150</v>
      </c>
      <c r="AA123" s="22">
        <v>0</v>
      </c>
      <c r="AB123" s="22">
        <v>0</v>
      </c>
      <c r="AC123" s="22">
        <v>150</v>
      </c>
      <c r="AD123" s="22">
        <v>0</v>
      </c>
      <c r="AE123" s="22"/>
      <c r="AF123" s="19">
        <f t="shared" si="4"/>
        <v>0</v>
      </c>
      <c r="AG123" s="22" t="s">
        <v>1048</v>
      </c>
      <c r="AH123" s="73" t="s">
        <v>1048</v>
      </c>
      <c r="AI123" s="23">
        <v>0</v>
      </c>
      <c r="AJ123" s="23">
        <v>0</v>
      </c>
      <c r="AK123" s="23">
        <v>0</v>
      </c>
      <c r="AL123" s="23">
        <v>0</v>
      </c>
      <c r="AM123" s="23">
        <v>0</v>
      </c>
      <c r="AN123" s="23">
        <v>0</v>
      </c>
      <c r="AO123" s="23">
        <v>0</v>
      </c>
      <c r="AP123" s="23">
        <v>0</v>
      </c>
      <c r="AQ123" s="23">
        <v>0</v>
      </c>
      <c r="AR123" s="23">
        <v>0</v>
      </c>
      <c r="AS123" s="23">
        <v>0</v>
      </c>
      <c r="AT123" s="23">
        <v>0</v>
      </c>
      <c r="AU123" s="23">
        <v>0</v>
      </c>
      <c r="AV123" s="23">
        <v>0</v>
      </c>
      <c r="AW123" s="23">
        <v>0</v>
      </c>
      <c r="AX123" s="23">
        <v>0</v>
      </c>
      <c r="AY123" s="23">
        <v>0</v>
      </c>
      <c r="AZ123" s="23">
        <v>0</v>
      </c>
      <c r="BA123" s="23">
        <v>0</v>
      </c>
      <c r="BB123" s="23">
        <v>0</v>
      </c>
      <c r="BC123" s="23">
        <v>0</v>
      </c>
      <c r="BD123" s="23">
        <v>0</v>
      </c>
      <c r="BE123" s="23">
        <v>0</v>
      </c>
      <c r="BF123" s="23">
        <v>0</v>
      </c>
      <c r="BG123" s="23">
        <v>165000000</v>
      </c>
      <c r="BH123" s="23">
        <v>0</v>
      </c>
      <c r="BI123" s="23">
        <v>0</v>
      </c>
      <c r="BJ123" s="23">
        <v>0</v>
      </c>
      <c r="BK123" s="23">
        <v>0</v>
      </c>
      <c r="BL123" s="23">
        <v>0</v>
      </c>
      <c r="BM123" s="23">
        <v>0</v>
      </c>
      <c r="BN123" s="23">
        <v>0</v>
      </c>
      <c r="BO123" s="23">
        <v>285000000</v>
      </c>
      <c r="BP123" s="23">
        <v>0</v>
      </c>
      <c r="BQ123" s="23">
        <v>0</v>
      </c>
      <c r="BR123" s="23">
        <v>450000000</v>
      </c>
      <c r="BS123" s="23">
        <v>0</v>
      </c>
      <c r="BT123" s="23">
        <v>0</v>
      </c>
      <c r="BU123" s="23">
        <v>0</v>
      </c>
      <c r="BV123" s="23">
        <v>0</v>
      </c>
      <c r="BW123" s="23">
        <v>0</v>
      </c>
      <c r="BX123" s="23">
        <v>0</v>
      </c>
      <c r="BY123" s="23">
        <v>0</v>
      </c>
      <c r="BZ123" s="23">
        <v>0</v>
      </c>
      <c r="CA123" s="23">
        <v>0</v>
      </c>
      <c r="CB123" s="23">
        <v>0</v>
      </c>
      <c r="CC123" s="23">
        <v>0</v>
      </c>
      <c r="CD123" s="23">
        <v>0</v>
      </c>
      <c r="CE123" s="23">
        <f t="shared" si="5"/>
        <v>450000000</v>
      </c>
    </row>
    <row r="124" spans="1:83" ht="15" customHeight="1" x14ac:dyDescent="0.3">
      <c r="A124" s="20" t="s">
        <v>744</v>
      </c>
      <c r="B124" s="20">
        <v>40</v>
      </c>
      <c r="C124" s="20" t="s">
        <v>194</v>
      </c>
      <c r="D124" s="21">
        <v>150070001</v>
      </c>
      <c r="E124" s="21" t="s">
        <v>706</v>
      </c>
      <c r="F124" s="20" t="s">
        <v>707</v>
      </c>
      <c r="G124" s="20" t="s">
        <v>787</v>
      </c>
      <c r="H124" s="29">
        <v>2177</v>
      </c>
      <c r="I124" s="30">
        <v>2021</v>
      </c>
      <c r="J124" s="30">
        <v>2200</v>
      </c>
      <c r="K124" s="30">
        <v>4001</v>
      </c>
      <c r="L124" s="20" t="s">
        <v>195</v>
      </c>
      <c r="M124" s="30">
        <v>4001007</v>
      </c>
      <c r="N124" s="77" t="s">
        <v>1125</v>
      </c>
      <c r="O124" s="79">
        <v>202500000006556</v>
      </c>
      <c r="P124" s="20" t="s">
        <v>196</v>
      </c>
      <c r="Q124" s="46" t="s">
        <v>843</v>
      </c>
      <c r="R124" s="20"/>
      <c r="S124" s="20" t="s">
        <v>197</v>
      </c>
      <c r="T124" s="30">
        <v>400100700</v>
      </c>
      <c r="U124" s="20" t="s">
        <v>198</v>
      </c>
      <c r="V124" s="20" t="s">
        <v>18</v>
      </c>
      <c r="W124" s="30">
        <v>16.3</v>
      </c>
      <c r="X124" s="20" t="s">
        <v>23</v>
      </c>
      <c r="Y124" s="22">
        <v>0</v>
      </c>
      <c r="Z124" s="22">
        <v>4</v>
      </c>
      <c r="AA124" s="22">
        <v>0</v>
      </c>
      <c r="AB124" s="22">
        <v>0</v>
      </c>
      <c r="AC124" s="22">
        <v>0</v>
      </c>
      <c r="AD124" s="22">
        <v>4</v>
      </c>
      <c r="AE124" s="22"/>
      <c r="AF124" s="19">
        <f t="shared" si="4"/>
        <v>0</v>
      </c>
      <c r="AG124" s="22" t="s">
        <v>1048</v>
      </c>
      <c r="AH124" s="73" t="s">
        <v>1048</v>
      </c>
      <c r="AI124" s="23">
        <v>0</v>
      </c>
      <c r="AJ124" s="23">
        <v>0</v>
      </c>
      <c r="AK124" s="23">
        <v>0</v>
      </c>
      <c r="AL124" s="23">
        <v>0</v>
      </c>
      <c r="AM124" s="23">
        <v>0</v>
      </c>
      <c r="AN124" s="23">
        <v>0</v>
      </c>
      <c r="AO124" s="23">
        <v>0</v>
      </c>
      <c r="AP124" s="23">
        <v>0</v>
      </c>
      <c r="AQ124" s="23">
        <v>0</v>
      </c>
      <c r="AR124" s="23">
        <v>0</v>
      </c>
      <c r="AS124" s="23">
        <v>0</v>
      </c>
      <c r="AT124" s="23">
        <v>0</v>
      </c>
      <c r="AU124" s="23">
        <v>0</v>
      </c>
      <c r="AV124" s="23">
        <v>0</v>
      </c>
      <c r="AW124" s="23">
        <v>0</v>
      </c>
      <c r="AX124" s="23">
        <v>0</v>
      </c>
      <c r="AY124" s="23">
        <v>0</v>
      </c>
      <c r="AZ124" s="23">
        <v>0</v>
      </c>
      <c r="BA124" s="23">
        <v>0</v>
      </c>
      <c r="BB124" s="23">
        <v>0</v>
      </c>
      <c r="BC124" s="23">
        <v>0</v>
      </c>
      <c r="BD124" s="23">
        <v>0</v>
      </c>
      <c r="BE124" s="23">
        <v>0</v>
      </c>
      <c r="BF124" s="23">
        <v>0</v>
      </c>
      <c r="BG124" s="23">
        <v>0</v>
      </c>
      <c r="BH124" s="23">
        <v>0</v>
      </c>
      <c r="BI124" s="23">
        <v>0</v>
      </c>
      <c r="BJ124" s="23">
        <v>0</v>
      </c>
      <c r="BK124" s="23">
        <v>0</v>
      </c>
      <c r="BL124" s="23">
        <v>0</v>
      </c>
      <c r="BM124" s="23">
        <v>0</v>
      </c>
      <c r="BN124" s="23">
        <v>0</v>
      </c>
      <c r="BO124" s="23">
        <v>0</v>
      </c>
      <c r="BP124" s="23">
        <v>0</v>
      </c>
      <c r="BQ124" s="23">
        <v>0</v>
      </c>
      <c r="BR124" s="23">
        <v>0</v>
      </c>
      <c r="BS124" s="23">
        <v>14000000</v>
      </c>
      <c r="BT124" s="23">
        <v>0</v>
      </c>
      <c r="BU124" s="23">
        <v>0</v>
      </c>
      <c r="BV124" s="23">
        <v>0</v>
      </c>
      <c r="BW124" s="23">
        <v>0</v>
      </c>
      <c r="BX124" s="23">
        <v>0</v>
      </c>
      <c r="BY124" s="23">
        <v>0</v>
      </c>
      <c r="BZ124" s="23">
        <v>0</v>
      </c>
      <c r="CA124" s="23">
        <v>0</v>
      </c>
      <c r="CB124" s="23">
        <v>0</v>
      </c>
      <c r="CC124" s="23">
        <v>0</v>
      </c>
      <c r="CD124" s="23">
        <v>14000000</v>
      </c>
      <c r="CE124" s="23">
        <f t="shared" si="5"/>
        <v>14000000</v>
      </c>
    </row>
    <row r="125" spans="1:83" ht="15" customHeight="1" x14ac:dyDescent="0.3">
      <c r="A125" s="20" t="s">
        <v>744</v>
      </c>
      <c r="B125" s="20">
        <v>40</v>
      </c>
      <c r="C125" s="20" t="s">
        <v>194</v>
      </c>
      <c r="D125" s="21">
        <v>150130001</v>
      </c>
      <c r="E125" s="21" t="s">
        <v>736</v>
      </c>
      <c r="F125" s="20" t="s">
        <v>719</v>
      </c>
      <c r="G125" s="20" t="s">
        <v>789</v>
      </c>
      <c r="H125" s="29">
        <v>0.59719999999999995</v>
      </c>
      <c r="I125" s="30">
        <v>2019</v>
      </c>
      <c r="J125" s="30">
        <v>4</v>
      </c>
      <c r="K125" s="30">
        <v>4002</v>
      </c>
      <c r="L125" s="20" t="s">
        <v>199</v>
      </c>
      <c r="M125" s="30">
        <v>4002016</v>
      </c>
      <c r="N125" s="77" t="s">
        <v>1126</v>
      </c>
      <c r="O125" s="79">
        <v>202500000009351</v>
      </c>
      <c r="P125" s="20" t="s">
        <v>95</v>
      </c>
      <c r="Q125" s="46" t="s">
        <v>844</v>
      </c>
      <c r="R125" s="20" t="s">
        <v>200</v>
      </c>
      <c r="S125" s="20" t="s">
        <v>26</v>
      </c>
      <c r="T125" s="30">
        <v>400201601</v>
      </c>
      <c r="U125" s="20" t="s">
        <v>201</v>
      </c>
      <c r="V125" s="20" t="s">
        <v>18</v>
      </c>
      <c r="W125" s="30">
        <v>11.3</v>
      </c>
      <c r="X125" s="20" t="s">
        <v>23</v>
      </c>
      <c r="Y125" s="22">
        <v>0</v>
      </c>
      <c r="Z125" s="22">
        <v>1</v>
      </c>
      <c r="AA125" s="22">
        <v>0</v>
      </c>
      <c r="AB125" s="22">
        <v>0</v>
      </c>
      <c r="AC125" s="22">
        <v>1</v>
      </c>
      <c r="AD125" s="22">
        <v>0</v>
      </c>
      <c r="AE125" s="22"/>
      <c r="AF125" s="19">
        <f t="shared" si="4"/>
        <v>0</v>
      </c>
      <c r="AG125" s="22" t="s">
        <v>1048</v>
      </c>
      <c r="AH125" s="73" t="s">
        <v>1048</v>
      </c>
      <c r="AI125" s="23">
        <v>0</v>
      </c>
      <c r="AJ125" s="23">
        <v>0</v>
      </c>
      <c r="AK125" s="23">
        <v>0</v>
      </c>
      <c r="AL125" s="23">
        <v>0</v>
      </c>
      <c r="AM125" s="23">
        <v>0</v>
      </c>
      <c r="AN125" s="23">
        <v>0</v>
      </c>
      <c r="AO125" s="23">
        <v>0</v>
      </c>
      <c r="AP125" s="23">
        <v>0</v>
      </c>
      <c r="AQ125" s="23">
        <v>0</v>
      </c>
      <c r="AR125" s="23">
        <v>0</v>
      </c>
      <c r="AS125" s="23">
        <v>0</v>
      </c>
      <c r="AT125" s="23">
        <v>0</v>
      </c>
      <c r="AU125" s="23">
        <v>0</v>
      </c>
      <c r="AV125" s="23">
        <v>0</v>
      </c>
      <c r="AW125" s="23">
        <v>0</v>
      </c>
      <c r="AX125" s="23">
        <v>0</v>
      </c>
      <c r="AY125" s="23">
        <v>0</v>
      </c>
      <c r="AZ125" s="23">
        <v>0</v>
      </c>
      <c r="BA125" s="23">
        <v>0</v>
      </c>
      <c r="BB125" s="23">
        <v>0</v>
      </c>
      <c r="BC125" s="23">
        <v>0</v>
      </c>
      <c r="BD125" s="23">
        <v>0</v>
      </c>
      <c r="BE125" s="23">
        <v>0</v>
      </c>
      <c r="BF125" s="23">
        <v>0</v>
      </c>
      <c r="BG125" s="23">
        <v>0</v>
      </c>
      <c r="BH125" s="23">
        <v>0</v>
      </c>
      <c r="BI125" s="23">
        <v>0</v>
      </c>
      <c r="BJ125" s="23">
        <v>0</v>
      </c>
      <c r="BK125" s="23">
        <v>0</v>
      </c>
      <c r="BL125" s="23">
        <v>0</v>
      </c>
      <c r="BM125" s="23">
        <v>0</v>
      </c>
      <c r="BN125" s="23">
        <v>371722732</v>
      </c>
      <c r="BO125" s="23">
        <v>312000000</v>
      </c>
      <c r="BP125" s="23">
        <v>0</v>
      </c>
      <c r="BQ125" s="23">
        <v>0</v>
      </c>
      <c r="BR125" s="23">
        <v>683722732</v>
      </c>
      <c r="BS125" s="23">
        <v>0</v>
      </c>
      <c r="BT125" s="23">
        <v>0</v>
      </c>
      <c r="BU125" s="23">
        <v>0</v>
      </c>
      <c r="BV125" s="23">
        <v>0</v>
      </c>
      <c r="BW125" s="23">
        <v>0</v>
      </c>
      <c r="BX125" s="23">
        <v>0</v>
      </c>
      <c r="BY125" s="23">
        <v>0</v>
      </c>
      <c r="BZ125" s="23">
        <v>0</v>
      </c>
      <c r="CA125" s="23">
        <v>0</v>
      </c>
      <c r="CB125" s="23">
        <v>0</v>
      </c>
      <c r="CC125" s="23">
        <v>0</v>
      </c>
      <c r="CD125" s="23">
        <v>0</v>
      </c>
      <c r="CE125" s="23">
        <f t="shared" si="5"/>
        <v>683722732</v>
      </c>
    </row>
    <row r="126" spans="1:83" ht="15" customHeight="1" x14ac:dyDescent="0.3">
      <c r="A126" s="20" t="s">
        <v>744</v>
      </c>
      <c r="B126" s="20">
        <v>40</v>
      </c>
      <c r="C126" s="20" t="s">
        <v>194</v>
      </c>
      <c r="D126" s="20">
        <v>30010004</v>
      </c>
      <c r="E126" s="20" t="s">
        <v>671</v>
      </c>
      <c r="F126" s="20" t="s">
        <v>679</v>
      </c>
      <c r="G126" s="20" t="s">
        <v>774</v>
      </c>
      <c r="H126" s="29">
        <v>88.578100000000006</v>
      </c>
      <c r="I126" s="30">
        <v>2018</v>
      </c>
      <c r="J126" s="30">
        <v>91</v>
      </c>
      <c r="K126" s="30">
        <v>4003</v>
      </c>
      <c r="L126" s="20" t="s">
        <v>202</v>
      </c>
      <c r="M126" s="30">
        <v>4003015</v>
      </c>
      <c r="N126" s="77" t="s">
        <v>1123</v>
      </c>
      <c r="O126" s="79">
        <v>202500000006544</v>
      </c>
      <c r="P126" s="20" t="s">
        <v>245</v>
      </c>
      <c r="Q126" s="46"/>
      <c r="R126" s="20" t="s">
        <v>246</v>
      </c>
      <c r="S126" s="20" t="s">
        <v>247</v>
      </c>
      <c r="T126" s="30">
        <v>400301500</v>
      </c>
      <c r="U126" s="20" t="s">
        <v>245</v>
      </c>
      <c r="V126" s="20" t="s">
        <v>18</v>
      </c>
      <c r="W126" s="30">
        <v>6.1</v>
      </c>
      <c r="X126" s="20" t="s">
        <v>23</v>
      </c>
      <c r="Y126" s="22">
        <v>4</v>
      </c>
      <c r="Z126" s="22">
        <v>2</v>
      </c>
      <c r="AA126" s="22">
        <v>0</v>
      </c>
      <c r="AB126" s="22">
        <v>0</v>
      </c>
      <c r="AC126" s="22">
        <v>1</v>
      </c>
      <c r="AD126" s="22">
        <v>1</v>
      </c>
      <c r="AE126" s="22"/>
      <c r="AF126" s="19">
        <f t="shared" si="4"/>
        <v>0</v>
      </c>
      <c r="AG126" s="22" t="s">
        <v>1048</v>
      </c>
      <c r="AH126" s="73" t="s">
        <v>1048</v>
      </c>
      <c r="AI126" s="23">
        <v>0</v>
      </c>
      <c r="AJ126" s="23">
        <v>0</v>
      </c>
      <c r="AK126" s="23">
        <v>0</v>
      </c>
      <c r="AL126" s="23">
        <v>0</v>
      </c>
      <c r="AM126" s="23">
        <v>0</v>
      </c>
      <c r="AN126" s="23">
        <v>0</v>
      </c>
      <c r="AO126" s="23">
        <v>0</v>
      </c>
      <c r="AP126" s="23">
        <v>0</v>
      </c>
      <c r="AQ126" s="23">
        <v>0</v>
      </c>
      <c r="AR126" s="23">
        <v>0</v>
      </c>
      <c r="AS126" s="23">
        <v>0</v>
      </c>
      <c r="AT126" s="23">
        <v>0</v>
      </c>
      <c r="AU126" s="23">
        <v>0</v>
      </c>
      <c r="AV126" s="23">
        <v>0</v>
      </c>
      <c r="AW126" s="23">
        <v>0</v>
      </c>
      <c r="AX126" s="23">
        <v>0</v>
      </c>
      <c r="AY126" s="23">
        <v>0</v>
      </c>
      <c r="AZ126" s="23">
        <v>0</v>
      </c>
      <c r="BA126" s="23">
        <v>0</v>
      </c>
      <c r="BB126" s="23">
        <v>0</v>
      </c>
      <c r="BC126" s="23">
        <v>0</v>
      </c>
      <c r="BD126" s="23">
        <v>0</v>
      </c>
      <c r="BE126" s="23">
        <v>0</v>
      </c>
      <c r="BF126" s="23">
        <v>0</v>
      </c>
      <c r="BG126" s="23">
        <v>0</v>
      </c>
      <c r="BH126" s="23">
        <v>0</v>
      </c>
      <c r="BI126" s="23">
        <v>0</v>
      </c>
      <c r="BJ126" s="23">
        <v>0</v>
      </c>
      <c r="BK126" s="23">
        <v>0</v>
      </c>
      <c r="BL126" s="23">
        <v>0</v>
      </c>
      <c r="BM126" s="23">
        <v>0</v>
      </c>
      <c r="BN126" s="23">
        <v>185200000</v>
      </c>
      <c r="BO126" s="23">
        <v>556800000</v>
      </c>
      <c r="BP126" s="23">
        <v>0</v>
      </c>
      <c r="BQ126" s="23">
        <v>0</v>
      </c>
      <c r="BR126" s="23">
        <v>742000000</v>
      </c>
      <c r="BS126" s="23">
        <v>0</v>
      </c>
      <c r="BT126" s="23">
        <v>0</v>
      </c>
      <c r="BU126" s="23">
        <v>0</v>
      </c>
      <c r="BV126" s="23">
        <v>0</v>
      </c>
      <c r="BW126" s="23">
        <v>0</v>
      </c>
      <c r="BX126" s="23">
        <v>200000000</v>
      </c>
      <c r="BY126" s="23">
        <v>0</v>
      </c>
      <c r="BZ126" s="23">
        <v>0</v>
      </c>
      <c r="CA126" s="23">
        <v>542000000</v>
      </c>
      <c r="CB126" s="23">
        <v>0</v>
      </c>
      <c r="CC126" s="23">
        <v>0</v>
      </c>
      <c r="CD126" s="23">
        <v>742000000</v>
      </c>
      <c r="CE126" s="23">
        <f t="shared" si="5"/>
        <v>1484000000</v>
      </c>
    </row>
    <row r="127" spans="1:83" ht="15" customHeight="1" x14ac:dyDescent="0.3">
      <c r="A127" s="20" t="s">
        <v>744</v>
      </c>
      <c r="B127" s="20">
        <v>40</v>
      </c>
      <c r="C127" s="20" t="s">
        <v>194</v>
      </c>
      <c r="D127" s="20">
        <v>30010004</v>
      </c>
      <c r="E127" s="20" t="s">
        <v>671</v>
      </c>
      <c r="F127" s="20" t="s">
        <v>679</v>
      </c>
      <c r="G127" s="20" t="s">
        <v>774</v>
      </c>
      <c r="H127" s="29">
        <v>88.578100000000006</v>
      </c>
      <c r="I127" s="30">
        <v>2018</v>
      </c>
      <c r="J127" s="30">
        <v>91</v>
      </c>
      <c r="K127" s="30">
        <v>4003</v>
      </c>
      <c r="L127" s="20" t="s">
        <v>202</v>
      </c>
      <c r="M127" s="30">
        <v>4003016</v>
      </c>
      <c r="N127" s="77" t="s">
        <v>1123</v>
      </c>
      <c r="O127" s="79">
        <v>202500000006544</v>
      </c>
      <c r="P127" s="20" t="s">
        <v>248</v>
      </c>
      <c r="Q127" s="46" t="s">
        <v>845</v>
      </c>
      <c r="R127" s="20" t="s">
        <v>249</v>
      </c>
      <c r="S127" s="20" t="s">
        <v>247</v>
      </c>
      <c r="T127" s="30">
        <v>400301600</v>
      </c>
      <c r="U127" s="20" t="s">
        <v>248</v>
      </c>
      <c r="V127" s="20" t="s">
        <v>18</v>
      </c>
      <c r="W127" s="30">
        <v>6.1</v>
      </c>
      <c r="X127" s="20" t="s">
        <v>23</v>
      </c>
      <c r="Y127" s="22">
        <v>0</v>
      </c>
      <c r="Z127" s="22">
        <v>1</v>
      </c>
      <c r="AA127" s="22">
        <v>0</v>
      </c>
      <c r="AB127" s="22">
        <v>0</v>
      </c>
      <c r="AC127" s="22">
        <v>1</v>
      </c>
      <c r="AD127" s="22">
        <v>0</v>
      </c>
      <c r="AE127" s="22"/>
      <c r="AF127" s="19">
        <f t="shared" si="4"/>
        <v>0</v>
      </c>
      <c r="AG127" s="22" t="s">
        <v>1048</v>
      </c>
      <c r="AH127" s="73" t="s">
        <v>1048</v>
      </c>
      <c r="AI127" s="23">
        <v>0</v>
      </c>
      <c r="AJ127" s="23">
        <v>0</v>
      </c>
      <c r="AK127" s="23">
        <v>0</v>
      </c>
      <c r="AL127" s="23">
        <v>0</v>
      </c>
      <c r="AM127" s="23">
        <v>0</v>
      </c>
      <c r="AN127" s="23">
        <v>0</v>
      </c>
      <c r="AO127" s="23">
        <v>0</v>
      </c>
      <c r="AP127" s="23">
        <v>0</v>
      </c>
      <c r="AQ127" s="23">
        <v>0</v>
      </c>
      <c r="AR127" s="23">
        <v>0</v>
      </c>
      <c r="AS127" s="23">
        <v>0</v>
      </c>
      <c r="AT127" s="23">
        <v>0</v>
      </c>
      <c r="AU127" s="23">
        <v>0</v>
      </c>
      <c r="AV127" s="23">
        <v>0</v>
      </c>
      <c r="AW127" s="23">
        <v>0</v>
      </c>
      <c r="AX127" s="23">
        <v>0</v>
      </c>
      <c r="AY127" s="23">
        <v>0</v>
      </c>
      <c r="AZ127" s="23">
        <v>0</v>
      </c>
      <c r="BA127" s="23">
        <v>0</v>
      </c>
      <c r="BB127" s="23">
        <v>0</v>
      </c>
      <c r="BC127" s="23">
        <v>0</v>
      </c>
      <c r="BD127" s="23">
        <v>0</v>
      </c>
      <c r="BE127" s="23">
        <v>0</v>
      </c>
      <c r="BF127" s="23">
        <v>0</v>
      </c>
      <c r="BG127" s="23">
        <v>0</v>
      </c>
      <c r="BH127" s="23">
        <v>0</v>
      </c>
      <c r="BI127" s="23">
        <v>0</v>
      </c>
      <c r="BJ127" s="23">
        <v>0</v>
      </c>
      <c r="BK127" s="23">
        <v>145000000</v>
      </c>
      <c r="BL127" s="23">
        <v>0</v>
      </c>
      <c r="BM127" s="23">
        <v>0</v>
      </c>
      <c r="BN127" s="23">
        <v>0</v>
      </c>
      <c r="BO127" s="23">
        <v>0</v>
      </c>
      <c r="BP127" s="23">
        <v>0</v>
      </c>
      <c r="BQ127" s="23">
        <v>0</v>
      </c>
      <c r="BR127" s="23">
        <v>145000000</v>
      </c>
      <c r="BS127" s="23">
        <v>0</v>
      </c>
      <c r="BT127" s="23">
        <v>0</v>
      </c>
      <c r="BU127" s="23">
        <v>0</v>
      </c>
      <c r="BV127" s="23">
        <v>0</v>
      </c>
      <c r="BW127" s="23">
        <v>0</v>
      </c>
      <c r="BX127" s="23">
        <v>0</v>
      </c>
      <c r="BY127" s="23">
        <v>0</v>
      </c>
      <c r="BZ127" s="23">
        <v>0</v>
      </c>
      <c r="CA127" s="23">
        <v>0</v>
      </c>
      <c r="CB127" s="23">
        <v>0</v>
      </c>
      <c r="CC127" s="23">
        <v>0</v>
      </c>
      <c r="CD127" s="23">
        <v>0</v>
      </c>
      <c r="CE127" s="23">
        <f t="shared" si="5"/>
        <v>145000000</v>
      </c>
    </row>
    <row r="128" spans="1:83" ht="15" customHeight="1" x14ac:dyDescent="0.3">
      <c r="A128" s="20" t="s">
        <v>744</v>
      </c>
      <c r="B128" s="20">
        <v>40</v>
      </c>
      <c r="C128" s="20" t="s">
        <v>194</v>
      </c>
      <c r="D128" s="20">
        <v>30010004</v>
      </c>
      <c r="E128" s="20" t="s">
        <v>671</v>
      </c>
      <c r="F128" s="20" t="s">
        <v>679</v>
      </c>
      <c r="G128" s="20" t="s">
        <v>774</v>
      </c>
      <c r="H128" s="29">
        <v>88.578100000000006</v>
      </c>
      <c r="I128" s="30">
        <v>2018</v>
      </c>
      <c r="J128" s="30">
        <v>91</v>
      </c>
      <c r="K128" s="30">
        <v>4003</v>
      </c>
      <c r="L128" s="20" t="s">
        <v>202</v>
      </c>
      <c r="M128" s="30">
        <v>4003017</v>
      </c>
      <c r="N128" s="77" t="s">
        <v>1123</v>
      </c>
      <c r="O128" s="79">
        <v>202500000006544</v>
      </c>
      <c r="P128" s="20" t="s">
        <v>250</v>
      </c>
      <c r="Q128" s="46"/>
      <c r="R128" s="20" t="s">
        <v>251</v>
      </c>
      <c r="S128" s="20" t="s">
        <v>247</v>
      </c>
      <c r="T128" s="30">
        <v>400301700</v>
      </c>
      <c r="U128" s="20" t="s">
        <v>250</v>
      </c>
      <c r="V128" s="20" t="s">
        <v>18</v>
      </c>
      <c r="W128" s="30">
        <v>6.1</v>
      </c>
      <c r="X128" s="20" t="s">
        <v>23</v>
      </c>
      <c r="Y128" s="22">
        <v>6</v>
      </c>
      <c r="Z128" s="22">
        <v>6</v>
      </c>
      <c r="AA128" s="22">
        <v>0</v>
      </c>
      <c r="AB128" s="22">
        <v>0</v>
      </c>
      <c r="AC128" s="22">
        <v>3</v>
      </c>
      <c r="AD128" s="22">
        <v>3</v>
      </c>
      <c r="AE128" s="22"/>
      <c r="AF128" s="19">
        <f t="shared" si="4"/>
        <v>0</v>
      </c>
      <c r="AG128" s="22" t="s">
        <v>1048</v>
      </c>
      <c r="AH128" s="73" t="s">
        <v>1048</v>
      </c>
      <c r="AI128" s="23">
        <v>0</v>
      </c>
      <c r="AJ128" s="23">
        <v>0</v>
      </c>
      <c r="AK128" s="23">
        <v>0</v>
      </c>
      <c r="AL128" s="23">
        <v>0</v>
      </c>
      <c r="AM128" s="23">
        <v>0</v>
      </c>
      <c r="AN128" s="23">
        <v>0</v>
      </c>
      <c r="AO128" s="23">
        <v>0</v>
      </c>
      <c r="AP128" s="23">
        <v>0</v>
      </c>
      <c r="AQ128" s="23">
        <v>0</v>
      </c>
      <c r="AR128" s="23">
        <v>0</v>
      </c>
      <c r="AS128" s="23">
        <v>0</v>
      </c>
      <c r="AT128" s="23">
        <v>0</v>
      </c>
      <c r="AU128" s="23">
        <v>0</v>
      </c>
      <c r="AV128" s="23">
        <v>0</v>
      </c>
      <c r="AW128" s="23">
        <v>0</v>
      </c>
      <c r="AX128" s="23">
        <v>0</v>
      </c>
      <c r="AY128" s="23">
        <v>0</v>
      </c>
      <c r="AZ128" s="23">
        <v>0</v>
      </c>
      <c r="BA128" s="23">
        <v>0</v>
      </c>
      <c r="BB128" s="23">
        <v>0</v>
      </c>
      <c r="BC128" s="23">
        <v>0</v>
      </c>
      <c r="BD128" s="23">
        <v>0</v>
      </c>
      <c r="BE128" s="23">
        <v>0</v>
      </c>
      <c r="BF128" s="23">
        <v>0</v>
      </c>
      <c r="BG128" s="23">
        <v>0</v>
      </c>
      <c r="BH128" s="23">
        <v>0</v>
      </c>
      <c r="BI128" s="23">
        <v>0</v>
      </c>
      <c r="BJ128" s="23">
        <v>0</v>
      </c>
      <c r="BK128" s="23">
        <v>255000000</v>
      </c>
      <c r="BL128" s="23">
        <v>0</v>
      </c>
      <c r="BM128" s="23">
        <v>0</v>
      </c>
      <c r="BN128" s="23">
        <v>0</v>
      </c>
      <c r="BO128" s="23">
        <v>0</v>
      </c>
      <c r="BP128" s="23">
        <v>0</v>
      </c>
      <c r="BQ128" s="23">
        <v>0</v>
      </c>
      <c r="BR128" s="23">
        <v>255000000</v>
      </c>
      <c r="BS128" s="23">
        <v>87413108</v>
      </c>
      <c r="BT128" s="23">
        <v>92410593</v>
      </c>
      <c r="BU128" s="23">
        <v>0</v>
      </c>
      <c r="BV128" s="23">
        <v>0</v>
      </c>
      <c r="BW128" s="23">
        <v>0</v>
      </c>
      <c r="BX128" s="23">
        <v>0</v>
      </c>
      <c r="BY128" s="23">
        <v>0</v>
      </c>
      <c r="BZ128" s="23">
        <v>0</v>
      </c>
      <c r="CA128" s="23">
        <v>75176299</v>
      </c>
      <c r="CB128" s="23">
        <v>0</v>
      </c>
      <c r="CC128" s="23">
        <v>0</v>
      </c>
      <c r="CD128" s="23">
        <v>255000000</v>
      </c>
      <c r="CE128" s="23">
        <f t="shared" si="5"/>
        <v>510000000</v>
      </c>
    </row>
    <row r="129" spans="1:83" ht="15" customHeight="1" x14ac:dyDescent="0.3">
      <c r="A129" s="20" t="s">
        <v>744</v>
      </c>
      <c r="B129" s="20">
        <v>40</v>
      </c>
      <c r="C129" s="20" t="s">
        <v>194</v>
      </c>
      <c r="D129" s="20">
        <v>30010006</v>
      </c>
      <c r="E129" s="20" t="s">
        <v>672</v>
      </c>
      <c r="F129" s="20" t="s">
        <v>679</v>
      </c>
      <c r="G129" s="20" t="s">
        <v>774</v>
      </c>
      <c r="H129" s="29">
        <v>64.2774</v>
      </c>
      <c r="I129" s="30">
        <v>2018</v>
      </c>
      <c r="J129" s="30">
        <v>75</v>
      </c>
      <c r="K129" s="30">
        <v>4003</v>
      </c>
      <c r="L129" s="20" t="s">
        <v>202</v>
      </c>
      <c r="M129" s="30">
        <v>4003018</v>
      </c>
      <c r="N129" s="77" t="s">
        <v>1123</v>
      </c>
      <c r="O129" s="79">
        <v>202500000006544</v>
      </c>
      <c r="P129" s="20" t="s">
        <v>252</v>
      </c>
      <c r="Q129" s="46" t="s">
        <v>846</v>
      </c>
      <c r="R129" s="20" t="s">
        <v>253</v>
      </c>
      <c r="S129" s="20" t="s">
        <v>254</v>
      </c>
      <c r="T129" s="30">
        <v>400301800</v>
      </c>
      <c r="U129" s="20" t="s">
        <v>252</v>
      </c>
      <c r="V129" s="20" t="s">
        <v>18</v>
      </c>
      <c r="W129" s="30">
        <v>6.2</v>
      </c>
      <c r="X129" s="20" t="s">
        <v>23</v>
      </c>
      <c r="Y129" s="22">
        <v>2</v>
      </c>
      <c r="Z129" s="22">
        <v>2</v>
      </c>
      <c r="AA129" s="22">
        <v>0</v>
      </c>
      <c r="AB129" s="22">
        <v>0</v>
      </c>
      <c r="AC129" s="22">
        <v>1</v>
      </c>
      <c r="AD129" s="22">
        <v>1</v>
      </c>
      <c r="AE129" s="22"/>
      <c r="AF129" s="19">
        <f t="shared" si="4"/>
        <v>0</v>
      </c>
      <c r="AG129" s="22" t="s">
        <v>1048</v>
      </c>
      <c r="AH129" s="73" t="s">
        <v>1048</v>
      </c>
      <c r="AI129" s="23">
        <v>0</v>
      </c>
      <c r="AJ129" s="23">
        <v>0</v>
      </c>
      <c r="AK129" s="23">
        <v>0</v>
      </c>
      <c r="AL129" s="23">
        <v>0</v>
      </c>
      <c r="AM129" s="23">
        <v>0</v>
      </c>
      <c r="AN129" s="23">
        <v>0</v>
      </c>
      <c r="AO129" s="23">
        <v>0</v>
      </c>
      <c r="AP129" s="23">
        <v>0</v>
      </c>
      <c r="AQ129" s="23">
        <v>0</v>
      </c>
      <c r="AR129" s="23">
        <v>0</v>
      </c>
      <c r="AS129" s="23">
        <v>0</v>
      </c>
      <c r="AT129" s="23">
        <v>0</v>
      </c>
      <c r="AU129" s="23">
        <v>0</v>
      </c>
      <c r="AV129" s="23">
        <v>0</v>
      </c>
      <c r="AW129" s="23">
        <v>0</v>
      </c>
      <c r="AX129" s="23">
        <v>0</v>
      </c>
      <c r="AY129" s="23">
        <v>0</v>
      </c>
      <c r="AZ129" s="23">
        <v>0</v>
      </c>
      <c r="BA129" s="23">
        <v>0</v>
      </c>
      <c r="BB129" s="23">
        <v>0</v>
      </c>
      <c r="BC129" s="23">
        <v>0</v>
      </c>
      <c r="BD129" s="23">
        <v>0</v>
      </c>
      <c r="BE129" s="23">
        <v>0</v>
      </c>
      <c r="BF129" s="23">
        <v>0</v>
      </c>
      <c r="BG129" s="23">
        <v>0</v>
      </c>
      <c r="BH129" s="23">
        <v>0</v>
      </c>
      <c r="BI129" s="23">
        <v>0</v>
      </c>
      <c r="BJ129" s="23">
        <v>0</v>
      </c>
      <c r="BK129" s="23">
        <v>0</v>
      </c>
      <c r="BL129" s="23">
        <v>0</v>
      </c>
      <c r="BM129" s="23">
        <v>0</v>
      </c>
      <c r="BN129" s="23">
        <v>201487000</v>
      </c>
      <c r="BO129" s="23">
        <v>528513000</v>
      </c>
      <c r="BP129" s="23">
        <v>0</v>
      </c>
      <c r="BQ129" s="23">
        <v>0</v>
      </c>
      <c r="BR129" s="23">
        <v>730000000</v>
      </c>
      <c r="BS129" s="23">
        <v>0</v>
      </c>
      <c r="BT129" s="23">
        <v>0</v>
      </c>
      <c r="BU129" s="23">
        <v>0</v>
      </c>
      <c r="BV129" s="23">
        <v>0</v>
      </c>
      <c r="BW129" s="23">
        <v>0</v>
      </c>
      <c r="BX129" s="23">
        <v>100000000</v>
      </c>
      <c r="BY129" s="23">
        <v>0</v>
      </c>
      <c r="BZ129" s="23">
        <v>0</v>
      </c>
      <c r="CA129" s="23">
        <v>630000000</v>
      </c>
      <c r="CB129" s="23">
        <v>0</v>
      </c>
      <c r="CC129" s="23">
        <v>0</v>
      </c>
      <c r="CD129" s="23">
        <v>730000000</v>
      </c>
      <c r="CE129" s="23">
        <f t="shared" si="5"/>
        <v>1460000000</v>
      </c>
    </row>
    <row r="130" spans="1:83" ht="15" customHeight="1" x14ac:dyDescent="0.3">
      <c r="A130" s="20" t="s">
        <v>744</v>
      </c>
      <c r="B130" s="20">
        <v>40</v>
      </c>
      <c r="C130" s="20" t="s">
        <v>194</v>
      </c>
      <c r="D130" s="20">
        <v>30010006</v>
      </c>
      <c r="E130" s="20" t="s">
        <v>672</v>
      </c>
      <c r="F130" s="20" t="s">
        <v>679</v>
      </c>
      <c r="G130" s="20" t="s">
        <v>774</v>
      </c>
      <c r="H130" s="29">
        <v>64.2774</v>
      </c>
      <c r="I130" s="30">
        <v>2018</v>
      </c>
      <c r="J130" s="30">
        <v>75</v>
      </c>
      <c r="K130" s="30">
        <v>4003</v>
      </c>
      <c r="L130" s="20" t="s">
        <v>202</v>
      </c>
      <c r="M130" s="30">
        <v>4003019</v>
      </c>
      <c r="N130" s="77" t="s">
        <v>1123</v>
      </c>
      <c r="O130" s="79">
        <v>202500000006544</v>
      </c>
      <c r="P130" s="20" t="s">
        <v>255</v>
      </c>
      <c r="Q130" s="46"/>
      <c r="R130" s="20" t="s">
        <v>256</v>
      </c>
      <c r="S130" s="20" t="s">
        <v>254</v>
      </c>
      <c r="T130" s="30">
        <v>400301903</v>
      </c>
      <c r="U130" s="20" t="s">
        <v>257</v>
      </c>
      <c r="V130" s="20" t="s">
        <v>69</v>
      </c>
      <c r="W130" s="30">
        <v>6.2</v>
      </c>
      <c r="X130" s="20" t="s">
        <v>23</v>
      </c>
      <c r="Y130" s="22">
        <v>100</v>
      </c>
      <c r="Z130" s="22">
        <v>600</v>
      </c>
      <c r="AA130" s="22">
        <v>0</v>
      </c>
      <c r="AB130" s="22">
        <v>0</v>
      </c>
      <c r="AC130" s="22">
        <v>0</v>
      </c>
      <c r="AD130" s="22">
        <v>600</v>
      </c>
      <c r="AE130" s="22"/>
      <c r="AF130" s="19">
        <f t="shared" si="4"/>
        <v>0</v>
      </c>
      <c r="AG130" s="22" t="s">
        <v>1048</v>
      </c>
      <c r="AH130" s="73" t="s">
        <v>1048</v>
      </c>
      <c r="AI130" s="23">
        <v>0</v>
      </c>
      <c r="AJ130" s="23">
        <v>0</v>
      </c>
      <c r="AK130" s="23">
        <v>0</v>
      </c>
      <c r="AL130" s="23">
        <v>0</v>
      </c>
      <c r="AM130" s="23">
        <v>0</v>
      </c>
      <c r="AN130" s="23">
        <v>0</v>
      </c>
      <c r="AO130" s="23">
        <v>0</v>
      </c>
      <c r="AP130" s="23">
        <v>0</v>
      </c>
      <c r="AQ130" s="23">
        <v>0</v>
      </c>
      <c r="AR130" s="23">
        <v>0</v>
      </c>
      <c r="AS130" s="23">
        <v>0</v>
      </c>
      <c r="AT130" s="23">
        <v>0</v>
      </c>
      <c r="AU130" s="23">
        <v>0</v>
      </c>
      <c r="AV130" s="23">
        <v>0</v>
      </c>
      <c r="AW130" s="23">
        <v>0</v>
      </c>
      <c r="AX130" s="23">
        <v>0</v>
      </c>
      <c r="AY130" s="23">
        <v>0</v>
      </c>
      <c r="AZ130" s="23">
        <v>0</v>
      </c>
      <c r="BA130" s="23">
        <v>0</v>
      </c>
      <c r="BB130" s="23">
        <v>0</v>
      </c>
      <c r="BC130" s="23">
        <v>0</v>
      </c>
      <c r="BD130" s="23">
        <v>0</v>
      </c>
      <c r="BE130" s="23">
        <v>0</v>
      </c>
      <c r="BF130" s="23">
        <v>0</v>
      </c>
      <c r="BG130" s="23">
        <v>0</v>
      </c>
      <c r="BH130" s="23">
        <v>0</v>
      </c>
      <c r="BI130" s="23">
        <v>0</v>
      </c>
      <c r="BJ130" s="23">
        <v>0</v>
      </c>
      <c r="BK130" s="23">
        <v>0</v>
      </c>
      <c r="BL130" s="23">
        <v>0</v>
      </c>
      <c r="BM130" s="23">
        <v>0</v>
      </c>
      <c r="BN130" s="23">
        <v>0</v>
      </c>
      <c r="BO130" s="23">
        <v>0</v>
      </c>
      <c r="BP130" s="23">
        <v>0</v>
      </c>
      <c r="BQ130" s="23">
        <v>0</v>
      </c>
      <c r="BR130" s="23">
        <v>0</v>
      </c>
      <c r="BS130" s="23">
        <v>0</v>
      </c>
      <c r="BT130" s="23">
        <v>0</v>
      </c>
      <c r="BU130" s="23">
        <v>0</v>
      </c>
      <c r="BV130" s="23">
        <v>0</v>
      </c>
      <c r="BW130" s="23">
        <v>210000000</v>
      </c>
      <c r="BX130" s="23">
        <v>0</v>
      </c>
      <c r="BY130" s="23">
        <v>0</v>
      </c>
      <c r="BZ130" s="23">
        <v>0</v>
      </c>
      <c r="CA130" s="23">
        <v>0</v>
      </c>
      <c r="CB130" s="23">
        <v>0</v>
      </c>
      <c r="CC130" s="23">
        <v>0</v>
      </c>
      <c r="CD130" s="23">
        <v>210000000</v>
      </c>
      <c r="CE130" s="23">
        <f t="shared" si="5"/>
        <v>210000000</v>
      </c>
    </row>
    <row r="131" spans="1:83" ht="15" customHeight="1" x14ac:dyDescent="0.3">
      <c r="A131" s="20" t="s">
        <v>744</v>
      </c>
      <c r="B131" s="20">
        <v>40</v>
      </c>
      <c r="C131" s="20" t="s">
        <v>194</v>
      </c>
      <c r="D131" s="21">
        <v>30010044</v>
      </c>
      <c r="E131" s="21" t="s">
        <v>735</v>
      </c>
      <c r="F131" s="20" t="s">
        <v>504</v>
      </c>
      <c r="G131" s="20" t="s">
        <v>790</v>
      </c>
      <c r="H131" s="29" t="s">
        <v>803</v>
      </c>
      <c r="I131" s="30" t="s">
        <v>803</v>
      </c>
      <c r="J131" s="30">
        <v>10</v>
      </c>
      <c r="K131" s="30">
        <v>4002</v>
      </c>
      <c r="L131" s="20" t="s">
        <v>199</v>
      </c>
      <c r="M131" s="30">
        <v>4002022</v>
      </c>
      <c r="N131" s="77" t="s">
        <v>1126</v>
      </c>
      <c r="O131" s="79">
        <v>202500000009351</v>
      </c>
      <c r="P131" s="20" t="s">
        <v>258</v>
      </c>
      <c r="Q131" s="46"/>
      <c r="R131" s="20"/>
      <c r="S131" s="20" t="s">
        <v>259</v>
      </c>
      <c r="T131" s="30">
        <v>400202200</v>
      </c>
      <c r="U131" s="20" t="s">
        <v>258</v>
      </c>
      <c r="V131" s="20" t="s">
        <v>260</v>
      </c>
      <c r="W131" s="30">
        <v>11.7</v>
      </c>
      <c r="X131" s="20" t="s">
        <v>23</v>
      </c>
      <c r="Y131" s="22">
        <v>750</v>
      </c>
      <c r="Z131" s="22">
        <v>250</v>
      </c>
      <c r="AA131" s="22">
        <v>0</v>
      </c>
      <c r="AB131" s="22">
        <v>250</v>
      </c>
      <c r="AC131" s="22">
        <v>0</v>
      </c>
      <c r="AD131" s="22">
        <v>0</v>
      </c>
      <c r="AE131" s="22"/>
      <c r="AF131" s="19">
        <f t="shared" si="4"/>
        <v>0</v>
      </c>
      <c r="AG131" s="22">
        <v>0</v>
      </c>
      <c r="AH131" s="73">
        <v>0</v>
      </c>
      <c r="AI131" s="23">
        <v>0</v>
      </c>
      <c r="AJ131" s="23">
        <v>0</v>
      </c>
      <c r="AK131" s="23">
        <v>0</v>
      </c>
      <c r="AL131" s="23">
        <v>0</v>
      </c>
      <c r="AM131" s="23">
        <v>0</v>
      </c>
      <c r="AN131" s="23">
        <v>0</v>
      </c>
      <c r="AO131" s="23">
        <v>0</v>
      </c>
      <c r="AP131" s="23">
        <v>0</v>
      </c>
      <c r="AQ131" s="23">
        <v>0</v>
      </c>
      <c r="AR131" s="23">
        <v>0</v>
      </c>
      <c r="AS131" s="23">
        <v>0</v>
      </c>
      <c r="AT131" s="23">
        <v>0</v>
      </c>
      <c r="AU131" s="23">
        <v>52218952</v>
      </c>
      <c r="AV131" s="23">
        <v>0</v>
      </c>
      <c r="AW131" s="23">
        <v>0</v>
      </c>
      <c r="AX131" s="23">
        <v>0</v>
      </c>
      <c r="AY131" s="23">
        <v>0</v>
      </c>
      <c r="AZ131" s="23">
        <v>0</v>
      </c>
      <c r="BA131" s="23">
        <v>0</v>
      </c>
      <c r="BB131" s="23">
        <v>0</v>
      </c>
      <c r="BC131" s="23">
        <v>85281048</v>
      </c>
      <c r="BD131" s="23">
        <v>0</v>
      </c>
      <c r="BE131" s="23">
        <v>0</v>
      </c>
      <c r="BF131" s="23">
        <v>137500000</v>
      </c>
      <c r="BG131" s="23">
        <v>0</v>
      </c>
      <c r="BH131" s="23">
        <v>0</v>
      </c>
      <c r="BI131" s="23">
        <v>0</v>
      </c>
      <c r="BJ131" s="23">
        <v>0</v>
      </c>
      <c r="BK131" s="23">
        <v>0</v>
      </c>
      <c r="BL131" s="23">
        <v>0</v>
      </c>
      <c r="BM131" s="23">
        <v>0</v>
      </c>
      <c r="BN131" s="23">
        <v>0</v>
      </c>
      <c r="BO131" s="23">
        <v>0</v>
      </c>
      <c r="BP131" s="23">
        <v>0</v>
      </c>
      <c r="BQ131" s="23">
        <v>0</v>
      </c>
      <c r="BR131" s="23">
        <v>0</v>
      </c>
      <c r="BS131" s="23">
        <v>0</v>
      </c>
      <c r="BT131" s="23">
        <v>0</v>
      </c>
      <c r="BU131" s="23">
        <v>0</v>
      </c>
      <c r="BV131" s="23">
        <v>0</v>
      </c>
      <c r="BW131" s="23">
        <v>0</v>
      </c>
      <c r="BX131" s="23">
        <v>0</v>
      </c>
      <c r="BY131" s="23">
        <v>0</v>
      </c>
      <c r="BZ131" s="23">
        <v>0</v>
      </c>
      <c r="CA131" s="23">
        <v>0</v>
      </c>
      <c r="CB131" s="23">
        <v>0</v>
      </c>
      <c r="CC131" s="23">
        <v>0</v>
      </c>
      <c r="CD131" s="23">
        <v>0</v>
      </c>
      <c r="CE131" s="23">
        <f t="shared" ref="CE131:CE162" si="6">+CD131+BR131+BF131+AT131</f>
        <v>137500000</v>
      </c>
    </row>
    <row r="132" spans="1:83" ht="15" customHeight="1" x14ac:dyDescent="0.3">
      <c r="A132" s="20" t="s">
        <v>744</v>
      </c>
      <c r="B132" s="20">
        <v>40</v>
      </c>
      <c r="C132" s="20" t="s">
        <v>194</v>
      </c>
      <c r="D132" s="21">
        <v>30010044</v>
      </c>
      <c r="E132" s="21" t="s">
        <v>735</v>
      </c>
      <c r="F132" s="20" t="s">
        <v>504</v>
      </c>
      <c r="G132" s="20" t="s">
        <v>790</v>
      </c>
      <c r="H132" s="29" t="s">
        <v>803</v>
      </c>
      <c r="I132" s="30" t="s">
        <v>803</v>
      </c>
      <c r="J132" s="30">
        <v>10</v>
      </c>
      <c r="K132" s="30">
        <v>4002</v>
      </c>
      <c r="L132" s="20" t="s">
        <v>199</v>
      </c>
      <c r="M132" s="30">
        <v>4002019</v>
      </c>
      <c r="N132" s="77" t="s">
        <v>1126</v>
      </c>
      <c r="O132" s="79">
        <v>202500000009351</v>
      </c>
      <c r="P132" s="20" t="s">
        <v>273</v>
      </c>
      <c r="Q132" s="46" t="s">
        <v>847</v>
      </c>
      <c r="R132" s="20" t="s">
        <v>274</v>
      </c>
      <c r="S132" s="20" t="s">
        <v>275</v>
      </c>
      <c r="T132" s="30">
        <v>400201900</v>
      </c>
      <c r="U132" s="20" t="s">
        <v>273</v>
      </c>
      <c r="V132" s="20" t="s">
        <v>260</v>
      </c>
      <c r="W132" s="30">
        <v>11.7</v>
      </c>
      <c r="X132" s="20" t="s">
        <v>23</v>
      </c>
      <c r="Y132" s="22" t="s">
        <v>636</v>
      </c>
      <c r="Z132" s="22">
        <v>850</v>
      </c>
      <c r="AA132" s="22">
        <v>0</v>
      </c>
      <c r="AB132" s="22">
        <v>850</v>
      </c>
      <c r="AC132" s="22">
        <v>0</v>
      </c>
      <c r="AD132" s="22">
        <v>0</v>
      </c>
      <c r="AE132" s="22"/>
      <c r="AF132" s="19">
        <f t="shared" ref="AF132:AF184" si="7">+AE132/Z132*100</f>
        <v>0</v>
      </c>
      <c r="AG132" s="22">
        <v>0</v>
      </c>
      <c r="AH132" s="73">
        <v>0</v>
      </c>
      <c r="AI132" s="23">
        <v>0</v>
      </c>
      <c r="AJ132" s="23">
        <v>0</v>
      </c>
      <c r="AK132" s="23">
        <v>0</v>
      </c>
      <c r="AL132" s="23">
        <v>0</v>
      </c>
      <c r="AM132" s="23">
        <v>0</v>
      </c>
      <c r="AN132" s="23">
        <v>0</v>
      </c>
      <c r="AO132" s="23">
        <v>0</v>
      </c>
      <c r="AP132" s="23">
        <v>0</v>
      </c>
      <c r="AQ132" s="23">
        <v>0</v>
      </c>
      <c r="AR132" s="23">
        <v>0</v>
      </c>
      <c r="AS132" s="23">
        <v>0</v>
      </c>
      <c r="AT132" s="23">
        <v>0</v>
      </c>
      <c r="AU132" s="23">
        <v>0</v>
      </c>
      <c r="AV132" s="23">
        <v>0</v>
      </c>
      <c r="AW132" s="23">
        <v>0</v>
      </c>
      <c r="AX132" s="23">
        <v>0</v>
      </c>
      <c r="AY132" s="23">
        <v>0</v>
      </c>
      <c r="AZ132" s="23">
        <v>0</v>
      </c>
      <c r="BA132" s="23">
        <v>0</v>
      </c>
      <c r="BB132" s="23">
        <v>84125000</v>
      </c>
      <c r="BC132" s="23">
        <v>145654000</v>
      </c>
      <c r="BD132" s="23">
        <v>0</v>
      </c>
      <c r="BE132" s="23">
        <v>0</v>
      </c>
      <c r="BF132" s="23">
        <v>229779000</v>
      </c>
      <c r="BG132" s="23">
        <v>0</v>
      </c>
      <c r="BH132" s="23">
        <v>0</v>
      </c>
      <c r="BI132" s="23">
        <v>0</v>
      </c>
      <c r="BJ132" s="23">
        <v>0</v>
      </c>
      <c r="BK132" s="23">
        <v>0</v>
      </c>
      <c r="BL132" s="23">
        <v>0</v>
      </c>
      <c r="BM132" s="23">
        <v>0</v>
      </c>
      <c r="BN132" s="23">
        <v>0</v>
      </c>
      <c r="BO132" s="23">
        <v>0</v>
      </c>
      <c r="BP132" s="23">
        <v>0</v>
      </c>
      <c r="BQ132" s="23">
        <v>0</v>
      </c>
      <c r="BR132" s="23">
        <v>0</v>
      </c>
      <c r="BS132" s="23">
        <v>0</v>
      </c>
      <c r="BT132" s="23">
        <v>0</v>
      </c>
      <c r="BU132" s="23">
        <v>0</v>
      </c>
      <c r="BV132" s="23">
        <v>0</v>
      </c>
      <c r="BW132" s="23">
        <v>0</v>
      </c>
      <c r="BX132" s="23">
        <v>0</v>
      </c>
      <c r="BY132" s="23">
        <v>0</v>
      </c>
      <c r="BZ132" s="23">
        <v>0</v>
      </c>
      <c r="CA132" s="23">
        <v>0</v>
      </c>
      <c r="CB132" s="23">
        <v>0</v>
      </c>
      <c r="CC132" s="23">
        <v>0</v>
      </c>
      <c r="CD132" s="23">
        <v>0</v>
      </c>
      <c r="CE132" s="23">
        <f t="shared" si="6"/>
        <v>229779000</v>
      </c>
    </row>
    <row r="133" spans="1:83" ht="15" customHeight="1" x14ac:dyDescent="0.3">
      <c r="A133" s="20" t="s">
        <v>744</v>
      </c>
      <c r="B133" s="20">
        <v>40</v>
      </c>
      <c r="C133" s="20" t="s">
        <v>194</v>
      </c>
      <c r="D133" s="20">
        <v>30010004</v>
      </c>
      <c r="E133" s="20" t="s">
        <v>671</v>
      </c>
      <c r="F133" s="20" t="s">
        <v>679</v>
      </c>
      <c r="G133" s="20" t="s">
        <v>774</v>
      </c>
      <c r="H133" s="29">
        <v>88.578100000000006</v>
      </c>
      <c r="I133" s="30">
        <v>2018</v>
      </c>
      <c r="J133" s="30">
        <v>91</v>
      </c>
      <c r="K133" s="30">
        <v>4003</v>
      </c>
      <c r="L133" s="20" t="s">
        <v>202</v>
      </c>
      <c r="M133" s="30">
        <v>4003042</v>
      </c>
      <c r="N133" s="77" t="s">
        <v>1123</v>
      </c>
      <c r="O133" s="79">
        <v>202500000006544</v>
      </c>
      <c r="P133" s="20" t="s">
        <v>292</v>
      </c>
      <c r="Q133" s="46"/>
      <c r="R133" s="20" t="s">
        <v>293</v>
      </c>
      <c r="S133" s="20" t="s">
        <v>284</v>
      </c>
      <c r="T133" s="30">
        <v>400304200</v>
      </c>
      <c r="U133" s="20" t="s">
        <v>294</v>
      </c>
      <c r="V133" s="20" t="s">
        <v>18</v>
      </c>
      <c r="W133" s="30">
        <v>16.600000000000001</v>
      </c>
      <c r="X133" s="20" t="s">
        <v>23</v>
      </c>
      <c r="Y133" s="22">
        <v>0</v>
      </c>
      <c r="Z133" s="22">
        <v>1</v>
      </c>
      <c r="AA133" s="22">
        <v>0</v>
      </c>
      <c r="AB133" s="22">
        <v>1</v>
      </c>
      <c r="AC133" s="22">
        <v>0</v>
      </c>
      <c r="AD133" s="22">
        <v>0</v>
      </c>
      <c r="AE133" s="22"/>
      <c r="AF133" s="19">
        <f t="shared" si="7"/>
        <v>0</v>
      </c>
      <c r="AG133" s="22">
        <v>1</v>
      </c>
      <c r="AH133" s="73">
        <v>100</v>
      </c>
      <c r="AI133" s="23">
        <v>0</v>
      </c>
      <c r="AJ133" s="23">
        <v>0</v>
      </c>
      <c r="AK133" s="23">
        <v>0</v>
      </c>
      <c r="AL133" s="23">
        <v>0</v>
      </c>
      <c r="AM133" s="23">
        <v>0</v>
      </c>
      <c r="AN133" s="23">
        <v>0</v>
      </c>
      <c r="AO133" s="23">
        <v>0</v>
      </c>
      <c r="AP133" s="23">
        <v>0</v>
      </c>
      <c r="AQ133" s="23">
        <v>0</v>
      </c>
      <c r="AR133" s="23">
        <v>0</v>
      </c>
      <c r="AS133" s="23">
        <v>0</v>
      </c>
      <c r="AT133" s="23">
        <v>0</v>
      </c>
      <c r="AU133" s="23">
        <v>80000000</v>
      </c>
      <c r="AV133" s="23">
        <v>0</v>
      </c>
      <c r="AW133" s="23">
        <v>0</v>
      </c>
      <c r="AX133" s="23">
        <v>0</v>
      </c>
      <c r="AY133" s="23">
        <v>0</v>
      </c>
      <c r="AZ133" s="23">
        <v>0</v>
      </c>
      <c r="BA133" s="23">
        <v>0</v>
      </c>
      <c r="BB133" s="23">
        <v>0</v>
      </c>
      <c r="BC133" s="23">
        <v>0</v>
      </c>
      <c r="BD133" s="23">
        <v>0</v>
      </c>
      <c r="BE133" s="23">
        <v>0</v>
      </c>
      <c r="BF133" s="23">
        <v>80000000</v>
      </c>
      <c r="BG133" s="23">
        <v>0</v>
      </c>
      <c r="BH133" s="23">
        <v>0</v>
      </c>
      <c r="BI133" s="23">
        <v>0</v>
      </c>
      <c r="BJ133" s="23">
        <v>0</v>
      </c>
      <c r="BK133" s="23">
        <v>0</v>
      </c>
      <c r="BL133" s="23">
        <v>0</v>
      </c>
      <c r="BM133" s="23">
        <v>0</v>
      </c>
      <c r="BN133" s="23">
        <v>0</v>
      </c>
      <c r="BO133" s="23">
        <v>0</v>
      </c>
      <c r="BP133" s="23">
        <v>0</v>
      </c>
      <c r="BQ133" s="23">
        <v>0</v>
      </c>
      <c r="BR133" s="23">
        <v>0</v>
      </c>
      <c r="BS133" s="23">
        <v>0</v>
      </c>
      <c r="BT133" s="23">
        <v>0</v>
      </c>
      <c r="BU133" s="23">
        <v>0</v>
      </c>
      <c r="BV133" s="23">
        <v>0</v>
      </c>
      <c r="BW133" s="23">
        <v>0</v>
      </c>
      <c r="BX133" s="23">
        <v>0</v>
      </c>
      <c r="BY133" s="23">
        <v>0</v>
      </c>
      <c r="BZ133" s="23">
        <v>0</v>
      </c>
      <c r="CA133" s="23">
        <v>0</v>
      </c>
      <c r="CB133" s="23">
        <v>0</v>
      </c>
      <c r="CC133" s="23">
        <v>0</v>
      </c>
      <c r="CD133" s="23">
        <v>0</v>
      </c>
      <c r="CE133" s="23">
        <f t="shared" si="6"/>
        <v>80000000</v>
      </c>
    </row>
    <row r="134" spans="1:83" ht="15" customHeight="1" x14ac:dyDescent="0.3">
      <c r="A134" s="20" t="s">
        <v>744</v>
      </c>
      <c r="B134" s="20">
        <v>24</v>
      </c>
      <c r="C134" s="20" t="s">
        <v>130</v>
      </c>
      <c r="D134" s="20">
        <v>120040010</v>
      </c>
      <c r="E134" s="20" t="s">
        <v>680</v>
      </c>
      <c r="F134" s="20" t="s">
        <v>18</v>
      </c>
      <c r="G134" s="20" t="s">
        <v>784</v>
      </c>
      <c r="H134" s="29">
        <v>615</v>
      </c>
      <c r="I134" s="30">
        <v>2014</v>
      </c>
      <c r="J134" s="30">
        <v>680</v>
      </c>
      <c r="K134" s="30">
        <v>2402</v>
      </c>
      <c r="L134" s="20" t="s">
        <v>131</v>
      </c>
      <c r="M134" s="30">
        <v>2402114</v>
      </c>
      <c r="N134" s="77" t="s">
        <v>1124</v>
      </c>
      <c r="O134" s="79">
        <v>202500000009349</v>
      </c>
      <c r="P134" s="20" t="s">
        <v>322</v>
      </c>
      <c r="Q134" s="46"/>
      <c r="R134" s="20" t="s">
        <v>323</v>
      </c>
      <c r="S134" s="20" t="s">
        <v>324</v>
      </c>
      <c r="T134" s="30">
        <v>240211400</v>
      </c>
      <c r="U134" s="20" t="s">
        <v>325</v>
      </c>
      <c r="V134" s="20" t="s">
        <v>136</v>
      </c>
      <c r="W134" s="30">
        <v>9.1</v>
      </c>
      <c r="X134" s="20" t="s">
        <v>23</v>
      </c>
      <c r="Y134" s="22">
        <v>0</v>
      </c>
      <c r="Z134" s="22">
        <v>0.5</v>
      </c>
      <c r="AA134" s="22">
        <v>0</v>
      </c>
      <c r="AB134" s="22">
        <v>0</v>
      </c>
      <c r="AC134" s="22">
        <v>0.5</v>
      </c>
      <c r="AD134" s="22">
        <v>0</v>
      </c>
      <c r="AE134" s="22"/>
      <c r="AF134" s="19">
        <f t="shared" si="7"/>
        <v>0</v>
      </c>
      <c r="AG134" s="22" t="s">
        <v>1048</v>
      </c>
      <c r="AH134" s="73" t="s">
        <v>1048</v>
      </c>
      <c r="AI134" s="23">
        <v>0</v>
      </c>
      <c r="AJ134" s="23">
        <v>0</v>
      </c>
      <c r="AK134" s="23">
        <v>0</v>
      </c>
      <c r="AL134" s="23">
        <v>0</v>
      </c>
      <c r="AM134" s="23">
        <v>0</v>
      </c>
      <c r="AN134" s="23">
        <v>0</v>
      </c>
      <c r="AO134" s="23">
        <v>0</v>
      </c>
      <c r="AP134" s="23">
        <v>0</v>
      </c>
      <c r="AQ134" s="23">
        <v>0</v>
      </c>
      <c r="AR134" s="23">
        <v>0</v>
      </c>
      <c r="AS134" s="23">
        <v>0</v>
      </c>
      <c r="AT134" s="23">
        <v>0</v>
      </c>
      <c r="AU134" s="23">
        <v>0</v>
      </c>
      <c r="AV134" s="23">
        <v>0</v>
      </c>
      <c r="AW134" s="23">
        <v>0</v>
      </c>
      <c r="AX134" s="23">
        <v>0</v>
      </c>
      <c r="AY134" s="23">
        <v>0</v>
      </c>
      <c r="AZ134" s="23">
        <v>0</v>
      </c>
      <c r="BA134" s="23">
        <v>0</v>
      </c>
      <c r="BB134" s="23">
        <v>0</v>
      </c>
      <c r="BC134" s="23">
        <v>0</v>
      </c>
      <c r="BD134" s="23">
        <v>0</v>
      </c>
      <c r="BE134" s="23">
        <v>0</v>
      </c>
      <c r="BF134" s="23">
        <v>0</v>
      </c>
      <c r="BG134" s="23">
        <v>0</v>
      </c>
      <c r="BH134" s="23">
        <v>0</v>
      </c>
      <c r="BI134" s="23">
        <v>0</v>
      </c>
      <c r="BJ134" s="23">
        <v>0</v>
      </c>
      <c r="BK134" s="23">
        <v>0</v>
      </c>
      <c r="BL134" s="23">
        <v>0</v>
      </c>
      <c r="BM134" s="23">
        <v>0</v>
      </c>
      <c r="BN134" s="23">
        <v>201478000</v>
      </c>
      <c r="BO134" s="23">
        <v>201450000</v>
      </c>
      <c r="BP134" s="23">
        <v>0</v>
      </c>
      <c r="BQ134" s="23">
        <v>0</v>
      </c>
      <c r="BR134" s="23">
        <v>402928000</v>
      </c>
      <c r="BS134" s="23">
        <v>0</v>
      </c>
      <c r="BT134" s="23">
        <v>0</v>
      </c>
      <c r="BU134" s="23">
        <v>0</v>
      </c>
      <c r="BV134" s="23">
        <v>0</v>
      </c>
      <c r="BW134" s="23">
        <v>0</v>
      </c>
      <c r="BX134" s="23">
        <v>0</v>
      </c>
      <c r="BY134" s="23">
        <v>0</v>
      </c>
      <c r="BZ134" s="23">
        <v>0</v>
      </c>
      <c r="CA134" s="23">
        <v>0</v>
      </c>
      <c r="CB134" s="23">
        <v>0</v>
      </c>
      <c r="CC134" s="23">
        <v>0</v>
      </c>
      <c r="CD134" s="23">
        <v>0</v>
      </c>
      <c r="CE134" s="23">
        <f t="shared" si="6"/>
        <v>402928000</v>
      </c>
    </row>
    <row r="135" spans="1:83" ht="15" customHeight="1" x14ac:dyDescent="0.3">
      <c r="A135" s="20" t="s">
        <v>744</v>
      </c>
      <c r="B135" s="20">
        <v>40</v>
      </c>
      <c r="C135" s="20" t="s">
        <v>194</v>
      </c>
      <c r="D135" s="20">
        <v>30010004</v>
      </c>
      <c r="E135" s="20" t="s">
        <v>671</v>
      </c>
      <c r="F135" s="20" t="s">
        <v>679</v>
      </c>
      <c r="G135" s="20" t="s">
        <v>774</v>
      </c>
      <c r="H135" s="29">
        <v>88.578100000000006</v>
      </c>
      <c r="I135" s="30">
        <v>2018</v>
      </c>
      <c r="J135" s="30">
        <v>91</v>
      </c>
      <c r="K135" s="30">
        <v>4003</v>
      </c>
      <c r="L135" s="20" t="s">
        <v>202</v>
      </c>
      <c r="M135" s="30">
        <v>4003047</v>
      </c>
      <c r="N135" s="77" t="s">
        <v>1123</v>
      </c>
      <c r="O135" s="79">
        <v>202500000006544</v>
      </c>
      <c r="P135" s="20" t="s">
        <v>357</v>
      </c>
      <c r="Q135" s="46"/>
      <c r="R135" s="20" t="s">
        <v>358</v>
      </c>
      <c r="S135" s="20" t="s">
        <v>205</v>
      </c>
      <c r="T135" s="30">
        <v>400304700</v>
      </c>
      <c r="U135" s="20" t="s">
        <v>359</v>
      </c>
      <c r="V135" s="20" t="s">
        <v>18</v>
      </c>
      <c r="W135" s="30">
        <v>6.4</v>
      </c>
      <c r="X135" s="20" t="s">
        <v>207</v>
      </c>
      <c r="Y135" s="22">
        <v>1490</v>
      </c>
      <c r="Z135" s="22">
        <v>6120</v>
      </c>
      <c r="AA135" s="22">
        <v>1500</v>
      </c>
      <c r="AB135" s="22">
        <v>1520</v>
      </c>
      <c r="AC135" s="22">
        <v>1540</v>
      </c>
      <c r="AD135" s="22">
        <v>1560</v>
      </c>
      <c r="AE135" s="22">
        <v>1562</v>
      </c>
      <c r="AF135" s="19">
        <f t="shared" si="7"/>
        <v>25.522875816993462</v>
      </c>
      <c r="AG135" s="22">
        <v>1520</v>
      </c>
      <c r="AH135" s="73">
        <v>100</v>
      </c>
      <c r="AI135" s="23">
        <v>0</v>
      </c>
      <c r="AJ135" s="23">
        <v>0</v>
      </c>
      <c r="AK135" s="23">
        <v>0</v>
      </c>
      <c r="AL135" s="23">
        <v>0</v>
      </c>
      <c r="AM135" s="23">
        <v>0</v>
      </c>
      <c r="AN135" s="23">
        <v>559977000</v>
      </c>
      <c r="AO135" s="23">
        <v>0</v>
      </c>
      <c r="AP135" s="23">
        <v>0</v>
      </c>
      <c r="AQ135" s="23">
        <v>0</v>
      </c>
      <c r="AR135" s="23">
        <v>0</v>
      </c>
      <c r="AS135" s="23">
        <v>0</v>
      </c>
      <c r="AT135" s="23">
        <v>559977000</v>
      </c>
      <c r="AU135" s="23">
        <v>0</v>
      </c>
      <c r="AV135" s="23">
        <v>0</v>
      </c>
      <c r="AW135" s="23">
        <v>0</v>
      </c>
      <c r="AX135" s="23">
        <v>0</v>
      </c>
      <c r="AY135" s="23">
        <v>0</v>
      </c>
      <c r="AZ135" s="23">
        <v>567443360</v>
      </c>
      <c r="BA135" s="23">
        <v>0</v>
      </c>
      <c r="BB135" s="23">
        <v>0</v>
      </c>
      <c r="BC135" s="23">
        <v>0</v>
      </c>
      <c r="BD135" s="23">
        <v>0</v>
      </c>
      <c r="BE135" s="23">
        <v>0</v>
      </c>
      <c r="BF135" s="23">
        <v>567443360</v>
      </c>
      <c r="BG135" s="23">
        <v>0</v>
      </c>
      <c r="BH135" s="23">
        <v>0</v>
      </c>
      <c r="BI135" s="23">
        <v>0</v>
      </c>
      <c r="BJ135" s="23">
        <v>0</v>
      </c>
      <c r="BK135" s="23">
        <v>0</v>
      </c>
      <c r="BL135" s="23">
        <v>574909720</v>
      </c>
      <c r="BM135" s="23">
        <v>0</v>
      </c>
      <c r="BN135" s="23">
        <v>0</v>
      </c>
      <c r="BO135" s="23">
        <v>0</v>
      </c>
      <c r="BP135" s="23">
        <v>0</v>
      </c>
      <c r="BQ135" s="23">
        <v>0</v>
      </c>
      <c r="BR135" s="23">
        <v>574909720</v>
      </c>
      <c r="BS135" s="23">
        <v>0</v>
      </c>
      <c r="BT135" s="23">
        <v>0</v>
      </c>
      <c r="BU135" s="23">
        <v>0</v>
      </c>
      <c r="BV135" s="23">
        <v>0</v>
      </c>
      <c r="BW135" s="23">
        <v>383465643</v>
      </c>
      <c r="BX135" s="23">
        <v>198910437</v>
      </c>
      <c r="BY135" s="23">
        <v>0</v>
      </c>
      <c r="BZ135" s="23">
        <v>0</v>
      </c>
      <c r="CA135" s="23">
        <v>0</v>
      </c>
      <c r="CB135" s="23">
        <v>0</v>
      </c>
      <c r="CC135" s="23">
        <v>0</v>
      </c>
      <c r="CD135" s="23">
        <v>582376080</v>
      </c>
      <c r="CE135" s="23">
        <f t="shared" si="6"/>
        <v>2284706160</v>
      </c>
    </row>
    <row r="136" spans="1:83" ht="15" customHeight="1" x14ac:dyDescent="0.3">
      <c r="A136" s="20" t="s">
        <v>744</v>
      </c>
      <c r="B136" s="20">
        <v>40</v>
      </c>
      <c r="C136" s="20" t="s">
        <v>194</v>
      </c>
      <c r="D136" s="20">
        <v>30010008</v>
      </c>
      <c r="E136" s="20" t="s">
        <v>673</v>
      </c>
      <c r="F136" s="20" t="s">
        <v>679</v>
      </c>
      <c r="G136" s="20" t="s">
        <v>774</v>
      </c>
      <c r="H136" s="29">
        <v>47.735199999999999</v>
      </c>
      <c r="I136" s="30">
        <v>2018</v>
      </c>
      <c r="J136" s="30">
        <v>40</v>
      </c>
      <c r="K136" s="30">
        <v>4001</v>
      </c>
      <c r="L136" s="20" t="s">
        <v>195</v>
      </c>
      <c r="M136" s="30">
        <v>4001043</v>
      </c>
      <c r="N136" s="77" t="s">
        <v>1125</v>
      </c>
      <c r="O136" s="79">
        <v>202500000006556</v>
      </c>
      <c r="P136" s="20" t="s">
        <v>388</v>
      </c>
      <c r="Q136" s="46"/>
      <c r="R136" s="20" t="s">
        <v>389</v>
      </c>
      <c r="S136" s="20" t="s">
        <v>390</v>
      </c>
      <c r="T136" s="30">
        <v>400104300</v>
      </c>
      <c r="U136" s="20" t="s">
        <v>388</v>
      </c>
      <c r="V136" s="20" t="s">
        <v>18</v>
      </c>
      <c r="W136" s="30">
        <v>11.1</v>
      </c>
      <c r="X136" s="20" t="s">
        <v>23</v>
      </c>
      <c r="Y136" s="22">
        <v>13</v>
      </c>
      <c r="Z136" s="22">
        <v>30</v>
      </c>
      <c r="AA136" s="22">
        <v>0</v>
      </c>
      <c r="AB136" s="22">
        <v>0</v>
      </c>
      <c r="AC136" s="22">
        <v>15</v>
      </c>
      <c r="AD136" s="22">
        <v>15</v>
      </c>
      <c r="AE136" s="22"/>
      <c r="AF136" s="19">
        <f t="shared" si="7"/>
        <v>0</v>
      </c>
      <c r="AG136" s="22" t="s">
        <v>1048</v>
      </c>
      <c r="AH136" s="73" t="s">
        <v>1048</v>
      </c>
      <c r="AI136" s="23">
        <v>0</v>
      </c>
      <c r="AJ136" s="23">
        <v>0</v>
      </c>
      <c r="AK136" s="23">
        <v>0</v>
      </c>
      <c r="AL136" s="23">
        <v>0</v>
      </c>
      <c r="AM136" s="23">
        <v>0</v>
      </c>
      <c r="AN136" s="23">
        <v>0</v>
      </c>
      <c r="AO136" s="23">
        <v>0</v>
      </c>
      <c r="AP136" s="23">
        <v>0</v>
      </c>
      <c r="AQ136" s="23">
        <v>0</v>
      </c>
      <c r="AR136" s="23">
        <v>0</v>
      </c>
      <c r="AS136" s="23">
        <v>0</v>
      </c>
      <c r="AT136" s="23">
        <v>0</v>
      </c>
      <c r="AU136" s="23">
        <v>0</v>
      </c>
      <c r="AV136" s="23">
        <v>0</v>
      </c>
      <c r="AW136" s="23">
        <v>0</v>
      </c>
      <c r="AX136" s="23">
        <v>0</v>
      </c>
      <c r="AY136" s="23">
        <v>0</v>
      </c>
      <c r="AZ136" s="23">
        <v>0</v>
      </c>
      <c r="BA136" s="23">
        <v>0</v>
      </c>
      <c r="BB136" s="23">
        <v>0</v>
      </c>
      <c r="BC136" s="23">
        <v>0</v>
      </c>
      <c r="BD136" s="23">
        <v>0</v>
      </c>
      <c r="BE136" s="23">
        <v>0</v>
      </c>
      <c r="BF136" s="23">
        <v>0</v>
      </c>
      <c r="BG136" s="23">
        <v>0</v>
      </c>
      <c r="BH136" s="23">
        <v>0</v>
      </c>
      <c r="BI136" s="23">
        <v>0</v>
      </c>
      <c r="BJ136" s="23">
        <v>0</v>
      </c>
      <c r="BK136" s="23">
        <v>0</v>
      </c>
      <c r="BL136" s="23">
        <v>0</v>
      </c>
      <c r="BM136" s="23">
        <v>0</v>
      </c>
      <c r="BN136" s="23">
        <v>147900000</v>
      </c>
      <c r="BO136" s="23">
        <v>782100000</v>
      </c>
      <c r="BP136" s="23">
        <v>0</v>
      </c>
      <c r="BQ136" s="23">
        <v>0</v>
      </c>
      <c r="BR136" s="23">
        <v>930000000</v>
      </c>
      <c r="BS136" s="23">
        <v>0</v>
      </c>
      <c r="BT136" s="23">
        <v>0</v>
      </c>
      <c r="BU136" s="23">
        <v>0</v>
      </c>
      <c r="BV136" s="23">
        <v>0</v>
      </c>
      <c r="BW136" s="23">
        <v>0</v>
      </c>
      <c r="BX136" s="23">
        <v>445477800</v>
      </c>
      <c r="BY136" s="23">
        <v>0</v>
      </c>
      <c r="BZ136" s="23">
        <v>0</v>
      </c>
      <c r="CA136" s="23">
        <v>484522200</v>
      </c>
      <c r="CB136" s="23">
        <v>0</v>
      </c>
      <c r="CC136" s="23">
        <v>0</v>
      </c>
      <c r="CD136" s="23">
        <v>930000000</v>
      </c>
      <c r="CE136" s="23">
        <f t="shared" si="6"/>
        <v>1860000000</v>
      </c>
    </row>
    <row r="137" spans="1:83" ht="15" customHeight="1" x14ac:dyDescent="0.3">
      <c r="A137" s="20" t="s">
        <v>744</v>
      </c>
      <c r="B137" s="20">
        <v>40</v>
      </c>
      <c r="C137" s="20" t="s">
        <v>194</v>
      </c>
      <c r="D137" s="20">
        <v>30010009</v>
      </c>
      <c r="E137" s="20" t="s">
        <v>674</v>
      </c>
      <c r="F137" s="20" t="s">
        <v>679</v>
      </c>
      <c r="G137" s="20" t="s">
        <v>774</v>
      </c>
      <c r="H137" s="29">
        <v>3.4843000000000002</v>
      </c>
      <c r="I137" s="30">
        <v>2018</v>
      </c>
      <c r="J137" s="30">
        <v>2</v>
      </c>
      <c r="K137" s="30">
        <v>4001</v>
      </c>
      <c r="L137" s="20" t="s">
        <v>195</v>
      </c>
      <c r="M137" s="30">
        <v>4001044</v>
      </c>
      <c r="N137" s="77" t="s">
        <v>1125</v>
      </c>
      <c r="O137" s="79">
        <v>202500000006556</v>
      </c>
      <c r="P137" s="20" t="s">
        <v>391</v>
      </c>
      <c r="Q137" s="46"/>
      <c r="R137" s="20" t="s">
        <v>392</v>
      </c>
      <c r="S137" s="20" t="s">
        <v>390</v>
      </c>
      <c r="T137" s="30">
        <v>400104400</v>
      </c>
      <c r="U137" s="20" t="s">
        <v>391</v>
      </c>
      <c r="V137" s="20" t="s">
        <v>18</v>
      </c>
      <c r="W137" s="30">
        <v>11.1</v>
      </c>
      <c r="X137" s="20" t="s">
        <v>23</v>
      </c>
      <c r="Y137" s="22">
        <v>78</v>
      </c>
      <c r="Z137" s="22">
        <v>100</v>
      </c>
      <c r="AA137" s="22">
        <v>0</v>
      </c>
      <c r="AB137" s="22">
        <v>0</v>
      </c>
      <c r="AC137" s="22">
        <v>50</v>
      </c>
      <c r="AD137" s="22">
        <v>50</v>
      </c>
      <c r="AE137" s="22"/>
      <c r="AF137" s="19">
        <f t="shared" si="7"/>
        <v>0</v>
      </c>
      <c r="AG137" s="22" t="s">
        <v>1048</v>
      </c>
      <c r="AH137" s="73" t="s">
        <v>1048</v>
      </c>
      <c r="AI137" s="23">
        <v>0</v>
      </c>
      <c r="AJ137" s="23">
        <v>0</v>
      </c>
      <c r="AK137" s="23">
        <v>0</v>
      </c>
      <c r="AL137" s="23">
        <v>0</v>
      </c>
      <c r="AM137" s="23">
        <v>0</v>
      </c>
      <c r="AN137" s="23">
        <v>0</v>
      </c>
      <c r="AO137" s="23">
        <v>0</v>
      </c>
      <c r="AP137" s="23">
        <v>0</v>
      </c>
      <c r="AQ137" s="23">
        <v>0</v>
      </c>
      <c r="AR137" s="23">
        <v>0</v>
      </c>
      <c r="AS137" s="23">
        <v>0</v>
      </c>
      <c r="AT137" s="23">
        <v>0</v>
      </c>
      <c r="AU137" s="23">
        <v>0</v>
      </c>
      <c r="AV137" s="23">
        <v>0</v>
      </c>
      <c r="AW137" s="23">
        <v>0</v>
      </c>
      <c r="AX137" s="23">
        <v>0</v>
      </c>
      <c r="AY137" s="23">
        <v>0</v>
      </c>
      <c r="AZ137" s="23">
        <v>0</v>
      </c>
      <c r="BA137" s="23">
        <v>0</v>
      </c>
      <c r="BB137" s="23">
        <v>0</v>
      </c>
      <c r="BC137" s="23">
        <v>0</v>
      </c>
      <c r="BD137" s="23">
        <v>0</v>
      </c>
      <c r="BE137" s="23">
        <v>0</v>
      </c>
      <c r="BF137" s="23">
        <v>0</v>
      </c>
      <c r="BG137" s="23">
        <v>0</v>
      </c>
      <c r="BH137" s="23">
        <v>0</v>
      </c>
      <c r="BI137" s="23">
        <v>0</v>
      </c>
      <c r="BJ137" s="23">
        <v>0</v>
      </c>
      <c r="BK137" s="23">
        <v>0</v>
      </c>
      <c r="BL137" s="23">
        <v>0</v>
      </c>
      <c r="BM137" s="23">
        <v>0</v>
      </c>
      <c r="BN137" s="23">
        <v>127800000</v>
      </c>
      <c r="BO137" s="23">
        <v>172200000</v>
      </c>
      <c r="BP137" s="23">
        <v>0</v>
      </c>
      <c r="BQ137" s="23">
        <v>0</v>
      </c>
      <c r="BR137" s="23">
        <v>300000000</v>
      </c>
      <c r="BS137" s="23">
        <v>0</v>
      </c>
      <c r="BT137" s="23">
        <v>0</v>
      </c>
      <c r="BU137" s="23">
        <v>0</v>
      </c>
      <c r="BV137" s="23">
        <v>0</v>
      </c>
      <c r="BW137" s="23">
        <v>0</v>
      </c>
      <c r="BX137" s="23">
        <v>100000000</v>
      </c>
      <c r="BY137" s="23">
        <v>0</v>
      </c>
      <c r="BZ137" s="23">
        <v>0</v>
      </c>
      <c r="CA137" s="23">
        <v>200000000</v>
      </c>
      <c r="CB137" s="23">
        <v>0</v>
      </c>
      <c r="CC137" s="23">
        <v>0</v>
      </c>
      <c r="CD137" s="23">
        <v>300000000</v>
      </c>
      <c r="CE137" s="23">
        <f t="shared" si="6"/>
        <v>600000000</v>
      </c>
    </row>
    <row r="138" spans="1:83" ht="15" customHeight="1" x14ac:dyDescent="0.3">
      <c r="A138" s="20" t="s">
        <v>744</v>
      </c>
      <c r="B138" s="20">
        <v>40</v>
      </c>
      <c r="C138" s="20" t="s">
        <v>194</v>
      </c>
      <c r="D138" s="20">
        <v>30010004</v>
      </c>
      <c r="E138" s="20" t="s">
        <v>671</v>
      </c>
      <c r="F138" s="20" t="s">
        <v>679</v>
      </c>
      <c r="G138" s="20" t="s">
        <v>774</v>
      </c>
      <c r="H138" s="29">
        <v>88.578100000000006</v>
      </c>
      <c r="I138" s="30">
        <v>2018</v>
      </c>
      <c r="J138" s="30">
        <v>91</v>
      </c>
      <c r="K138" s="30">
        <v>4003</v>
      </c>
      <c r="L138" s="20" t="s">
        <v>202</v>
      </c>
      <c r="M138" s="30">
        <v>4003006</v>
      </c>
      <c r="N138" s="77" t="s">
        <v>1123</v>
      </c>
      <c r="O138" s="79">
        <v>202500000006544</v>
      </c>
      <c r="P138" s="20" t="s">
        <v>95</v>
      </c>
      <c r="Q138" s="46" t="s">
        <v>900</v>
      </c>
      <c r="R138" s="20" t="s">
        <v>200</v>
      </c>
      <c r="S138" s="20" t="s">
        <v>26</v>
      </c>
      <c r="T138" s="30">
        <v>400300602</v>
      </c>
      <c r="U138" s="20" t="s">
        <v>532</v>
      </c>
      <c r="V138" s="20" t="s">
        <v>18</v>
      </c>
      <c r="W138" s="30">
        <v>6.4</v>
      </c>
      <c r="X138" s="20" t="s">
        <v>207</v>
      </c>
      <c r="Y138" s="22">
        <v>1</v>
      </c>
      <c r="Z138" s="22">
        <v>1</v>
      </c>
      <c r="AA138" s="22">
        <v>0</v>
      </c>
      <c r="AB138" s="22">
        <v>1</v>
      </c>
      <c r="AC138" s="22">
        <v>0</v>
      </c>
      <c r="AD138" s="22">
        <v>0</v>
      </c>
      <c r="AE138" s="22"/>
      <c r="AF138" s="19">
        <f t="shared" si="7"/>
        <v>0</v>
      </c>
      <c r="AG138" s="22">
        <v>1</v>
      </c>
      <c r="AH138" s="73">
        <v>100</v>
      </c>
      <c r="AI138" s="23">
        <v>0</v>
      </c>
      <c r="AJ138" s="23">
        <v>0</v>
      </c>
      <c r="AK138" s="23">
        <v>0</v>
      </c>
      <c r="AL138" s="23">
        <v>0</v>
      </c>
      <c r="AM138" s="23">
        <v>0</v>
      </c>
      <c r="AN138" s="23">
        <v>0</v>
      </c>
      <c r="AO138" s="23">
        <v>0</v>
      </c>
      <c r="AP138" s="23">
        <v>0</v>
      </c>
      <c r="AQ138" s="23">
        <v>0</v>
      </c>
      <c r="AR138" s="23">
        <v>0</v>
      </c>
      <c r="AS138" s="23">
        <v>0</v>
      </c>
      <c r="AT138" s="23">
        <v>0</v>
      </c>
      <c r="AU138" s="23">
        <v>35000000</v>
      </c>
      <c r="AV138" s="23">
        <v>0</v>
      </c>
      <c r="AW138" s="23">
        <v>0</v>
      </c>
      <c r="AX138" s="23">
        <v>0</v>
      </c>
      <c r="AY138" s="23">
        <v>0</v>
      </c>
      <c r="AZ138" s="23">
        <v>0</v>
      </c>
      <c r="BA138" s="23">
        <v>0</v>
      </c>
      <c r="BB138" s="23">
        <v>0</v>
      </c>
      <c r="BC138" s="23">
        <v>0</v>
      </c>
      <c r="BD138" s="23">
        <v>0</v>
      </c>
      <c r="BE138" s="23">
        <v>0</v>
      </c>
      <c r="BF138" s="23">
        <v>35000000</v>
      </c>
      <c r="BG138" s="23">
        <v>0</v>
      </c>
      <c r="BH138" s="23">
        <v>0</v>
      </c>
      <c r="BI138" s="23">
        <v>0</v>
      </c>
      <c r="BJ138" s="23">
        <v>0</v>
      </c>
      <c r="BK138" s="23">
        <v>0</v>
      </c>
      <c r="BL138" s="23">
        <v>0</v>
      </c>
      <c r="BM138" s="23">
        <v>0</v>
      </c>
      <c r="BN138" s="23">
        <v>0</v>
      </c>
      <c r="BO138" s="23">
        <v>0</v>
      </c>
      <c r="BP138" s="23">
        <v>0</v>
      </c>
      <c r="BQ138" s="23">
        <v>0</v>
      </c>
      <c r="BR138" s="23">
        <v>0</v>
      </c>
      <c r="BS138" s="23">
        <v>0</v>
      </c>
      <c r="BT138" s="23">
        <v>0</v>
      </c>
      <c r="BU138" s="23">
        <v>0</v>
      </c>
      <c r="BV138" s="23">
        <v>0</v>
      </c>
      <c r="BW138" s="23">
        <v>0</v>
      </c>
      <c r="BX138" s="23">
        <v>0</v>
      </c>
      <c r="BY138" s="23">
        <v>0</v>
      </c>
      <c r="BZ138" s="23">
        <v>0</v>
      </c>
      <c r="CA138" s="23">
        <v>0</v>
      </c>
      <c r="CB138" s="23">
        <v>0</v>
      </c>
      <c r="CC138" s="23">
        <v>0</v>
      </c>
      <c r="CD138" s="23">
        <v>0</v>
      </c>
      <c r="CE138" s="23">
        <f t="shared" si="6"/>
        <v>35000000</v>
      </c>
    </row>
    <row r="139" spans="1:83" ht="15" customHeight="1" x14ac:dyDescent="0.3">
      <c r="A139" s="20" t="s">
        <v>744</v>
      </c>
      <c r="B139" s="20">
        <v>40</v>
      </c>
      <c r="C139" s="20" t="s">
        <v>194</v>
      </c>
      <c r="D139" s="20">
        <v>30010004</v>
      </c>
      <c r="E139" s="20" t="s">
        <v>671</v>
      </c>
      <c r="F139" s="20" t="s">
        <v>679</v>
      </c>
      <c r="G139" s="20" t="s">
        <v>774</v>
      </c>
      <c r="H139" s="29">
        <v>88.578100000000006</v>
      </c>
      <c r="I139" s="30">
        <v>2018</v>
      </c>
      <c r="J139" s="30">
        <v>91</v>
      </c>
      <c r="K139" s="30">
        <v>4003</v>
      </c>
      <c r="L139" s="20" t="s">
        <v>202</v>
      </c>
      <c r="M139" s="30">
        <v>4003053</v>
      </c>
      <c r="N139" s="77" t="s">
        <v>1123</v>
      </c>
      <c r="O139" s="79">
        <v>202500000006544</v>
      </c>
      <c r="P139" s="20" t="s">
        <v>578</v>
      </c>
      <c r="Q139" s="46"/>
      <c r="R139" s="20" t="s">
        <v>579</v>
      </c>
      <c r="S139" s="20" t="s">
        <v>580</v>
      </c>
      <c r="T139" s="30">
        <v>400305300</v>
      </c>
      <c r="U139" s="20" t="s">
        <v>581</v>
      </c>
      <c r="V139" s="20" t="s">
        <v>18</v>
      </c>
      <c r="W139" s="30">
        <v>6.1</v>
      </c>
      <c r="X139" s="20" t="s">
        <v>23</v>
      </c>
      <c r="Y139" s="22">
        <v>0</v>
      </c>
      <c r="Z139" s="22">
        <v>30</v>
      </c>
      <c r="AA139" s="22">
        <v>0</v>
      </c>
      <c r="AB139" s="22">
        <v>0</v>
      </c>
      <c r="AC139" s="22">
        <v>30</v>
      </c>
      <c r="AD139" s="22">
        <v>0</v>
      </c>
      <c r="AE139" s="22"/>
      <c r="AF139" s="19">
        <f t="shared" si="7"/>
        <v>0</v>
      </c>
      <c r="AG139" s="22" t="s">
        <v>1048</v>
      </c>
      <c r="AH139" s="73" t="s">
        <v>1048</v>
      </c>
      <c r="AI139" s="23">
        <v>0</v>
      </c>
      <c r="AJ139" s="23">
        <v>0</v>
      </c>
      <c r="AK139" s="23">
        <v>0</v>
      </c>
      <c r="AL139" s="23">
        <v>0</v>
      </c>
      <c r="AM139" s="23">
        <v>0</v>
      </c>
      <c r="AN139" s="23">
        <v>0</v>
      </c>
      <c r="AO139" s="23">
        <v>0</v>
      </c>
      <c r="AP139" s="23">
        <v>0</v>
      </c>
      <c r="AQ139" s="23">
        <v>0</v>
      </c>
      <c r="AR139" s="23">
        <v>0</v>
      </c>
      <c r="AS139" s="23">
        <v>0</v>
      </c>
      <c r="AT139" s="23">
        <v>0</v>
      </c>
      <c r="AU139" s="23">
        <v>0</v>
      </c>
      <c r="AV139" s="23">
        <v>0</v>
      </c>
      <c r="AW139" s="23">
        <v>0</v>
      </c>
      <c r="AX139" s="23">
        <v>0</v>
      </c>
      <c r="AY139" s="23">
        <v>0</v>
      </c>
      <c r="AZ139" s="23">
        <v>0</v>
      </c>
      <c r="BA139" s="23">
        <v>0</v>
      </c>
      <c r="BB139" s="23">
        <v>0</v>
      </c>
      <c r="BC139" s="23">
        <v>0</v>
      </c>
      <c r="BD139" s="23">
        <v>0</v>
      </c>
      <c r="BE139" s="23">
        <v>0</v>
      </c>
      <c r="BF139" s="23">
        <v>0</v>
      </c>
      <c r="BG139" s="23">
        <v>0</v>
      </c>
      <c r="BH139" s="23">
        <v>0</v>
      </c>
      <c r="BI139" s="23">
        <v>0</v>
      </c>
      <c r="BJ139" s="23">
        <v>0</v>
      </c>
      <c r="BK139" s="23">
        <v>0</v>
      </c>
      <c r="BL139" s="23">
        <v>49500000</v>
      </c>
      <c r="BM139" s="23">
        <v>0</v>
      </c>
      <c r="BN139" s="23">
        <v>0</v>
      </c>
      <c r="BO139" s="23">
        <v>0</v>
      </c>
      <c r="BP139" s="23">
        <v>0</v>
      </c>
      <c r="BQ139" s="23">
        <v>0</v>
      </c>
      <c r="BR139" s="23">
        <v>49500000</v>
      </c>
      <c r="BS139" s="23">
        <v>0</v>
      </c>
      <c r="BT139" s="23">
        <v>0</v>
      </c>
      <c r="BU139" s="23">
        <v>0</v>
      </c>
      <c r="BV139" s="23">
        <v>0</v>
      </c>
      <c r="BW139" s="23">
        <v>0</v>
      </c>
      <c r="BX139" s="23">
        <v>0</v>
      </c>
      <c r="BY139" s="23">
        <v>0</v>
      </c>
      <c r="BZ139" s="23">
        <v>0</v>
      </c>
      <c r="CA139" s="23">
        <v>0</v>
      </c>
      <c r="CB139" s="23">
        <v>0</v>
      </c>
      <c r="CC139" s="23">
        <v>0</v>
      </c>
      <c r="CD139" s="23">
        <v>0</v>
      </c>
      <c r="CE139" s="23">
        <f t="shared" si="6"/>
        <v>49500000</v>
      </c>
    </row>
    <row r="140" spans="1:83" ht="15" customHeight="1" x14ac:dyDescent="0.3">
      <c r="A140" s="20" t="s">
        <v>744</v>
      </c>
      <c r="B140" s="20">
        <v>45</v>
      </c>
      <c r="C140" s="20" t="s">
        <v>393</v>
      </c>
      <c r="D140" s="24">
        <v>20100040</v>
      </c>
      <c r="E140" s="20" t="s">
        <v>763</v>
      </c>
      <c r="F140" s="20" t="s">
        <v>719</v>
      </c>
      <c r="G140" s="20" t="s">
        <v>780</v>
      </c>
      <c r="H140" s="29">
        <v>0</v>
      </c>
      <c r="I140" s="30">
        <v>2021</v>
      </c>
      <c r="J140" s="30">
        <v>0</v>
      </c>
      <c r="K140" s="30">
        <v>4502</v>
      </c>
      <c r="L140" s="20" t="s">
        <v>399</v>
      </c>
      <c r="M140" s="30">
        <v>4502002</v>
      </c>
      <c r="N140" s="77" t="s">
        <v>1127</v>
      </c>
      <c r="O140" s="79">
        <v>202500000009352</v>
      </c>
      <c r="P140" s="16" t="s">
        <v>403</v>
      </c>
      <c r="Q140" s="46"/>
      <c r="R140" s="20" t="s">
        <v>404</v>
      </c>
      <c r="S140" s="20" t="s">
        <v>405</v>
      </c>
      <c r="T140" s="30">
        <v>450200200</v>
      </c>
      <c r="U140" s="20" t="s">
        <v>406</v>
      </c>
      <c r="V140" s="20" t="s">
        <v>18</v>
      </c>
      <c r="W140" s="30">
        <v>16.7</v>
      </c>
      <c r="X140" s="20" t="s">
        <v>23</v>
      </c>
      <c r="Y140" s="22">
        <v>4</v>
      </c>
      <c r="Z140" s="22">
        <v>2</v>
      </c>
      <c r="AA140" s="22">
        <v>0</v>
      </c>
      <c r="AB140" s="22">
        <v>0</v>
      </c>
      <c r="AC140" s="22">
        <v>2</v>
      </c>
      <c r="AD140" s="22">
        <v>0</v>
      </c>
      <c r="AE140" s="22"/>
      <c r="AF140" s="19">
        <f t="shared" si="7"/>
        <v>0</v>
      </c>
      <c r="AG140" s="22" t="s">
        <v>1048</v>
      </c>
      <c r="AH140" s="73" t="s">
        <v>1048</v>
      </c>
      <c r="AI140" s="23">
        <v>0</v>
      </c>
      <c r="AJ140" s="23">
        <v>0</v>
      </c>
      <c r="AK140" s="23">
        <v>0</v>
      </c>
      <c r="AL140" s="23">
        <v>0</v>
      </c>
      <c r="AM140" s="23">
        <v>0</v>
      </c>
      <c r="AN140" s="23">
        <v>0</v>
      </c>
      <c r="AO140" s="23">
        <v>0</v>
      </c>
      <c r="AP140" s="23">
        <v>0</v>
      </c>
      <c r="AQ140" s="23">
        <v>0</v>
      </c>
      <c r="AR140" s="23">
        <v>0</v>
      </c>
      <c r="AS140" s="23">
        <v>0</v>
      </c>
      <c r="AT140" s="23">
        <v>0</v>
      </c>
      <c r="AU140" s="23">
        <v>0</v>
      </c>
      <c r="AV140" s="23">
        <v>0</v>
      </c>
      <c r="AW140" s="23">
        <v>0</v>
      </c>
      <c r="AX140" s="23">
        <v>0</v>
      </c>
      <c r="AY140" s="23">
        <v>0</v>
      </c>
      <c r="AZ140" s="23">
        <v>0</v>
      </c>
      <c r="BA140" s="23">
        <v>0</v>
      </c>
      <c r="BB140" s="23">
        <v>0</v>
      </c>
      <c r="BC140" s="23">
        <v>0</v>
      </c>
      <c r="BD140" s="23">
        <v>0</v>
      </c>
      <c r="BE140" s="23">
        <v>0</v>
      </c>
      <c r="BF140" s="23">
        <v>0</v>
      </c>
      <c r="BG140" s="23">
        <v>0</v>
      </c>
      <c r="BH140" s="23">
        <v>0</v>
      </c>
      <c r="BI140" s="23">
        <v>0</v>
      </c>
      <c r="BJ140" s="23">
        <v>0</v>
      </c>
      <c r="BK140" s="23">
        <v>0</v>
      </c>
      <c r="BL140" s="23">
        <v>17500000</v>
      </c>
      <c r="BM140" s="23">
        <v>0</v>
      </c>
      <c r="BN140" s="23">
        <v>0</v>
      </c>
      <c r="BO140" s="23">
        <v>332500000</v>
      </c>
      <c r="BP140" s="23">
        <v>0</v>
      </c>
      <c r="BQ140" s="23">
        <v>0</v>
      </c>
      <c r="BR140" s="23">
        <v>350000000</v>
      </c>
      <c r="BS140" s="23">
        <v>0</v>
      </c>
      <c r="BT140" s="23">
        <v>0</v>
      </c>
      <c r="BU140" s="23">
        <v>0</v>
      </c>
      <c r="BV140" s="23">
        <v>0</v>
      </c>
      <c r="BW140" s="23">
        <v>0</v>
      </c>
      <c r="BX140" s="23">
        <v>0</v>
      </c>
      <c r="BY140" s="23">
        <v>0</v>
      </c>
      <c r="BZ140" s="23">
        <v>0</v>
      </c>
      <c r="CA140" s="23">
        <v>0</v>
      </c>
      <c r="CB140" s="23">
        <v>0</v>
      </c>
      <c r="CC140" s="23">
        <v>0</v>
      </c>
      <c r="CD140" s="23">
        <v>0</v>
      </c>
      <c r="CE140" s="23">
        <f t="shared" si="6"/>
        <v>350000000</v>
      </c>
    </row>
    <row r="141" spans="1:83" ht="15" customHeight="1" x14ac:dyDescent="0.3">
      <c r="A141" s="20" t="s">
        <v>744</v>
      </c>
      <c r="B141" s="20">
        <v>45</v>
      </c>
      <c r="C141" s="20" t="s">
        <v>393</v>
      </c>
      <c r="D141" s="24">
        <v>20100040</v>
      </c>
      <c r="E141" s="20" t="s">
        <v>763</v>
      </c>
      <c r="F141" s="20" t="s">
        <v>719</v>
      </c>
      <c r="G141" s="20" t="s">
        <v>780</v>
      </c>
      <c r="H141" s="29">
        <v>0</v>
      </c>
      <c r="I141" s="30">
        <v>2021</v>
      </c>
      <c r="J141" s="30">
        <v>0</v>
      </c>
      <c r="K141" s="30">
        <v>4502</v>
      </c>
      <c r="L141" s="20" t="s">
        <v>399</v>
      </c>
      <c r="M141" s="30">
        <v>4502003</v>
      </c>
      <c r="N141" s="77" t="s">
        <v>1127</v>
      </c>
      <c r="O141" s="79">
        <v>202500000009352</v>
      </c>
      <c r="P141" s="16" t="s">
        <v>407</v>
      </c>
      <c r="Q141" s="46"/>
      <c r="R141" s="20" t="s">
        <v>408</v>
      </c>
      <c r="S141" s="20" t="s">
        <v>405</v>
      </c>
      <c r="T141" s="30">
        <v>450200300</v>
      </c>
      <c r="U141" s="20" t="s">
        <v>409</v>
      </c>
      <c r="V141" s="20" t="s">
        <v>18</v>
      </c>
      <c r="W141" s="30">
        <v>16.7</v>
      </c>
      <c r="X141" s="20" t="s">
        <v>23</v>
      </c>
      <c r="Y141" s="22">
        <v>4</v>
      </c>
      <c r="Z141" s="22">
        <v>4</v>
      </c>
      <c r="AA141" s="22">
        <v>0</v>
      </c>
      <c r="AB141" s="22">
        <v>0</v>
      </c>
      <c r="AC141" s="22">
        <v>2</v>
      </c>
      <c r="AD141" s="22">
        <v>2</v>
      </c>
      <c r="AE141" s="22"/>
      <c r="AF141" s="19">
        <f t="shared" si="7"/>
        <v>0</v>
      </c>
      <c r="AG141" s="22" t="s">
        <v>1048</v>
      </c>
      <c r="AH141" s="73" t="s">
        <v>1048</v>
      </c>
      <c r="AI141" s="23">
        <v>0</v>
      </c>
      <c r="AJ141" s="23">
        <v>0</v>
      </c>
      <c r="AK141" s="23">
        <v>0</v>
      </c>
      <c r="AL141" s="23">
        <v>0</v>
      </c>
      <c r="AM141" s="23">
        <v>0</v>
      </c>
      <c r="AN141" s="23">
        <v>0</v>
      </c>
      <c r="AO141" s="23">
        <v>0</v>
      </c>
      <c r="AP141" s="23">
        <v>0</v>
      </c>
      <c r="AQ141" s="23">
        <v>0</v>
      </c>
      <c r="AR141" s="23">
        <v>0</v>
      </c>
      <c r="AS141" s="23">
        <v>0</v>
      </c>
      <c r="AT141" s="23">
        <v>0</v>
      </c>
      <c r="AU141" s="23">
        <v>0</v>
      </c>
      <c r="AV141" s="23">
        <v>0</v>
      </c>
      <c r="AW141" s="23">
        <v>0</v>
      </c>
      <c r="AX141" s="23">
        <v>0</v>
      </c>
      <c r="AY141" s="23">
        <v>0</v>
      </c>
      <c r="AZ141" s="23">
        <v>0</v>
      </c>
      <c r="BA141" s="23">
        <v>0</v>
      </c>
      <c r="BB141" s="23">
        <v>0</v>
      </c>
      <c r="BC141" s="23">
        <v>0</v>
      </c>
      <c r="BD141" s="23">
        <v>0</v>
      </c>
      <c r="BE141" s="23">
        <v>0</v>
      </c>
      <c r="BF141" s="23">
        <v>0</v>
      </c>
      <c r="BG141" s="23">
        <v>0</v>
      </c>
      <c r="BH141" s="23">
        <v>0</v>
      </c>
      <c r="BI141" s="23">
        <v>0</v>
      </c>
      <c r="BJ141" s="23">
        <v>0</v>
      </c>
      <c r="BK141" s="23">
        <v>0</v>
      </c>
      <c r="BL141" s="23">
        <v>14500000</v>
      </c>
      <c r="BM141" s="23">
        <v>0</v>
      </c>
      <c r="BN141" s="23">
        <v>0</v>
      </c>
      <c r="BO141" s="23">
        <v>0</v>
      </c>
      <c r="BP141" s="23">
        <v>0</v>
      </c>
      <c r="BQ141" s="23">
        <v>0</v>
      </c>
      <c r="BR141" s="23">
        <v>14500000</v>
      </c>
      <c r="BS141" s="23">
        <v>0</v>
      </c>
      <c r="BT141" s="23">
        <v>0</v>
      </c>
      <c r="BU141" s="23">
        <v>0</v>
      </c>
      <c r="BV141" s="23">
        <v>0</v>
      </c>
      <c r="BW141" s="23">
        <v>0</v>
      </c>
      <c r="BX141" s="23">
        <v>14500000</v>
      </c>
      <c r="BY141" s="23">
        <v>0</v>
      </c>
      <c r="BZ141" s="23">
        <v>0</v>
      </c>
      <c r="CA141" s="23">
        <v>0</v>
      </c>
      <c r="CB141" s="23">
        <v>0</v>
      </c>
      <c r="CC141" s="23">
        <v>0</v>
      </c>
      <c r="CD141" s="23">
        <v>14500000</v>
      </c>
      <c r="CE141" s="23">
        <f t="shared" si="6"/>
        <v>29000000</v>
      </c>
    </row>
    <row r="142" spans="1:83" ht="15" customHeight="1" x14ac:dyDescent="0.3">
      <c r="A142" s="20" t="s">
        <v>744</v>
      </c>
      <c r="B142" s="20">
        <v>45</v>
      </c>
      <c r="C142" s="20" t="s">
        <v>393</v>
      </c>
      <c r="D142" s="20">
        <v>110070002</v>
      </c>
      <c r="E142" s="20" t="s">
        <v>733</v>
      </c>
      <c r="F142" s="20" t="s">
        <v>734</v>
      </c>
      <c r="G142" s="20" t="s">
        <v>791</v>
      </c>
      <c r="H142" s="29">
        <v>0</v>
      </c>
      <c r="I142" s="30">
        <v>2020</v>
      </c>
      <c r="J142" s="30">
        <v>88000</v>
      </c>
      <c r="K142" s="30">
        <v>4503</v>
      </c>
      <c r="L142" s="20" t="s">
        <v>413</v>
      </c>
      <c r="M142" s="30">
        <v>4503022</v>
      </c>
      <c r="N142" s="77" t="s">
        <v>1128</v>
      </c>
      <c r="O142" s="79">
        <v>202500000002032</v>
      </c>
      <c r="P142" s="16" t="s">
        <v>422</v>
      </c>
      <c r="Q142" s="46"/>
      <c r="R142" s="20" t="s">
        <v>423</v>
      </c>
      <c r="S142" s="20" t="s">
        <v>424</v>
      </c>
      <c r="T142" s="30">
        <v>450302200</v>
      </c>
      <c r="U142" s="20" t="s">
        <v>425</v>
      </c>
      <c r="V142" s="20" t="s">
        <v>18</v>
      </c>
      <c r="W142" s="30">
        <v>13.1</v>
      </c>
      <c r="X142" s="20" t="s">
        <v>23</v>
      </c>
      <c r="Y142" s="22">
        <v>0</v>
      </c>
      <c r="Z142" s="22">
        <v>3</v>
      </c>
      <c r="AA142" s="22">
        <v>0</v>
      </c>
      <c r="AB142" s="22">
        <v>0</v>
      </c>
      <c r="AC142" s="22">
        <v>1</v>
      </c>
      <c r="AD142" s="22">
        <v>2</v>
      </c>
      <c r="AE142" s="22"/>
      <c r="AF142" s="19">
        <f t="shared" si="7"/>
        <v>0</v>
      </c>
      <c r="AG142" s="22" t="s">
        <v>1048</v>
      </c>
      <c r="AH142" s="73" t="s">
        <v>1048</v>
      </c>
      <c r="AI142" s="23">
        <v>0</v>
      </c>
      <c r="AJ142" s="23">
        <v>0</v>
      </c>
      <c r="AK142" s="23">
        <v>0</v>
      </c>
      <c r="AL142" s="23">
        <v>0</v>
      </c>
      <c r="AM142" s="23">
        <v>0</v>
      </c>
      <c r="AN142" s="23">
        <v>0</v>
      </c>
      <c r="AO142" s="23">
        <v>0</v>
      </c>
      <c r="AP142" s="23">
        <v>0</v>
      </c>
      <c r="AQ142" s="23">
        <v>0</v>
      </c>
      <c r="AR142" s="23">
        <v>0</v>
      </c>
      <c r="AS142" s="23">
        <v>0</v>
      </c>
      <c r="AT142" s="23">
        <v>0</v>
      </c>
      <c r="AU142" s="23">
        <v>0</v>
      </c>
      <c r="AV142" s="23">
        <v>0</v>
      </c>
      <c r="AW142" s="23">
        <v>0</v>
      </c>
      <c r="AX142" s="23">
        <v>0</v>
      </c>
      <c r="AY142" s="23">
        <v>0</v>
      </c>
      <c r="AZ142" s="23">
        <v>0</v>
      </c>
      <c r="BA142" s="23">
        <v>0</v>
      </c>
      <c r="BB142" s="23">
        <v>0</v>
      </c>
      <c r="BC142" s="23">
        <v>0</v>
      </c>
      <c r="BD142" s="23">
        <v>0</v>
      </c>
      <c r="BE142" s="23">
        <v>0</v>
      </c>
      <c r="BF142" s="23">
        <v>0</v>
      </c>
      <c r="BG142" s="23">
        <v>0</v>
      </c>
      <c r="BH142" s="23">
        <v>0</v>
      </c>
      <c r="BI142" s="23">
        <v>0</v>
      </c>
      <c r="BJ142" s="23">
        <v>0</v>
      </c>
      <c r="BK142" s="23">
        <v>0</v>
      </c>
      <c r="BL142" s="23">
        <v>25000000</v>
      </c>
      <c r="BM142" s="23">
        <v>0</v>
      </c>
      <c r="BN142" s="23">
        <v>0</v>
      </c>
      <c r="BO142" s="23">
        <v>0</v>
      </c>
      <c r="BP142" s="23">
        <v>0</v>
      </c>
      <c r="BQ142" s="23">
        <v>0</v>
      </c>
      <c r="BR142" s="23">
        <v>25000000</v>
      </c>
      <c r="BS142" s="23">
        <v>50000000</v>
      </c>
      <c r="BT142" s="23">
        <v>0</v>
      </c>
      <c r="BU142" s="23">
        <v>0</v>
      </c>
      <c r="BV142" s="23">
        <v>0</v>
      </c>
      <c r="BW142" s="23">
        <v>0</v>
      </c>
      <c r="BX142" s="23">
        <v>0</v>
      </c>
      <c r="BY142" s="23">
        <v>0</v>
      </c>
      <c r="BZ142" s="23">
        <v>0</v>
      </c>
      <c r="CA142" s="23">
        <v>0</v>
      </c>
      <c r="CB142" s="23">
        <v>0</v>
      </c>
      <c r="CC142" s="23">
        <v>0</v>
      </c>
      <c r="CD142" s="23">
        <v>50000000</v>
      </c>
      <c r="CE142" s="23">
        <f t="shared" si="6"/>
        <v>75000000</v>
      </c>
    </row>
    <row r="143" spans="1:83" ht="15" customHeight="1" x14ac:dyDescent="0.3">
      <c r="A143" s="20" t="s">
        <v>744</v>
      </c>
      <c r="B143" s="20">
        <v>45</v>
      </c>
      <c r="C143" s="20" t="s">
        <v>393</v>
      </c>
      <c r="D143" s="20">
        <v>80010008</v>
      </c>
      <c r="E143" s="20" t="s">
        <v>723</v>
      </c>
      <c r="F143" s="20" t="s">
        <v>719</v>
      </c>
      <c r="G143" s="20" t="s">
        <v>777</v>
      </c>
      <c r="H143" s="29">
        <v>55.990099999999998</v>
      </c>
      <c r="I143" s="30">
        <v>2022</v>
      </c>
      <c r="J143" s="30">
        <v>75</v>
      </c>
      <c r="K143" s="30">
        <v>4599</v>
      </c>
      <c r="L143" s="20" t="s">
        <v>427</v>
      </c>
      <c r="M143" s="30">
        <v>4599009</v>
      </c>
      <c r="N143" s="77" t="s">
        <v>1129</v>
      </c>
      <c r="O143" s="79">
        <v>202500000002025</v>
      </c>
      <c r="P143" s="16" t="s">
        <v>432</v>
      </c>
      <c r="Q143" s="46" t="s">
        <v>848</v>
      </c>
      <c r="R143" s="20" t="s">
        <v>433</v>
      </c>
      <c r="S143" s="20" t="s">
        <v>318</v>
      </c>
      <c r="T143" s="30">
        <v>459900900</v>
      </c>
      <c r="U143" s="20" t="s">
        <v>432</v>
      </c>
      <c r="V143" s="20" t="s">
        <v>18</v>
      </c>
      <c r="W143" s="30">
        <v>16.600000000000001</v>
      </c>
      <c r="X143" s="20" t="s">
        <v>23</v>
      </c>
      <c r="Y143" s="22">
        <v>0</v>
      </c>
      <c r="Z143" s="22">
        <v>1</v>
      </c>
      <c r="AA143" s="22">
        <v>0</v>
      </c>
      <c r="AB143" s="22">
        <v>0</v>
      </c>
      <c r="AC143" s="22">
        <v>0</v>
      </c>
      <c r="AD143" s="22">
        <v>1</v>
      </c>
      <c r="AE143" s="22"/>
      <c r="AF143" s="19">
        <f t="shared" si="7"/>
        <v>0</v>
      </c>
      <c r="AG143" s="22" t="s">
        <v>1048</v>
      </c>
      <c r="AH143" s="73" t="s">
        <v>1048</v>
      </c>
      <c r="AI143" s="23">
        <v>0</v>
      </c>
      <c r="AJ143" s="23">
        <v>0</v>
      </c>
      <c r="AK143" s="23">
        <v>0</v>
      </c>
      <c r="AL143" s="23">
        <v>0</v>
      </c>
      <c r="AM143" s="23">
        <v>0</v>
      </c>
      <c r="AN143" s="23">
        <v>0</v>
      </c>
      <c r="AO143" s="23">
        <v>0</v>
      </c>
      <c r="AP143" s="23">
        <v>0</v>
      </c>
      <c r="AQ143" s="23">
        <v>0</v>
      </c>
      <c r="AR143" s="23">
        <v>0</v>
      </c>
      <c r="AS143" s="23">
        <v>0</v>
      </c>
      <c r="AT143" s="23">
        <v>0</v>
      </c>
      <c r="AU143" s="23">
        <v>0</v>
      </c>
      <c r="AV143" s="23">
        <v>0</v>
      </c>
      <c r="AW143" s="23">
        <v>0</v>
      </c>
      <c r="AX143" s="23">
        <v>0</v>
      </c>
      <c r="AY143" s="23">
        <v>0</v>
      </c>
      <c r="AZ143" s="23">
        <v>0</v>
      </c>
      <c r="BA143" s="23">
        <v>0</v>
      </c>
      <c r="BB143" s="23">
        <v>0</v>
      </c>
      <c r="BC143" s="23">
        <v>0</v>
      </c>
      <c r="BD143" s="23">
        <v>0</v>
      </c>
      <c r="BE143" s="23">
        <v>0</v>
      </c>
      <c r="BF143" s="23">
        <v>0</v>
      </c>
      <c r="BG143" s="23">
        <v>0</v>
      </c>
      <c r="BH143" s="23">
        <v>0</v>
      </c>
      <c r="BI143" s="23">
        <v>0</v>
      </c>
      <c r="BJ143" s="23">
        <v>0</v>
      </c>
      <c r="BK143" s="23">
        <v>0</v>
      </c>
      <c r="BL143" s="23">
        <v>0</v>
      </c>
      <c r="BM143" s="23">
        <v>0</v>
      </c>
      <c r="BN143" s="23">
        <v>0</v>
      </c>
      <c r="BO143" s="23">
        <v>0</v>
      </c>
      <c r="BP143" s="23">
        <v>0</v>
      </c>
      <c r="BQ143" s="23">
        <v>0</v>
      </c>
      <c r="BR143" s="23">
        <v>0</v>
      </c>
      <c r="BS143" s="23">
        <v>210000000</v>
      </c>
      <c r="BT143" s="23">
        <v>0</v>
      </c>
      <c r="BU143" s="23">
        <v>0</v>
      </c>
      <c r="BV143" s="23">
        <v>0</v>
      </c>
      <c r="BW143" s="23">
        <v>0</v>
      </c>
      <c r="BX143" s="23">
        <v>0</v>
      </c>
      <c r="BY143" s="23">
        <v>0</v>
      </c>
      <c r="BZ143" s="23">
        <v>0</v>
      </c>
      <c r="CA143" s="23">
        <v>550000000</v>
      </c>
      <c r="CB143" s="23">
        <v>0</v>
      </c>
      <c r="CC143" s="23">
        <v>0</v>
      </c>
      <c r="CD143" s="23">
        <v>760000000</v>
      </c>
      <c r="CE143" s="23">
        <f t="shared" si="6"/>
        <v>760000000</v>
      </c>
    </row>
    <row r="144" spans="1:83" ht="15" customHeight="1" x14ac:dyDescent="0.3">
      <c r="A144" s="20" t="s">
        <v>744</v>
      </c>
      <c r="B144" s="20">
        <v>45</v>
      </c>
      <c r="C144" s="20" t="s">
        <v>393</v>
      </c>
      <c r="D144" s="20">
        <v>80010008</v>
      </c>
      <c r="E144" s="20" t="s">
        <v>723</v>
      </c>
      <c r="F144" s="20" t="s">
        <v>719</v>
      </c>
      <c r="G144" s="20" t="s">
        <v>777</v>
      </c>
      <c r="H144" s="29">
        <v>55.990099999999998</v>
      </c>
      <c r="I144" s="30">
        <v>2022</v>
      </c>
      <c r="J144" s="30">
        <v>75</v>
      </c>
      <c r="K144" s="30">
        <v>4599</v>
      </c>
      <c r="L144" s="20" t="s">
        <v>427</v>
      </c>
      <c r="M144" s="30">
        <v>4599011</v>
      </c>
      <c r="N144" s="77" t="s">
        <v>1129</v>
      </c>
      <c r="O144" s="79">
        <v>202500000002025</v>
      </c>
      <c r="P144" s="16" t="s">
        <v>434</v>
      </c>
      <c r="Q144" s="46" t="s">
        <v>849</v>
      </c>
      <c r="R144" s="20" t="s">
        <v>435</v>
      </c>
      <c r="S144" s="20" t="s">
        <v>318</v>
      </c>
      <c r="T144" s="30">
        <v>459901100</v>
      </c>
      <c r="U144" s="20" t="s">
        <v>434</v>
      </c>
      <c r="V144" s="20" t="s">
        <v>18</v>
      </c>
      <c r="W144" s="30">
        <v>16.600000000000001</v>
      </c>
      <c r="X144" s="20" t="s">
        <v>23</v>
      </c>
      <c r="Y144" s="22">
        <v>1</v>
      </c>
      <c r="Z144" s="22">
        <v>1</v>
      </c>
      <c r="AA144" s="22">
        <v>1</v>
      </c>
      <c r="AB144" s="22">
        <v>0</v>
      </c>
      <c r="AC144" s="22">
        <v>0</v>
      </c>
      <c r="AD144" s="22">
        <v>0</v>
      </c>
      <c r="AE144" s="22">
        <v>1</v>
      </c>
      <c r="AF144" s="19">
        <f t="shared" si="7"/>
        <v>100</v>
      </c>
      <c r="AG144" s="22" t="s">
        <v>1048</v>
      </c>
      <c r="AH144" s="73" t="s">
        <v>1048</v>
      </c>
      <c r="AI144" s="23">
        <v>160000000</v>
      </c>
      <c r="AJ144" s="23">
        <v>0</v>
      </c>
      <c r="AK144" s="23">
        <v>0</v>
      </c>
      <c r="AL144" s="23">
        <v>0</v>
      </c>
      <c r="AM144" s="23">
        <v>0</v>
      </c>
      <c r="AN144" s="23">
        <v>0</v>
      </c>
      <c r="AO144" s="23">
        <v>0</v>
      </c>
      <c r="AP144" s="23">
        <v>0</v>
      </c>
      <c r="AQ144" s="23">
        <v>0</v>
      </c>
      <c r="AR144" s="23">
        <v>0</v>
      </c>
      <c r="AS144" s="23">
        <v>0</v>
      </c>
      <c r="AT144" s="23">
        <v>160000000</v>
      </c>
      <c r="AU144" s="23">
        <v>0</v>
      </c>
      <c r="AV144" s="23">
        <v>0</v>
      </c>
      <c r="AW144" s="23">
        <v>0</v>
      </c>
      <c r="AX144" s="23">
        <v>0</v>
      </c>
      <c r="AY144" s="23">
        <v>0</v>
      </c>
      <c r="AZ144" s="23">
        <v>0</v>
      </c>
      <c r="BA144" s="23">
        <v>0</v>
      </c>
      <c r="BB144" s="23">
        <v>0</v>
      </c>
      <c r="BC144" s="23">
        <v>0</v>
      </c>
      <c r="BD144" s="23">
        <v>0</v>
      </c>
      <c r="BE144" s="23">
        <v>0</v>
      </c>
      <c r="BF144" s="23">
        <v>0</v>
      </c>
      <c r="BG144" s="23">
        <v>0</v>
      </c>
      <c r="BH144" s="23">
        <v>0</v>
      </c>
      <c r="BI144" s="23">
        <v>0</v>
      </c>
      <c r="BJ144" s="23">
        <v>0</v>
      </c>
      <c r="BK144" s="23">
        <v>0</v>
      </c>
      <c r="BL144" s="23">
        <v>0</v>
      </c>
      <c r="BM144" s="23">
        <v>0</v>
      </c>
      <c r="BN144" s="23">
        <v>0</v>
      </c>
      <c r="BO144" s="23">
        <v>0</v>
      </c>
      <c r="BP144" s="23">
        <v>0</v>
      </c>
      <c r="BQ144" s="23">
        <v>0</v>
      </c>
      <c r="BR144" s="23">
        <v>0</v>
      </c>
      <c r="BS144" s="23">
        <v>0</v>
      </c>
      <c r="BT144" s="23">
        <v>0</v>
      </c>
      <c r="BU144" s="23">
        <v>0</v>
      </c>
      <c r="BV144" s="23">
        <v>0</v>
      </c>
      <c r="BW144" s="23">
        <v>0</v>
      </c>
      <c r="BX144" s="23">
        <v>0</v>
      </c>
      <c r="BY144" s="23">
        <v>0</v>
      </c>
      <c r="BZ144" s="23">
        <v>0</v>
      </c>
      <c r="CA144" s="23">
        <v>0</v>
      </c>
      <c r="CB144" s="23">
        <v>0</v>
      </c>
      <c r="CC144" s="23">
        <v>0</v>
      </c>
      <c r="CD144" s="23">
        <v>0</v>
      </c>
      <c r="CE144" s="23">
        <f t="shared" si="6"/>
        <v>160000000</v>
      </c>
    </row>
    <row r="145" spans="1:83" ht="15" customHeight="1" x14ac:dyDescent="0.3">
      <c r="A145" s="20" t="s">
        <v>744</v>
      </c>
      <c r="B145" s="20">
        <v>45</v>
      </c>
      <c r="C145" s="20" t="s">
        <v>393</v>
      </c>
      <c r="D145" s="20">
        <v>60010003</v>
      </c>
      <c r="E145" s="20" t="s">
        <v>724</v>
      </c>
      <c r="F145" s="20" t="s">
        <v>725</v>
      </c>
      <c r="G145" s="20" t="s">
        <v>792</v>
      </c>
      <c r="H145" s="29">
        <v>49.81</v>
      </c>
      <c r="I145" s="30">
        <v>2022</v>
      </c>
      <c r="J145" s="30">
        <v>30</v>
      </c>
      <c r="K145" s="30">
        <v>4501</v>
      </c>
      <c r="L145" s="20" t="s">
        <v>394</v>
      </c>
      <c r="M145" s="30">
        <v>4501065</v>
      </c>
      <c r="N145" s="77" t="s">
        <v>1130</v>
      </c>
      <c r="O145" s="79">
        <v>202500000013911</v>
      </c>
      <c r="P145" s="16" t="s">
        <v>567</v>
      </c>
      <c r="Q145" s="46"/>
      <c r="R145" s="20" t="s">
        <v>568</v>
      </c>
      <c r="S145" s="20" t="s">
        <v>569</v>
      </c>
      <c r="T145" s="30">
        <v>450106500</v>
      </c>
      <c r="U145" s="20" t="s">
        <v>570</v>
      </c>
      <c r="V145" s="20" t="s">
        <v>18</v>
      </c>
      <c r="W145" s="30">
        <v>16.600000000000001</v>
      </c>
      <c r="X145" s="20" t="s">
        <v>23</v>
      </c>
      <c r="Y145" s="22">
        <v>1</v>
      </c>
      <c r="Z145" s="22">
        <v>1</v>
      </c>
      <c r="AA145" s="22">
        <v>0</v>
      </c>
      <c r="AB145" s="22">
        <v>0</v>
      </c>
      <c r="AC145" s="22">
        <v>1</v>
      </c>
      <c r="AD145" s="22">
        <v>0</v>
      </c>
      <c r="AE145" s="22"/>
      <c r="AF145" s="19">
        <f t="shared" si="7"/>
        <v>0</v>
      </c>
      <c r="AG145" s="22" t="s">
        <v>1048</v>
      </c>
      <c r="AH145" s="73" t="s">
        <v>1048</v>
      </c>
      <c r="AI145" s="23">
        <v>0</v>
      </c>
      <c r="AJ145" s="23">
        <v>0</v>
      </c>
      <c r="AK145" s="23">
        <v>0</v>
      </c>
      <c r="AL145" s="23">
        <v>0</v>
      </c>
      <c r="AM145" s="23">
        <v>0</v>
      </c>
      <c r="AN145" s="23">
        <v>0</v>
      </c>
      <c r="AO145" s="23">
        <v>0</v>
      </c>
      <c r="AP145" s="23">
        <v>0</v>
      </c>
      <c r="AQ145" s="23">
        <v>0</v>
      </c>
      <c r="AR145" s="23">
        <v>0</v>
      </c>
      <c r="AS145" s="23">
        <v>0</v>
      </c>
      <c r="AT145" s="23">
        <v>0</v>
      </c>
      <c r="AU145" s="23">
        <v>0</v>
      </c>
      <c r="AV145" s="23">
        <v>0</v>
      </c>
      <c r="AW145" s="23">
        <v>0</v>
      </c>
      <c r="AX145" s="23">
        <v>0</v>
      </c>
      <c r="AY145" s="23">
        <v>0</v>
      </c>
      <c r="AZ145" s="23">
        <v>0</v>
      </c>
      <c r="BA145" s="23">
        <v>0</v>
      </c>
      <c r="BB145" s="23">
        <v>0</v>
      </c>
      <c r="BC145" s="23">
        <v>0</v>
      </c>
      <c r="BD145" s="23">
        <v>0</v>
      </c>
      <c r="BE145" s="23">
        <v>0</v>
      </c>
      <c r="BF145" s="23">
        <v>0</v>
      </c>
      <c r="BG145" s="23">
        <v>239600000</v>
      </c>
      <c r="BH145" s="23">
        <v>0</v>
      </c>
      <c r="BI145" s="23">
        <v>0</v>
      </c>
      <c r="BJ145" s="23">
        <v>0</v>
      </c>
      <c r="BK145" s="23">
        <v>0</v>
      </c>
      <c r="BL145" s="23">
        <v>0</v>
      </c>
      <c r="BM145" s="23">
        <v>0</v>
      </c>
      <c r="BN145" s="23">
        <v>0</v>
      </c>
      <c r="BO145" s="23">
        <v>960400000</v>
      </c>
      <c r="BP145" s="23">
        <v>0</v>
      </c>
      <c r="BQ145" s="23">
        <v>0</v>
      </c>
      <c r="BR145" s="23">
        <v>1200000000</v>
      </c>
      <c r="BS145" s="23">
        <v>0</v>
      </c>
      <c r="BT145" s="23">
        <v>0</v>
      </c>
      <c r="BU145" s="23">
        <v>0</v>
      </c>
      <c r="BV145" s="23">
        <v>0</v>
      </c>
      <c r="BW145" s="23">
        <v>0</v>
      </c>
      <c r="BX145" s="23">
        <v>0</v>
      </c>
      <c r="BY145" s="23">
        <v>0</v>
      </c>
      <c r="BZ145" s="23">
        <v>0</v>
      </c>
      <c r="CA145" s="23">
        <v>0</v>
      </c>
      <c r="CB145" s="23">
        <v>0</v>
      </c>
      <c r="CC145" s="23">
        <v>0</v>
      </c>
      <c r="CD145" s="23">
        <v>0</v>
      </c>
      <c r="CE145" s="23">
        <f t="shared" si="6"/>
        <v>1200000000</v>
      </c>
    </row>
    <row r="146" spans="1:83" ht="15" customHeight="1" x14ac:dyDescent="0.3">
      <c r="A146" s="20" t="s">
        <v>744</v>
      </c>
      <c r="B146" s="20">
        <v>40</v>
      </c>
      <c r="C146" s="20" t="s">
        <v>194</v>
      </c>
      <c r="D146" s="20">
        <v>30010006</v>
      </c>
      <c r="E146" s="20" t="s">
        <v>672</v>
      </c>
      <c r="F146" s="20" t="s">
        <v>679</v>
      </c>
      <c r="G146" s="20" t="s">
        <v>774</v>
      </c>
      <c r="H146" s="29">
        <v>64.2774</v>
      </c>
      <c r="I146" s="30">
        <v>2018</v>
      </c>
      <c r="J146" s="30">
        <v>75</v>
      </c>
      <c r="K146" s="30">
        <v>4003</v>
      </c>
      <c r="L146" s="20" t="s">
        <v>202</v>
      </c>
      <c r="M146" s="30">
        <v>4003020</v>
      </c>
      <c r="N146" s="77" t="s">
        <v>1123</v>
      </c>
      <c r="O146" s="79">
        <v>202500000006544</v>
      </c>
      <c r="P146" s="20" t="s">
        <v>605</v>
      </c>
      <c r="Q146" s="46"/>
      <c r="R146" s="20" t="s">
        <v>656</v>
      </c>
      <c r="S146" s="20" t="s">
        <v>254</v>
      </c>
      <c r="T146" s="30">
        <v>400302002</v>
      </c>
      <c r="U146" s="20" t="s">
        <v>657</v>
      </c>
      <c r="V146" s="20" t="s">
        <v>18</v>
      </c>
      <c r="W146" s="30">
        <v>6.2</v>
      </c>
      <c r="X146" s="20" t="s">
        <v>23</v>
      </c>
      <c r="Y146" s="22">
        <v>6</v>
      </c>
      <c r="Z146" s="22">
        <v>12</v>
      </c>
      <c r="AA146" s="22">
        <v>3</v>
      </c>
      <c r="AB146" s="22">
        <v>3</v>
      </c>
      <c r="AC146" s="22">
        <v>3</v>
      </c>
      <c r="AD146" s="22">
        <v>3</v>
      </c>
      <c r="AE146" s="22">
        <v>0</v>
      </c>
      <c r="AF146" s="19">
        <f t="shared" si="7"/>
        <v>0</v>
      </c>
      <c r="AG146" s="22">
        <v>0</v>
      </c>
      <c r="AH146" s="73">
        <v>0</v>
      </c>
      <c r="AI146" s="23">
        <v>0</v>
      </c>
      <c r="AJ146" s="23">
        <v>0</v>
      </c>
      <c r="AK146" s="23">
        <v>0</v>
      </c>
      <c r="AL146" s="23">
        <v>0</v>
      </c>
      <c r="AM146" s="23">
        <v>484444744</v>
      </c>
      <c r="AN146" s="23">
        <v>85555256</v>
      </c>
      <c r="AO146" s="23">
        <v>0</v>
      </c>
      <c r="AP146" s="23">
        <v>0</v>
      </c>
      <c r="AQ146" s="23">
        <v>0</v>
      </c>
      <c r="AR146" s="23">
        <v>0</v>
      </c>
      <c r="AS146" s="23">
        <v>0</v>
      </c>
      <c r="AT146" s="23">
        <v>570000000</v>
      </c>
      <c r="AU146" s="23">
        <v>0</v>
      </c>
      <c r="AV146" s="23">
        <v>0</v>
      </c>
      <c r="AW146" s="23">
        <v>0</v>
      </c>
      <c r="AX146" s="23">
        <v>0</v>
      </c>
      <c r="AY146" s="23">
        <v>518355876</v>
      </c>
      <c r="AZ146" s="23">
        <v>0</v>
      </c>
      <c r="BA146" s="23">
        <v>0</v>
      </c>
      <c r="BB146" s="23">
        <v>0</v>
      </c>
      <c r="BC146" s="23">
        <v>51644124</v>
      </c>
      <c r="BD146" s="23">
        <v>0</v>
      </c>
      <c r="BE146" s="23">
        <v>0</v>
      </c>
      <c r="BF146" s="23">
        <v>570000000</v>
      </c>
      <c r="BG146" s="23">
        <v>0</v>
      </c>
      <c r="BH146" s="23">
        <v>0</v>
      </c>
      <c r="BI146" s="23">
        <v>0</v>
      </c>
      <c r="BJ146" s="23">
        <v>0</v>
      </c>
      <c r="BK146" s="23">
        <v>74000000</v>
      </c>
      <c r="BL146" s="23">
        <v>0</v>
      </c>
      <c r="BM146" s="23">
        <v>0</v>
      </c>
      <c r="BN146" s="23">
        <v>0</v>
      </c>
      <c r="BO146" s="23">
        <v>0</v>
      </c>
      <c r="BP146" s="23">
        <v>496000000</v>
      </c>
      <c r="BQ146" s="23">
        <v>0</v>
      </c>
      <c r="BR146" s="23">
        <v>570000000</v>
      </c>
      <c r="BS146" s="23">
        <v>205000000</v>
      </c>
      <c r="BT146" s="23">
        <v>0</v>
      </c>
      <c r="BU146" s="23">
        <v>0</v>
      </c>
      <c r="BV146" s="23">
        <v>0</v>
      </c>
      <c r="BW146" s="23">
        <v>0</v>
      </c>
      <c r="BX146" s="23">
        <v>0</v>
      </c>
      <c r="BY146" s="23">
        <v>0</v>
      </c>
      <c r="BZ146" s="23">
        <v>0</v>
      </c>
      <c r="CA146" s="23">
        <v>365000000</v>
      </c>
      <c r="CB146" s="23">
        <v>0</v>
      </c>
      <c r="CC146" s="23">
        <v>0</v>
      </c>
      <c r="CD146" s="23">
        <v>570000000</v>
      </c>
      <c r="CE146" s="23">
        <f t="shared" si="6"/>
        <v>2280000000</v>
      </c>
    </row>
    <row r="147" spans="1:83" ht="15" customHeight="1" x14ac:dyDescent="0.3">
      <c r="A147" s="20" t="s">
        <v>744</v>
      </c>
      <c r="B147" s="20">
        <v>40</v>
      </c>
      <c r="C147" s="20" t="s">
        <v>194</v>
      </c>
      <c r="D147" s="20">
        <v>30010004</v>
      </c>
      <c r="E147" s="20" t="s">
        <v>671</v>
      </c>
      <c r="F147" s="20" t="s">
        <v>679</v>
      </c>
      <c r="G147" s="20" t="s">
        <v>774</v>
      </c>
      <c r="H147" s="29">
        <v>88.578100000000006</v>
      </c>
      <c r="I147" s="30">
        <v>2018</v>
      </c>
      <c r="J147" s="30">
        <v>91</v>
      </c>
      <c r="K147" s="30">
        <v>4003</v>
      </c>
      <c r="L147" s="20" t="s">
        <v>202</v>
      </c>
      <c r="M147" s="30">
        <v>4003031</v>
      </c>
      <c r="N147" s="77" t="s">
        <v>1123</v>
      </c>
      <c r="O147" s="79">
        <v>202500000006544</v>
      </c>
      <c r="P147" s="20" t="s">
        <v>660</v>
      </c>
      <c r="Q147" s="46"/>
      <c r="R147" s="20" t="s">
        <v>661</v>
      </c>
      <c r="S147" s="20" t="s">
        <v>224</v>
      </c>
      <c r="T147" s="30">
        <v>400303100</v>
      </c>
      <c r="U147" s="20" t="s">
        <v>609</v>
      </c>
      <c r="V147" s="20" t="s">
        <v>18</v>
      </c>
      <c r="W147" s="30">
        <v>12.5</v>
      </c>
      <c r="X147" s="20" t="s">
        <v>23</v>
      </c>
      <c r="Y147" s="22">
        <v>0</v>
      </c>
      <c r="Z147" s="22">
        <v>1</v>
      </c>
      <c r="AA147" s="22">
        <v>0</v>
      </c>
      <c r="AB147" s="22">
        <v>0</v>
      </c>
      <c r="AC147" s="22">
        <v>1</v>
      </c>
      <c r="AD147" s="22">
        <v>0</v>
      </c>
      <c r="AE147" s="22"/>
      <c r="AF147" s="19">
        <f t="shared" si="7"/>
        <v>0</v>
      </c>
      <c r="AG147" s="22" t="s">
        <v>1048</v>
      </c>
      <c r="AH147" s="73" t="s">
        <v>1048</v>
      </c>
      <c r="AI147" s="23">
        <v>0</v>
      </c>
      <c r="AJ147" s="23">
        <v>0</v>
      </c>
      <c r="AK147" s="23">
        <v>0</v>
      </c>
      <c r="AL147" s="23">
        <v>0</v>
      </c>
      <c r="AM147" s="23">
        <v>0</v>
      </c>
      <c r="AN147" s="23">
        <v>0</v>
      </c>
      <c r="AO147" s="23">
        <v>0</v>
      </c>
      <c r="AP147" s="23">
        <v>0</v>
      </c>
      <c r="AQ147" s="23">
        <v>0</v>
      </c>
      <c r="AR147" s="23">
        <v>0</v>
      </c>
      <c r="AS147" s="23">
        <v>0</v>
      </c>
      <c r="AT147" s="23">
        <v>0</v>
      </c>
      <c r="AU147" s="23">
        <v>0</v>
      </c>
      <c r="AV147" s="23">
        <v>0</v>
      </c>
      <c r="AW147" s="23">
        <v>0</v>
      </c>
      <c r="AX147" s="23">
        <v>0</v>
      </c>
      <c r="AY147" s="23">
        <v>0</v>
      </c>
      <c r="AZ147" s="23">
        <v>0</v>
      </c>
      <c r="BA147" s="23">
        <v>0</v>
      </c>
      <c r="BB147" s="23">
        <v>0</v>
      </c>
      <c r="BC147" s="23">
        <v>0</v>
      </c>
      <c r="BD147" s="23">
        <v>0</v>
      </c>
      <c r="BE147" s="23">
        <v>0</v>
      </c>
      <c r="BF147" s="23">
        <v>0</v>
      </c>
      <c r="BG147" s="23">
        <v>0</v>
      </c>
      <c r="BH147" s="23">
        <v>0</v>
      </c>
      <c r="BI147" s="23">
        <v>0</v>
      </c>
      <c r="BJ147" s="23">
        <v>0</v>
      </c>
      <c r="BK147" s="23">
        <v>80640787</v>
      </c>
      <c r="BL147" s="23">
        <v>0</v>
      </c>
      <c r="BM147" s="23">
        <v>0</v>
      </c>
      <c r="BN147" s="23">
        <v>0</v>
      </c>
      <c r="BO147" s="23">
        <v>554359213</v>
      </c>
      <c r="BP147" s="23">
        <v>0</v>
      </c>
      <c r="BQ147" s="23">
        <v>0</v>
      </c>
      <c r="BR147" s="23">
        <v>635000000</v>
      </c>
      <c r="BS147" s="23">
        <v>0</v>
      </c>
      <c r="BT147" s="23">
        <v>0</v>
      </c>
      <c r="BU147" s="23">
        <v>0</v>
      </c>
      <c r="BV147" s="23">
        <v>0</v>
      </c>
      <c r="BW147" s="23">
        <v>0</v>
      </c>
      <c r="BX147" s="23">
        <v>0</v>
      </c>
      <c r="BY147" s="23">
        <v>0</v>
      </c>
      <c r="BZ147" s="23">
        <v>0</v>
      </c>
      <c r="CA147" s="23">
        <v>0</v>
      </c>
      <c r="CB147" s="23">
        <v>0</v>
      </c>
      <c r="CC147" s="23">
        <v>0</v>
      </c>
      <c r="CD147" s="23">
        <v>0</v>
      </c>
      <c r="CE147" s="23">
        <f t="shared" si="6"/>
        <v>635000000</v>
      </c>
    </row>
    <row r="148" spans="1:83" ht="15" customHeight="1" x14ac:dyDescent="0.3">
      <c r="A148" s="20" t="s">
        <v>744</v>
      </c>
      <c r="B148" s="20">
        <v>40</v>
      </c>
      <c r="C148" s="20" t="s">
        <v>194</v>
      </c>
      <c r="D148" s="20">
        <v>30010006</v>
      </c>
      <c r="E148" s="20" t="s">
        <v>672</v>
      </c>
      <c r="F148" s="20" t="s">
        <v>679</v>
      </c>
      <c r="G148" s="20" t="s">
        <v>774</v>
      </c>
      <c r="H148" s="29">
        <v>64.2774</v>
      </c>
      <c r="I148" s="30">
        <v>2018</v>
      </c>
      <c r="J148" s="30">
        <v>75</v>
      </c>
      <c r="K148" s="30">
        <v>4003</v>
      </c>
      <c r="L148" s="20" t="s">
        <v>202</v>
      </c>
      <c r="M148" s="30">
        <v>4003012</v>
      </c>
      <c r="N148" s="77" t="s">
        <v>1123</v>
      </c>
      <c r="O148" s="79">
        <v>202500000006544</v>
      </c>
      <c r="P148" s="20" t="s">
        <v>607</v>
      </c>
      <c r="Q148" s="46" t="s">
        <v>850</v>
      </c>
      <c r="R148" s="20" t="s">
        <v>667</v>
      </c>
      <c r="S148" s="20" t="s">
        <v>580</v>
      </c>
      <c r="T148" s="30">
        <v>400301200</v>
      </c>
      <c r="U148" s="20" t="s">
        <v>607</v>
      </c>
      <c r="V148" s="20" t="s">
        <v>18</v>
      </c>
      <c r="W148" s="30">
        <v>16.600000000000001</v>
      </c>
      <c r="X148" s="20" t="s">
        <v>23</v>
      </c>
      <c r="Y148" s="22">
        <v>1</v>
      </c>
      <c r="Z148" s="22">
        <v>1</v>
      </c>
      <c r="AA148" s="22">
        <v>0</v>
      </c>
      <c r="AB148" s="22">
        <v>0</v>
      </c>
      <c r="AC148" s="22">
        <v>1</v>
      </c>
      <c r="AD148" s="22">
        <v>0</v>
      </c>
      <c r="AE148" s="22"/>
      <c r="AF148" s="19">
        <f t="shared" si="7"/>
        <v>0</v>
      </c>
      <c r="AG148" s="22" t="s">
        <v>1048</v>
      </c>
      <c r="AH148" s="73" t="s">
        <v>1048</v>
      </c>
      <c r="AI148" s="23">
        <v>0</v>
      </c>
      <c r="AJ148" s="23">
        <v>0</v>
      </c>
      <c r="AK148" s="23">
        <v>0</v>
      </c>
      <c r="AL148" s="23">
        <v>0</v>
      </c>
      <c r="AM148" s="23">
        <v>0</v>
      </c>
      <c r="AN148" s="23">
        <v>0</v>
      </c>
      <c r="AO148" s="23">
        <v>0</v>
      </c>
      <c r="AP148" s="23">
        <v>0</v>
      </c>
      <c r="AQ148" s="23">
        <v>0</v>
      </c>
      <c r="AR148" s="23">
        <v>0</v>
      </c>
      <c r="AS148" s="23">
        <v>0</v>
      </c>
      <c r="AT148" s="23">
        <v>0</v>
      </c>
      <c r="AU148" s="23">
        <v>0</v>
      </c>
      <c r="AV148" s="23">
        <v>0</v>
      </c>
      <c r="AW148" s="23">
        <v>0</v>
      </c>
      <c r="AX148" s="23">
        <v>0</v>
      </c>
      <c r="AY148" s="23">
        <v>0</v>
      </c>
      <c r="AZ148" s="23">
        <v>0</v>
      </c>
      <c r="BA148" s="23">
        <v>0</v>
      </c>
      <c r="BB148" s="23">
        <v>0</v>
      </c>
      <c r="BC148" s="23">
        <v>0</v>
      </c>
      <c r="BD148" s="23">
        <v>0</v>
      </c>
      <c r="BE148" s="23">
        <v>0</v>
      </c>
      <c r="BF148" s="23">
        <v>0</v>
      </c>
      <c r="BG148" s="23">
        <v>125000000</v>
      </c>
      <c r="BH148" s="23">
        <v>0</v>
      </c>
      <c r="BI148" s="23">
        <v>0</v>
      </c>
      <c r="BJ148" s="23">
        <v>0</v>
      </c>
      <c r="BK148" s="23">
        <v>0</v>
      </c>
      <c r="BL148" s="23">
        <v>0</v>
      </c>
      <c r="BM148" s="23">
        <v>0</v>
      </c>
      <c r="BN148" s="23">
        <v>0</v>
      </c>
      <c r="BO148" s="23">
        <v>215000000</v>
      </c>
      <c r="BP148" s="23">
        <v>0</v>
      </c>
      <c r="BQ148" s="23">
        <v>0</v>
      </c>
      <c r="BR148" s="23">
        <v>340000000</v>
      </c>
      <c r="BS148" s="23">
        <v>0</v>
      </c>
      <c r="BT148" s="23">
        <v>0</v>
      </c>
      <c r="BU148" s="23">
        <v>0</v>
      </c>
      <c r="BV148" s="23">
        <v>0</v>
      </c>
      <c r="BW148" s="23">
        <v>0</v>
      </c>
      <c r="BX148" s="23">
        <v>0</v>
      </c>
      <c r="BY148" s="23">
        <v>0</v>
      </c>
      <c r="BZ148" s="23">
        <v>0</v>
      </c>
      <c r="CA148" s="23">
        <v>0</v>
      </c>
      <c r="CB148" s="23">
        <v>0</v>
      </c>
      <c r="CC148" s="23">
        <v>0</v>
      </c>
      <c r="CD148" s="23">
        <v>0</v>
      </c>
      <c r="CE148" s="23">
        <f t="shared" si="6"/>
        <v>340000000</v>
      </c>
    </row>
    <row r="149" spans="1:83" ht="15" customHeight="1" x14ac:dyDescent="0.3">
      <c r="A149" s="20" t="s">
        <v>744</v>
      </c>
      <c r="B149" s="20">
        <v>22</v>
      </c>
      <c r="C149" s="20" t="s">
        <v>93</v>
      </c>
      <c r="D149" s="20">
        <v>40010006</v>
      </c>
      <c r="E149" s="20" t="s">
        <v>676</v>
      </c>
      <c r="F149" s="20" t="s">
        <v>679</v>
      </c>
      <c r="G149" s="20" t="s">
        <v>778</v>
      </c>
      <c r="H149" s="29">
        <v>101.0859</v>
      </c>
      <c r="I149" s="30">
        <v>2022</v>
      </c>
      <c r="J149" s="30">
        <v>101</v>
      </c>
      <c r="K149" s="30">
        <v>2201</v>
      </c>
      <c r="L149" s="25" t="s">
        <v>689</v>
      </c>
      <c r="M149" s="32">
        <v>2201051</v>
      </c>
      <c r="N149" s="80" t="s">
        <v>1101</v>
      </c>
      <c r="O149" s="79">
        <v>202500000002049</v>
      </c>
      <c r="P149" s="25" t="s">
        <v>690</v>
      </c>
      <c r="Q149" s="46" t="s">
        <v>851</v>
      </c>
      <c r="R149" s="25" t="s">
        <v>691</v>
      </c>
      <c r="S149" s="25" t="s">
        <v>318</v>
      </c>
      <c r="T149" s="32">
        <v>220105100</v>
      </c>
      <c r="U149" s="25" t="s">
        <v>319</v>
      </c>
      <c r="V149" s="25" t="s">
        <v>18</v>
      </c>
      <c r="W149" s="30" t="s">
        <v>590</v>
      </c>
      <c r="X149" s="20" t="s">
        <v>23</v>
      </c>
      <c r="Y149" s="22">
        <v>0</v>
      </c>
      <c r="Z149" s="22">
        <v>1</v>
      </c>
      <c r="AA149" s="22">
        <v>0</v>
      </c>
      <c r="AB149" s="22">
        <v>0</v>
      </c>
      <c r="AC149" s="22">
        <v>0</v>
      </c>
      <c r="AD149" s="22">
        <v>1</v>
      </c>
      <c r="AE149" s="22"/>
      <c r="AF149" s="19">
        <f t="shared" si="7"/>
        <v>0</v>
      </c>
      <c r="AG149" s="22" t="s">
        <v>1048</v>
      </c>
      <c r="AH149" s="73" t="s">
        <v>1048</v>
      </c>
      <c r="AI149" s="23">
        <v>0</v>
      </c>
      <c r="AJ149" s="23">
        <v>0</v>
      </c>
      <c r="AK149" s="23">
        <v>0</v>
      </c>
      <c r="AL149" s="23">
        <v>0</v>
      </c>
      <c r="AM149" s="23">
        <v>0</v>
      </c>
      <c r="AN149" s="23">
        <v>0</v>
      </c>
      <c r="AO149" s="23">
        <v>0</v>
      </c>
      <c r="AP149" s="23">
        <v>0</v>
      </c>
      <c r="AQ149" s="23">
        <v>0</v>
      </c>
      <c r="AR149" s="23">
        <v>0</v>
      </c>
      <c r="AS149" s="23">
        <v>0</v>
      </c>
      <c r="AT149" s="23">
        <v>0</v>
      </c>
      <c r="AU149" s="23">
        <v>0</v>
      </c>
      <c r="AV149" s="23">
        <v>0</v>
      </c>
      <c r="AW149" s="23">
        <v>0</v>
      </c>
      <c r="AX149" s="23">
        <v>0</v>
      </c>
      <c r="AY149" s="23">
        <v>0</v>
      </c>
      <c r="AZ149" s="23">
        <v>0</v>
      </c>
      <c r="BA149" s="23">
        <v>0</v>
      </c>
      <c r="BB149" s="23">
        <v>0</v>
      </c>
      <c r="BC149" s="23">
        <v>0</v>
      </c>
      <c r="BD149" s="23">
        <v>0</v>
      </c>
      <c r="BE149" s="23">
        <v>0</v>
      </c>
      <c r="BF149" s="23">
        <v>0</v>
      </c>
      <c r="BG149" s="23">
        <v>0</v>
      </c>
      <c r="BH149" s="23">
        <v>0</v>
      </c>
      <c r="BI149" s="23">
        <v>0</v>
      </c>
      <c r="BJ149" s="23">
        <v>0</v>
      </c>
      <c r="BK149" s="23">
        <v>0</v>
      </c>
      <c r="BL149" s="23">
        <v>0</v>
      </c>
      <c r="BM149" s="23">
        <v>0</v>
      </c>
      <c r="BN149" s="23">
        <v>0</v>
      </c>
      <c r="BO149" s="23">
        <v>0</v>
      </c>
      <c r="BP149" s="23">
        <v>0</v>
      </c>
      <c r="BQ149" s="23">
        <v>0</v>
      </c>
      <c r="BR149" s="23">
        <v>0</v>
      </c>
      <c r="BS149" s="23">
        <v>0</v>
      </c>
      <c r="BT149" s="23">
        <v>0</v>
      </c>
      <c r="BU149" s="23">
        <v>0</v>
      </c>
      <c r="BV149" s="23">
        <v>0</v>
      </c>
      <c r="BW149" s="23">
        <v>0</v>
      </c>
      <c r="BX149" s="23">
        <v>0</v>
      </c>
      <c r="BY149" s="23">
        <v>0</v>
      </c>
      <c r="BZ149" s="23">
        <v>284675100</v>
      </c>
      <c r="CA149" s="23">
        <v>645000000</v>
      </c>
      <c r="CB149" s="23">
        <v>0</v>
      </c>
      <c r="CC149" s="23">
        <v>0</v>
      </c>
      <c r="CD149" s="23">
        <v>929675100</v>
      </c>
      <c r="CE149" s="23">
        <f t="shared" si="6"/>
        <v>929675100</v>
      </c>
    </row>
    <row r="150" spans="1:83" ht="15" customHeight="1" x14ac:dyDescent="0.3">
      <c r="A150" s="20" t="s">
        <v>744</v>
      </c>
      <c r="B150" s="20">
        <v>40</v>
      </c>
      <c r="C150" s="20" t="s">
        <v>194</v>
      </c>
      <c r="D150" s="20">
        <v>30010006</v>
      </c>
      <c r="E150" s="20" t="s">
        <v>672</v>
      </c>
      <c r="F150" s="20" t="s">
        <v>679</v>
      </c>
      <c r="G150" s="20" t="s">
        <v>774</v>
      </c>
      <c r="H150" s="29">
        <v>64.2774</v>
      </c>
      <c r="I150" s="30">
        <v>2018</v>
      </c>
      <c r="J150" s="30">
        <v>75</v>
      </c>
      <c r="K150" s="30">
        <v>4003</v>
      </c>
      <c r="L150" s="25" t="s">
        <v>696</v>
      </c>
      <c r="M150" s="32">
        <v>4003044</v>
      </c>
      <c r="N150" s="77" t="s">
        <v>1123</v>
      </c>
      <c r="O150" s="79">
        <v>202500000006544</v>
      </c>
      <c r="P150" s="25" t="s">
        <v>697</v>
      </c>
      <c r="Q150" s="46"/>
      <c r="R150" s="25"/>
      <c r="S150" s="25" t="s">
        <v>390</v>
      </c>
      <c r="T150" s="32">
        <v>400304402</v>
      </c>
      <c r="U150" s="25" t="s">
        <v>698</v>
      </c>
      <c r="V150" s="25" t="s">
        <v>18</v>
      </c>
      <c r="W150" s="30">
        <v>16.600000000000001</v>
      </c>
      <c r="X150" s="20" t="s">
        <v>23</v>
      </c>
      <c r="Y150" s="22">
        <v>0</v>
      </c>
      <c r="Z150" s="22">
        <v>30</v>
      </c>
      <c r="AA150" s="22">
        <v>0</v>
      </c>
      <c r="AB150" s="22">
        <v>20</v>
      </c>
      <c r="AC150" s="22">
        <v>10</v>
      </c>
      <c r="AD150" s="22">
        <v>0</v>
      </c>
      <c r="AE150" s="22"/>
      <c r="AF150" s="19">
        <f t="shared" si="7"/>
        <v>0</v>
      </c>
      <c r="AG150" s="22">
        <v>0</v>
      </c>
      <c r="AH150" s="73">
        <v>0</v>
      </c>
      <c r="AI150" s="23">
        <v>0</v>
      </c>
      <c r="AJ150" s="23">
        <v>0</v>
      </c>
      <c r="AK150" s="23">
        <v>0</v>
      </c>
      <c r="AL150" s="23">
        <v>0</v>
      </c>
      <c r="AM150" s="23">
        <v>0</v>
      </c>
      <c r="AN150" s="23">
        <v>0</v>
      </c>
      <c r="AO150" s="23">
        <v>0</v>
      </c>
      <c r="AP150" s="23">
        <v>0</v>
      </c>
      <c r="AQ150" s="23">
        <v>0</v>
      </c>
      <c r="AR150" s="23">
        <v>0</v>
      </c>
      <c r="AS150" s="23">
        <v>0</v>
      </c>
      <c r="AT150" s="23">
        <v>0</v>
      </c>
      <c r="AU150" s="23">
        <v>0</v>
      </c>
      <c r="AV150" s="23">
        <v>0</v>
      </c>
      <c r="AW150" s="23">
        <v>0</v>
      </c>
      <c r="AX150" s="23">
        <v>0</v>
      </c>
      <c r="AY150" s="23">
        <v>0</v>
      </c>
      <c r="AZ150" s="23">
        <v>0</v>
      </c>
      <c r="BA150" s="23">
        <v>0</v>
      </c>
      <c r="BB150" s="23">
        <v>194500000</v>
      </c>
      <c r="BC150" s="23">
        <v>45478100</v>
      </c>
      <c r="BD150" s="23">
        <v>0</v>
      </c>
      <c r="BE150" s="23">
        <v>0</v>
      </c>
      <c r="BF150" s="23">
        <v>239978100</v>
      </c>
      <c r="BG150" s="23">
        <v>0</v>
      </c>
      <c r="BH150" s="23">
        <v>0</v>
      </c>
      <c r="BI150" s="23">
        <v>0</v>
      </c>
      <c r="BJ150" s="23">
        <v>0</v>
      </c>
      <c r="BK150" s="23">
        <v>0</v>
      </c>
      <c r="BL150" s="23">
        <v>0</v>
      </c>
      <c r="BM150" s="23">
        <v>0</v>
      </c>
      <c r="BN150" s="23">
        <v>0</v>
      </c>
      <c r="BO150" s="23">
        <v>100000000</v>
      </c>
      <c r="BP150" s="23">
        <v>0</v>
      </c>
      <c r="BQ150" s="23">
        <v>0</v>
      </c>
      <c r="BR150" s="23">
        <v>100000000</v>
      </c>
      <c r="BS150" s="23">
        <v>0</v>
      </c>
      <c r="BT150" s="23">
        <v>0</v>
      </c>
      <c r="BU150" s="23">
        <v>0</v>
      </c>
      <c r="BV150" s="23">
        <v>0</v>
      </c>
      <c r="BW150" s="23">
        <v>0</v>
      </c>
      <c r="BX150" s="23">
        <v>0</v>
      </c>
      <c r="BY150" s="23">
        <v>0</v>
      </c>
      <c r="BZ150" s="23">
        <v>0</v>
      </c>
      <c r="CA150" s="23">
        <v>0</v>
      </c>
      <c r="CB150" s="23">
        <v>0</v>
      </c>
      <c r="CC150" s="23">
        <v>0</v>
      </c>
      <c r="CD150" s="23">
        <v>0</v>
      </c>
      <c r="CE150" s="23">
        <f t="shared" si="6"/>
        <v>339978100</v>
      </c>
    </row>
    <row r="151" spans="1:83" ht="15" customHeight="1" x14ac:dyDescent="0.3">
      <c r="A151" s="20" t="s">
        <v>744</v>
      </c>
      <c r="B151" s="20">
        <v>41</v>
      </c>
      <c r="C151" s="20" t="s">
        <v>12</v>
      </c>
      <c r="D151" s="20">
        <v>140010051</v>
      </c>
      <c r="E151" s="20" t="s">
        <v>720</v>
      </c>
      <c r="F151" s="20" t="s">
        <v>428</v>
      </c>
      <c r="G151" s="20" t="s">
        <v>774</v>
      </c>
      <c r="H151" s="29">
        <v>77.937399999999997</v>
      </c>
      <c r="I151" s="30">
        <v>2023</v>
      </c>
      <c r="J151" s="30">
        <v>72</v>
      </c>
      <c r="K151" s="30">
        <v>4102</v>
      </c>
      <c r="L151" s="25" t="s">
        <v>699</v>
      </c>
      <c r="M151" s="32">
        <v>4102006</v>
      </c>
      <c r="N151" s="77" t="s">
        <v>1098</v>
      </c>
      <c r="O151" s="79">
        <v>202500000001968</v>
      </c>
      <c r="P151" s="25" t="s">
        <v>700</v>
      </c>
      <c r="Q151" s="46" t="s">
        <v>852</v>
      </c>
      <c r="R151" s="25" t="s">
        <v>701</v>
      </c>
      <c r="S151" s="25" t="s">
        <v>22</v>
      </c>
      <c r="T151" s="32">
        <v>410200600</v>
      </c>
      <c r="U151" s="25" t="s">
        <v>610</v>
      </c>
      <c r="V151" s="25" t="s">
        <v>18</v>
      </c>
      <c r="W151" s="30">
        <v>4.2</v>
      </c>
      <c r="X151" s="20" t="s">
        <v>1050</v>
      </c>
      <c r="Y151" s="22">
        <v>0</v>
      </c>
      <c r="Z151" s="22">
        <v>1</v>
      </c>
      <c r="AA151" s="22">
        <v>0</v>
      </c>
      <c r="AB151" s="22">
        <v>1</v>
      </c>
      <c r="AC151" s="22">
        <v>0</v>
      </c>
      <c r="AD151" s="22">
        <v>0</v>
      </c>
      <c r="AE151" s="22"/>
      <c r="AF151" s="19">
        <f t="shared" si="7"/>
        <v>0</v>
      </c>
      <c r="AG151" s="22">
        <v>0</v>
      </c>
      <c r="AH151" s="73">
        <v>0</v>
      </c>
      <c r="AI151" s="23">
        <v>0</v>
      </c>
      <c r="AJ151" s="23">
        <v>0</v>
      </c>
      <c r="AK151" s="23">
        <v>0</v>
      </c>
      <c r="AL151" s="23">
        <v>0</v>
      </c>
      <c r="AM151" s="23">
        <v>0</v>
      </c>
      <c r="AN151" s="23">
        <v>0</v>
      </c>
      <c r="AO151" s="23">
        <v>0</v>
      </c>
      <c r="AP151" s="23">
        <v>0</v>
      </c>
      <c r="AQ151" s="23">
        <v>0</v>
      </c>
      <c r="AR151" s="23">
        <v>0</v>
      </c>
      <c r="AS151" s="23">
        <v>0</v>
      </c>
      <c r="AT151" s="23">
        <v>0</v>
      </c>
      <c r="AU151" s="23">
        <v>80000000</v>
      </c>
      <c r="AV151" s="23">
        <v>0</v>
      </c>
      <c r="AW151" s="23">
        <v>0</v>
      </c>
      <c r="AX151" s="23">
        <v>0</v>
      </c>
      <c r="AY151" s="23">
        <v>0</v>
      </c>
      <c r="AZ151" s="23">
        <v>0</v>
      </c>
      <c r="BA151" s="23">
        <v>0</v>
      </c>
      <c r="BB151" s="23">
        <v>0</v>
      </c>
      <c r="BC151" s="23">
        <v>0</v>
      </c>
      <c r="BD151" s="23">
        <v>0</v>
      </c>
      <c r="BE151" s="23">
        <v>0</v>
      </c>
      <c r="BF151" s="23">
        <v>80000000</v>
      </c>
      <c r="BG151" s="23">
        <v>0</v>
      </c>
      <c r="BH151" s="23">
        <v>0</v>
      </c>
      <c r="BI151" s="23">
        <v>0</v>
      </c>
      <c r="BJ151" s="23">
        <v>0</v>
      </c>
      <c r="BK151" s="23">
        <v>0</v>
      </c>
      <c r="BL151" s="23">
        <v>0</v>
      </c>
      <c r="BM151" s="23">
        <v>0</v>
      </c>
      <c r="BN151" s="23">
        <v>0</v>
      </c>
      <c r="BO151" s="23">
        <v>0</v>
      </c>
      <c r="BP151" s="23">
        <v>0</v>
      </c>
      <c r="BQ151" s="23">
        <v>0</v>
      </c>
      <c r="BR151" s="23">
        <v>0</v>
      </c>
      <c r="BS151" s="23">
        <v>0</v>
      </c>
      <c r="BT151" s="23">
        <v>0</v>
      </c>
      <c r="BU151" s="23">
        <v>0</v>
      </c>
      <c r="BV151" s="23">
        <v>0</v>
      </c>
      <c r="BW151" s="23">
        <v>0</v>
      </c>
      <c r="BX151" s="23">
        <v>0</v>
      </c>
      <c r="BY151" s="23">
        <v>0</v>
      </c>
      <c r="BZ151" s="23">
        <v>0</v>
      </c>
      <c r="CA151" s="23">
        <v>0</v>
      </c>
      <c r="CB151" s="23">
        <v>0</v>
      </c>
      <c r="CC151" s="23">
        <v>0</v>
      </c>
      <c r="CD151" s="23">
        <v>0</v>
      </c>
      <c r="CE151" s="23">
        <f t="shared" si="6"/>
        <v>80000000</v>
      </c>
    </row>
    <row r="152" spans="1:83" ht="15" customHeight="1" x14ac:dyDescent="0.3">
      <c r="A152" s="20" t="s">
        <v>744</v>
      </c>
      <c r="B152" s="20">
        <v>41</v>
      </c>
      <c r="C152" s="20" t="s">
        <v>12</v>
      </c>
      <c r="D152" s="24">
        <v>20100040</v>
      </c>
      <c r="E152" s="20" t="s">
        <v>763</v>
      </c>
      <c r="F152" s="20" t="s">
        <v>719</v>
      </c>
      <c r="G152" s="20" t="s">
        <v>780</v>
      </c>
      <c r="H152" s="29">
        <v>0</v>
      </c>
      <c r="I152" s="30">
        <v>2021</v>
      </c>
      <c r="J152" s="30">
        <v>0</v>
      </c>
      <c r="K152" s="30">
        <v>4104</v>
      </c>
      <c r="L152" s="25" t="s">
        <v>702</v>
      </c>
      <c r="M152" s="32">
        <v>4104006</v>
      </c>
      <c r="N152" s="77" t="s">
        <v>1106</v>
      </c>
      <c r="O152" s="79">
        <v>202500000002043</v>
      </c>
      <c r="P152" s="25" t="s">
        <v>611</v>
      </c>
      <c r="Q152" s="46" t="s">
        <v>853</v>
      </c>
      <c r="R152" s="25" t="s">
        <v>703</v>
      </c>
      <c r="S152" s="25" t="s">
        <v>489</v>
      </c>
      <c r="T152" s="32">
        <v>410400600</v>
      </c>
      <c r="U152" s="25" t="s">
        <v>611</v>
      </c>
      <c r="V152" s="25" t="s">
        <v>18</v>
      </c>
      <c r="W152" s="30">
        <v>1.3</v>
      </c>
      <c r="X152" s="20" t="s">
        <v>23</v>
      </c>
      <c r="Y152" s="22">
        <v>0</v>
      </c>
      <c r="Z152" s="22">
        <v>1</v>
      </c>
      <c r="AA152" s="22">
        <v>0</v>
      </c>
      <c r="AB152" s="22">
        <v>0</v>
      </c>
      <c r="AC152" s="22">
        <v>1</v>
      </c>
      <c r="AD152" s="22">
        <v>0</v>
      </c>
      <c r="AE152" s="22"/>
      <c r="AF152" s="19">
        <f t="shared" si="7"/>
        <v>0</v>
      </c>
      <c r="AG152" s="22" t="s">
        <v>1048</v>
      </c>
      <c r="AH152" s="73" t="s">
        <v>1048</v>
      </c>
      <c r="AI152" s="23">
        <v>0</v>
      </c>
      <c r="AJ152" s="23">
        <v>0</v>
      </c>
      <c r="AK152" s="23">
        <v>0</v>
      </c>
      <c r="AL152" s="23">
        <v>0</v>
      </c>
      <c r="AM152" s="23">
        <v>0</v>
      </c>
      <c r="AN152" s="23">
        <v>0</v>
      </c>
      <c r="AO152" s="23">
        <v>0</v>
      </c>
      <c r="AP152" s="23">
        <v>0</v>
      </c>
      <c r="AQ152" s="23">
        <v>0</v>
      </c>
      <c r="AR152" s="23">
        <v>0</v>
      </c>
      <c r="AS152" s="23">
        <v>0</v>
      </c>
      <c r="AT152" s="23">
        <v>0</v>
      </c>
      <c r="AU152" s="23">
        <v>0</v>
      </c>
      <c r="AV152" s="23">
        <v>0</v>
      </c>
      <c r="AW152" s="23">
        <v>0</v>
      </c>
      <c r="AX152" s="23">
        <v>0</v>
      </c>
      <c r="AY152" s="23">
        <v>0</v>
      </c>
      <c r="AZ152" s="23">
        <v>0</v>
      </c>
      <c r="BA152" s="23">
        <v>0</v>
      </c>
      <c r="BB152" s="23">
        <v>0</v>
      </c>
      <c r="BC152" s="23">
        <v>0</v>
      </c>
      <c r="BD152" s="23">
        <v>0</v>
      </c>
      <c r="BE152" s="23">
        <v>0</v>
      </c>
      <c r="BF152" s="23">
        <v>0</v>
      </c>
      <c r="BG152" s="23">
        <v>0</v>
      </c>
      <c r="BH152" s="23">
        <v>181311778</v>
      </c>
      <c r="BI152" s="23">
        <v>0</v>
      </c>
      <c r="BJ152" s="23">
        <v>0</v>
      </c>
      <c r="BK152" s="23">
        <v>0</v>
      </c>
      <c r="BL152" s="23">
        <v>0</v>
      </c>
      <c r="BM152" s="23">
        <v>0</v>
      </c>
      <c r="BN152" s="23">
        <v>0</v>
      </c>
      <c r="BO152" s="23">
        <v>358688222</v>
      </c>
      <c r="BP152" s="23">
        <v>0</v>
      </c>
      <c r="BQ152" s="23">
        <v>0</v>
      </c>
      <c r="BR152" s="23">
        <v>540000000</v>
      </c>
      <c r="BS152" s="23">
        <v>0</v>
      </c>
      <c r="BT152" s="23">
        <v>0</v>
      </c>
      <c r="BU152" s="23">
        <v>0</v>
      </c>
      <c r="BV152" s="23">
        <v>0</v>
      </c>
      <c r="BW152" s="23">
        <v>0</v>
      </c>
      <c r="BX152" s="23">
        <v>0</v>
      </c>
      <c r="BY152" s="23">
        <v>0</v>
      </c>
      <c r="BZ152" s="23">
        <v>0</v>
      </c>
      <c r="CA152" s="23">
        <v>0</v>
      </c>
      <c r="CB152" s="23">
        <v>0</v>
      </c>
      <c r="CC152" s="23">
        <v>0</v>
      </c>
      <c r="CD152" s="23">
        <v>0</v>
      </c>
      <c r="CE152" s="23">
        <f t="shared" si="6"/>
        <v>540000000</v>
      </c>
    </row>
    <row r="153" spans="1:83" ht="15" customHeight="1" x14ac:dyDescent="0.3">
      <c r="A153" s="20" t="s">
        <v>744</v>
      </c>
      <c r="B153" s="20">
        <v>45</v>
      </c>
      <c r="C153" s="20" t="s">
        <v>393</v>
      </c>
      <c r="D153" s="20">
        <v>60010003</v>
      </c>
      <c r="E153" s="20" t="s">
        <v>724</v>
      </c>
      <c r="F153" s="20" t="s">
        <v>725</v>
      </c>
      <c r="G153" s="20" t="s">
        <v>792</v>
      </c>
      <c r="H153" s="29">
        <v>49.81</v>
      </c>
      <c r="I153" s="30">
        <v>2022</v>
      </c>
      <c r="J153" s="30">
        <v>30</v>
      </c>
      <c r="K153" s="30">
        <v>4501</v>
      </c>
      <c r="L153" s="25" t="s">
        <v>704</v>
      </c>
      <c r="M153" s="32">
        <v>4501067</v>
      </c>
      <c r="N153" s="77" t="s">
        <v>1130</v>
      </c>
      <c r="O153" s="79">
        <v>202500000013911</v>
      </c>
      <c r="P153" s="25" t="s">
        <v>592</v>
      </c>
      <c r="Q153" s="46" t="s">
        <v>854</v>
      </c>
      <c r="R153" s="25" t="s">
        <v>705</v>
      </c>
      <c r="S153" s="25" t="s">
        <v>569</v>
      </c>
      <c r="T153" s="32">
        <v>450106700</v>
      </c>
      <c r="U153" s="25" t="s">
        <v>592</v>
      </c>
      <c r="V153" s="25" t="s">
        <v>18</v>
      </c>
      <c r="W153" s="30">
        <v>16.600000000000001</v>
      </c>
      <c r="X153" s="20" t="s">
        <v>23</v>
      </c>
      <c r="Y153" s="22">
        <v>0</v>
      </c>
      <c r="Z153" s="22">
        <v>1</v>
      </c>
      <c r="AA153" s="22">
        <v>0</v>
      </c>
      <c r="AB153" s="22">
        <v>0</v>
      </c>
      <c r="AC153" s="22">
        <v>0</v>
      </c>
      <c r="AD153" s="22">
        <v>1</v>
      </c>
      <c r="AE153" s="22">
        <v>1</v>
      </c>
      <c r="AF153" s="19">
        <f t="shared" si="7"/>
        <v>100</v>
      </c>
      <c r="AG153" s="22" t="s">
        <v>1048</v>
      </c>
      <c r="AH153" s="73" t="s">
        <v>1048</v>
      </c>
      <c r="AI153" s="23">
        <v>0</v>
      </c>
      <c r="AJ153" s="23">
        <v>0</v>
      </c>
      <c r="AK153" s="23">
        <v>0</v>
      </c>
      <c r="AL153" s="23">
        <v>0</v>
      </c>
      <c r="AM153" s="23">
        <v>0</v>
      </c>
      <c r="AN153" s="23">
        <v>0</v>
      </c>
      <c r="AO153" s="23">
        <v>0</v>
      </c>
      <c r="AP153" s="23">
        <v>0</v>
      </c>
      <c r="AQ153" s="23">
        <v>0</v>
      </c>
      <c r="AR153" s="23">
        <v>0</v>
      </c>
      <c r="AS153" s="23">
        <v>0</v>
      </c>
      <c r="AT153" s="23">
        <v>0</v>
      </c>
      <c r="AU153" s="23">
        <v>0</v>
      </c>
      <c r="AV153" s="23">
        <v>0</v>
      </c>
      <c r="AW153" s="23">
        <v>0</v>
      </c>
      <c r="AX153" s="23">
        <v>0</v>
      </c>
      <c r="AY153" s="23">
        <v>0</v>
      </c>
      <c r="AZ153" s="23">
        <v>0</v>
      </c>
      <c r="BA153" s="23">
        <v>0</v>
      </c>
      <c r="BB153" s="23">
        <v>0</v>
      </c>
      <c r="BC153" s="23">
        <v>0</v>
      </c>
      <c r="BD153" s="23">
        <v>0</v>
      </c>
      <c r="BE153" s="23">
        <v>0</v>
      </c>
      <c r="BF153" s="23">
        <v>0</v>
      </c>
      <c r="BG153" s="23">
        <v>0</v>
      </c>
      <c r="BH153" s="23">
        <v>0</v>
      </c>
      <c r="BI153" s="23">
        <v>0</v>
      </c>
      <c r="BJ153" s="23">
        <v>0</v>
      </c>
      <c r="BK153" s="23">
        <v>0</v>
      </c>
      <c r="BL153" s="23">
        <v>0</v>
      </c>
      <c r="BM153" s="23">
        <v>0</v>
      </c>
      <c r="BN153" s="23">
        <v>0</v>
      </c>
      <c r="BO153" s="23">
        <v>0</v>
      </c>
      <c r="BP153" s="23">
        <v>0</v>
      </c>
      <c r="BQ153" s="23">
        <v>0</v>
      </c>
      <c r="BR153" s="23">
        <v>0</v>
      </c>
      <c r="BS153" s="23">
        <v>0</v>
      </c>
      <c r="BT153" s="23">
        <v>25000000</v>
      </c>
      <c r="BU153" s="23">
        <v>0</v>
      </c>
      <c r="BV153" s="23">
        <v>0</v>
      </c>
      <c r="BW153" s="23">
        <v>0</v>
      </c>
      <c r="BX153" s="23">
        <v>0</v>
      </c>
      <c r="BY153" s="23">
        <v>0</v>
      </c>
      <c r="BZ153" s="23">
        <v>0</v>
      </c>
      <c r="CA153" s="23">
        <v>0</v>
      </c>
      <c r="CB153" s="23">
        <v>0</v>
      </c>
      <c r="CC153" s="23">
        <v>0</v>
      </c>
      <c r="CD153" s="23">
        <v>25000000</v>
      </c>
      <c r="CE153" s="23">
        <f t="shared" si="6"/>
        <v>25000000</v>
      </c>
    </row>
    <row r="154" spans="1:83" ht="15" customHeight="1" x14ac:dyDescent="0.3">
      <c r="A154" s="20" t="s">
        <v>745</v>
      </c>
      <c r="B154" s="20">
        <v>23</v>
      </c>
      <c r="C154" s="20" t="s">
        <v>238</v>
      </c>
      <c r="D154" s="20">
        <v>290030001</v>
      </c>
      <c r="E154" s="20" t="s">
        <v>721</v>
      </c>
      <c r="F154" s="20" t="s">
        <v>606</v>
      </c>
      <c r="G154" s="20" t="s">
        <v>793</v>
      </c>
      <c r="H154" s="29">
        <v>54.529000000000003</v>
      </c>
      <c r="I154" s="30">
        <v>2021</v>
      </c>
      <c r="J154" s="30">
        <v>70</v>
      </c>
      <c r="K154" s="30">
        <v>2301</v>
      </c>
      <c r="L154" s="20" t="s">
        <v>239</v>
      </c>
      <c r="M154" s="30">
        <v>2301030</v>
      </c>
      <c r="N154" s="77" t="s">
        <v>1131</v>
      </c>
      <c r="O154" s="65">
        <v>202500000002036</v>
      </c>
      <c r="P154" s="20" t="s">
        <v>240</v>
      </c>
      <c r="Q154" s="46"/>
      <c r="R154" s="20" t="s">
        <v>241</v>
      </c>
      <c r="S154" s="20" t="s">
        <v>40</v>
      </c>
      <c r="T154" s="30">
        <v>230103000</v>
      </c>
      <c r="U154" s="20" t="s">
        <v>242</v>
      </c>
      <c r="V154" s="20" t="s">
        <v>18</v>
      </c>
      <c r="W154" s="30" t="s">
        <v>589</v>
      </c>
      <c r="X154" s="20" t="s">
        <v>19</v>
      </c>
      <c r="Y154" s="22">
        <v>100</v>
      </c>
      <c r="Z154" s="22">
        <v>300</v>
      </c>
      <c r="AA154" s="22">
        <v>75</v>
      </c>
      <c r="AB154" s="22">
        <v>75</v>
      </c>
      <c r="AC154" s="22">
        <v>75</v>
      </c>
      <c r="AD154" s="22">
        <v>75</v>
      </c>
      <c r="AE154" s="22">
        <v>100</v>
      </c>
      <c r="AF154" s="19">
        <f t="shared" si="7"/>
        <v>33.333333333333329</v>
      </c>
      <c r="AG154" s="57">
        <v>35</v>
      </c>
      <c r="AH154" s="74">
        <v>46.666666666666664</v>
      </c>
      <c r="AI154" s="23">
        <v>0</v>
      </c>
      <c r="AJ154" s="23">
        <v>10125000</v>
      </c>
      <c r="AK154" s="23">
        <v>0</v>
      </c>
      <c r="AL154" s="23">
        <v>0</v>
      </c>
      <c r="AM154" s="23">
        <v>0</v>
      </c>
      <c r="AN154" s="23">
        <v>0</v>
      </c>
      <c r="AO154" s="23">
        <v>0</v>
      </c>
      <c r="AP154" s="23">
        <v>0</v>
      </c>
      <c r="AQ154" s="23">
        <v>0</v>
      </c>
      <c r="AR154" s="23">
        <v>0</v>
      </c>
      <c r="AS154" s="23">
        <v>0</v>
      </c>
      <c r="AT154" s="23">
        <v>10125000</v>
      </c>
      <c r="AU154" s="23">
        <v>0</v>
      </c>
      <c r="AV154" s="23">
        <v>10125000</v>
      </c>
      <c r="AW154" s="23">
        <v>0</v>
      </c>
      <c r="AX154" s="23">
        <v>0</v>
      </c>
      <c r="AY154" s="23">
        <v>0</v>
      </c>
      <c r="AZ154" s="23">
        <v>0</v>
      </c>
      <c r="BA154" s="23">
        <v>0</v>
      </c>
      <c r="BB154" s="23">
        <v>0</v>
      </c>
      <c r="BC154" s="23">
        <v>0</v>
      </c>
      <c r="BD154" s="23">
        <v>0</v>
      </c>
      <c r="BE154" s="23">
        <v>0</v>
      </c>
      <c r="BF154" s="23">
        <v>10125000</v>
      </c>
      <c r="BG154" s="23">
        <v>0</v>
      </c>
      <c r="BH154" s="23">
        <v>10125000</v>
      </c>
      <c r="BI154" s="23">
        <v>0</v>
      </c>
      <c r="BJ154" s="23">
        <v>0</v>
      </c>
      <c r="BK154" s="23">
        <v>0</v>
      </c>
      <c r="BL154" s="23">
        <v>0</v>
      </c>
      <c r="BM154" s="23">
        <v>0</v>
      </c>
      <c r="BN154" s="23">
        <v>0</v>
      </c>
      <c r="BO154" s="23">
        <v>0</v>
      </c>
      <c r="BP154" s="23">
        <v>0</v>
      </c>
      <c r="BQ154" s="23">
        <v>0</v>
      </c>
      <c r="BR154" s="23">
        <v>10125000</v>
      </c>
      <c r="BS154" s="23">
        <v>0</v>
      </c>
      <c r="BT154" s="23">
        <v>10125000</v>
      </c>
      <c r="BU154" s="23">
        <v>0</v>
      </c>
      <c r="BV154" s="23">
        <v>0</v>
      </c>
      <c r="BW154" s="23">
        <v>0</v>
      </c>
      <c r="BX154" s="23">
        <v>0</v>
      </c>
      <c r="BY154" s="23">
        <v>0</v>
      </c>
      <c r="BZ154" s="23">
        <v>0</v>
      </c>
      <c r="CA154" s="23">
        <v>0</v>
      </c>
      <c r="CB154" s="23">
        <v>0</v>
      </c>
      <c r="CC154" s="23">
        <v>0</v>
      </c>
      <c r="CD154" s="23">
        <v>10125000</v>
      </c>
      <c r="CE154" s="23">
        <f t="shared" si="6"/>
        <v>40500000</v>
      </c>
    </row>
    <row r="155" spans="1:83" ht="15" customHeight="1" x14ac:dyDescent="0.3">
      <c r="A155" s="20" t="s">
        <v>745</v>
      </c>
      <c r="B155" s="20">
        <v>23</v>
      </c>
      <c r="C155" s="20" t="s">
        <v>238</v>
      </c>
      <c r="D155" s="20">
        <v>290030001</v>
      </c>
      <c r="E155" s="20" t="s">
        <v>721</v>
      </c>
      <c r="F155" s="20" t="s">
        <v>606</v>
      </c>
      <c r="G155" s="20" t="s">
        <v>793</v>
      </c>
      <c r="H155" s="29">
        <v>54.529000000000003</v>
      </c>
      <c r="I155" s="30">
        <v>2021</v>
      </c>
      <c r="J155" s="30">
        <v>70</v>
      </c>
      <c r="K155" s="30">
        <v>2301</v>
      </c>
      <c r="L155" s="20" t="s">
        <v>239</v>
      </c>
      <c r="M155" s="30">
        <v>2301062</v>
      </c>
      <c r="N155" s="77" t="s">
        <v>1131</v>
      </c>
      <c r="O155" s="65">
        <v>202500000002036</v>
      </c>
      <c r="P155" s="20" t="s">
        <v>312</v>
      </c>
      <c r="Q155" s="46" t="s">
        <v>855</v>
      </c>
      <c r="R155" s="20" t="s">
        <v>313</v>
      </c>
      <c r="S155" s="20" t="s">
        <v>123</v>
      </c>
      <c r="T155" s="30">
        <v>230106200</v>
      </c>
      <c r="U155" s="20" t="s">
        <v>314</v>
      </c>
      <c r="V155" s="20" t="s">
        <v>18</v>
      </c>
      <c r="W155" s="30">
        <v>4.0999999999999996</v>
      </c>
      <c r="X155" s="20" t="s">
        <v>770</v>
      </c>
      <c r="Y155" s="22">
        <v>0</v>
      </c>
      <c r="Z155" s="22">
        <v>240</v>
      </c>
      <c r="AA155" s="22">
        <v>0</v>
      </c>
      <c r="AB155" s="22">
        <v>120</v>
      </c>
      <c r="AC155" s="22">
        <v>0</v>
      </c>
      <c r="AD155" s="22">
        <v>120</v>
      </c>
      <c r="AE155" s="22"/>
      <c r="AF155" s="19">
        <f t="shared" si="7"/>
        <v>0</v>
      </c>
      <c r="AG155" s="22">
        <v>0</v>
      </c>
      <c r="AH155" s="73">
        <v>0</v>
      </c>
      <c r="AI155" s="23">
        <v>0</v>
      </c>
      <c r="AJ155" s="23">
        <v>0</v>
      </c>
      <c r="AK155" s="23">
        <v>0</v>
      </c>
      <c r="AL155" s="23">
        <v>0</v>
      </c>
      <c r="AM155" s="23">
        <v>0</v>
      </c>
      <c r="AN155" s="23">
        <v>0</v>
      </c>
      <c r="AO155" s="23">
        <v>0</v>
      </c>
      <c r="AP155" s="23">
        <v>0</v>
      </c>
      <c r="AQ155" s="23">
        <v>0</v>
      </c>
      <c r="AR155" s="23">
        <v>0</v>
      </c>
      <c r="AS155" s="23">
        <v>0</v>
      </c>
      <c r="AT155" s="23">
        <v>0</v>
      </c>
      <c r="AU155" s="23">
        <v>0</v>
      </c>
      <c r="AV155" s="23">
        <v>12500000</v>
      </c>
      <c r="AW155" s="23">
        <v>0</v>
      </c>
      <c r="AX155" s="23">
        <v>0</v>
      </c>
      <c r="AY155" s="23">
        <v>0</v>
      </c>
      <c r="AZ155" s="23">
        <v>0</v>
      </c>
      <c r="BA155" s="23">
        <v>0</v>
      </c>
      <c r="BB155" s="23">
        <v>0</v>
      </c>
      <c r="BC155" s="23">
        <v>120000000</v>
      </c>
      <c r="BD155" s="23">
        <v>0</v>
      </c>
      <c r="BE155" s="23">
        <v>0</v>
      </c>
      <c r="BF155" s="23">
        <v>132500000</v>
      </c>
      <c r="BG155" s="23">
        <v>0</v>
      </c>
      <c r="BH155" s="23">
        <v>0</v>
      </c>
      <c r="BI155" s="23">
        <v>0</v>
      </c>
      <c r="BJ155" s="23">
        <v>0</v>
      </c>
      <c r="BK155" s="23">
        <v>0</v>
      </c>
      <c r="BL155" s="23">
        <v>0</v>
      </c>
      <c r="BM155" s="23">
        <v>0</v>
      </c>
      <c r="BN155" s="23">
        <v>0</v>
      </c>
      <c r="BO155" s="23">
        <v>0</v>
      </c>
      <c r="BP155" s="23">
        <v>0</v>
      </c>
      <c r="BQ155" s="23">
        <v>0</v>
      </c>
      <c r="BR155" s="23">
        <v>0</v>
      </c>
      <c r="BS155" s="23">
        <v>0</v>
      </c>
      <c r="BT155" s="23">
        <v>12500000</v>
      </c>
      <c r="BU155" s="23">
        <v>0</v>
      </c>
      <c r="BV155" s="23">
        <v>0</v>
      </c>
      <c r="BW155" s="23">
        <v>0</v>
      </c>
      <c r="BX155" s="23">
        <v>0</v>
      </c>
      <c r="BY155" s="23">
        <v>0</v>
      </c>
      <c r="BZ155" s="23">
        <v>0</v>
      </c>
      <c r="CA155" s="23">
        <v>140000000</v>
      </c>
      <c r="CB155" s="23">
        <v>0</v>
      </c>
      <c r="CC155" s="23">
        <v>0</v>
      </c>
      <c r="CD155" s="23">
        <v>152500000</v>
      </c>
      <c r="CE155" s="23">
        <f t="shared" si="6"/>
        <v>285000000</v>
      </c>
    </row>
    <row r="156" spans="1:83" ht="15" customHeight="1" x14ac:dyDescent="0.3">
      <c r="A156" s="20" t="s">
        <v>745</v>
      </c>
      <c r="B156" s="20">
        <v>23</v>
      </c>
      <c r="C156" s="20" t="s">
        <v>238</v>
      </c>
      <c r="D156" s="20">
        <v>290030001</v>
      </c>
      <c r="E156" s="20" t="s">
        <v>721</v>
      </c>
      <c r="F156" s="20" t="s">
        <v>606</v>
      </c>
      <c r="G156" s="20" t="s">
        <v>793</v>
      </c>
      <c r="H156" s="29">
        <v>54.529000000000003</v>
      </c>
      <c r="I156" s="30">
        <v>2021</v>
      </c>
      <c r="J156" s="30">
        <v>70</v>
      </c>
      <c r="K156" s="30">
        <v>2301</v>
      </c>
      <c r="L156" s="20" t="s">
        <v>239</v>
      </c>
      <c r="M156" s="30">
        <v>2301062</v>
      </c>
      <c r="N156" s="77" t="s">
        <v>1131</v>
      </c>
      <c r="O156" s="65">
        <v>202500000002036</v>
      </c>
      <c r="P156" s="20" t="s">
        <v>312</v>
      </c>
      <c r="Q156" s="46" t="s">
        <v>856</v>
      </c>
      <c r="R156" s="20" t="s">
        <v>313</v>
      </c>
      <c r="S156" s="20" t="s">
        <v>123</v>
      </c>
      <c r="T156" s="30">
        <v>230106206</v>
      </c>
      <c r="U156" s="20" t="s">
        <v>369</v>
      </c>
      <c r="V156" s="20" t="s">
        <v>18</v>
      </c>
      <c r="W156" s="30">
        <v>4.0999999999999996</v>
      </c>
      <c r="X156" s="20" t="s">
        <v>770</v>
      </c>
      <c r="Y156" s="22">
        <v>6</v>
      </c>
      <c r="Z156" s="22">
        <v>28</v>
      </c>
      <c r="AA156" s="22">
        <v>7</v>
      </c>
      <c r="AB156" s="22">
        <v>7</v>
      </c>
      <c r="AC156" s="22">
        <v>7</v>
      </c>
      <c r="AD156" s="22">
        <v>7</v>
      </c>
      <c r="AE156" s="22">
        <v>7</v>
      </c>
      <c r="AF156" s="19">
        <f t="shared" si="7"/>
        <v>25</v>
      </c>
      <c r="AG156" s="22">
        <v>3</v>
      </c>
      <c r="AH156" s="73">
        <v>42.857142857142854</v>
      </c>
      <c r="AI156" s="23">
        <v>0</v>
      </c>
      <c r="AJ156" s="23">
        <v>0</v>
      </c>
      <c r="AK156" s="23">
        <v>0</v>
      </c>
      <c r="AL156" s="23">
        <v>0</v>
      </c>
      <c r="AM156" s="23">
        <v>0</v>
      </c>
      <c r="AN156" s="23">
        <v>56000000</v>
      </c>
      <c r="AO156" s="23">
        <v>0</v>
      </c>
      <c r="AP156" s="23">
        <v>0</v>
      </c>
      <c r="AQ156" s="23">
        <v>0</v>
      </c>
      <c r="AR156" s="23">
        <v>0</v>
      </c>
      <c r="AS156" s="23">
        <v>0</v>
      </c>
      <c r="AT156" s="23">
        <v>56000000</v>
      </c>
      <c r="AU156" s="23">
        <v>0</v>
      </c>
      <c r="AV156" s="23">
        <v>0</v>
      </c>
      <c r="AW156" s="23">
        <v>0</v>
      </c>
      <c r="AX156" s="23">
        <v>0</v>
      </c>
      <c r="AY156" s="23">
        <v>0</v>
      </c>
      <c r="AZ156" s="23">
        <v>56000000</v>
      </c>
      <c r="BA156" s="23">
        <v>0</v>
      </c>
      <c r="BB156" s="23">
        <v>0</v>
      </c>
      <c r="BC156" s="23">
        <v>0</v>
      </c>
      <c r="BD156" s="23">
        <v>0</v>
      </c>
      <c r="BE156" s="23">
        <v>0</v>
      </c>
      <c r="BF156" s="23">
        <v>56000000</v>
      </c>
      <c r="BG156" s="23">
        <v>0</v>
      </c>
      <c r="BH156" s="23">
        <v>0</v>
      </c>
      <c r="BI156" s="23">
        <v>0</v>
      </c>
      <c r="BJ156" s="23">
        <v>0</v>
      </c>
      <c r="BK156" s="23">
        <v>0</v>
      </c>
      <c r="BL156" s="23">
        <v>56000000</v>
      </c>
      <c r="BM156" s="23">
        <v>0</v>
      </c>
      <c r="BN156" s="23">
        <v>0</v>
      </c>
      <c r="BO156" s="23">
        <v>0</v>
      </c>
      <c r="BP156" s="23">
        <v>0</v>
      </c>
      <c r="BQ156" s="23">
        <v>0</v>
      </c>
      <c r="BR156" s="23">
        <v>56000000</v>
      </c>
      <c r="BS156" s="23">
        <v>0</v>
      </c>
      <c r="BT156" s="23">
        <v>0</v>
      </c>
      <c r="BU156" s="23">
        <v>0</v>
      </c>
      <c r="BV156" s="23">
        <v>0</v>
      </c>
      <c r="BW156" s="23">
        <v>0</v>
      </c>
      <c r="BX156" s="23">
        <v>56000000</v>
      </c>
      <c r="BY156" s="23">
        <v>0</v>
      </c>
      <c r="BZ156" s="23">
        <v>0</v>
      </c>
      <c r="CA156" s="23">
        <v>0</v>
      </c>
      <c r="CB156" s="23">
        <v>0</v>
      </c>
      <c r="CC156" s="23">
        <v>0</v>
      </c>
      <c r="CD156" s="23">
        <v>56000000</v>
      </c>
      <c r="CE156" s="23">
        <f t="shared" si="6"/>
        <v>224000000</v>
      </c>
    </row>
    <row r="157" spans="1:83" ht="15" customHeight="1" x14ac:dyDescent="0.3">
      <c r="A157" s="20" t="s">
        <v>745</v>
      </c>
      <c r="B157" s="20">
        <v>23</v>
      </c>
      <c r="C157" s="20" t="s">
        <v>238</v>
      </c>
      <c r="D157" s="20">
        <v>290030001</v>
      </c>
      <c r="E157" s="20" t="s">
        <v>721</v>
      </c>
      <c r="F157" s="20" t="s">
        <v>606</v>
      </c>
      <c r="G157" s="20" t="s">
        <v>793</v>
      </c>
      <c r="H157" s="29">
        <v>54.529000000000003</v>
      </c>
      <c r="I157" s="30">
        <v>2021</v>
      </c>
      <c r="J157" s="30">
        <v>70</v>
      </c>
      <c r="K157" s="30">
        <v>2301</v>
      </c>
      <c r="L157" s="20" t="s">
        <v>239</v>
      </c>
      <c r="M157" s="30">
        <v>2301079</v>
      </c>
      <c r="N157" s="77" t="s">
        <v>1131</v>
      </c>
      <c r="O157" s="65">
        <v>202500000002036</v>
      </c>
      <c r="P157" s="20" t="s">
        <v>475</v>
      </c>
      <c r="Q157" s="46"/>
      <c r="R157" s="20" t="s">
        <v>476</v>
      </c>
      <c r="S157" s="20" t="s">
        <v>477</v>
      </c>
      <c r="T157" s="30">
        <v>230107900</v>
      </c>
      <c r="U157" s="20" t="s">
        <v>478</v>
      </c>
      <c r="V157" s="20" t="s">
        <v>18</v>
      </c>
      <c r="W157" s="30" t="s">
        <v>589</v>
      </c>
      <c r="X157" s="20" t="s">
        <v>19</v>
      </c>
      <c r="Y157" s="22">
        <v>0</v>
      </c>
      <c r="Z157" s="22">
        <v>2</v>
      </c>
      <c r="AA157" s="22">
        <v>0</v>
      </c>
      <c r="AB157" s="22">
        <v>1</v>
      </c>
      <c r="AC157" s="22">
        <v>1</v>
      </c>
      <c r="AD157" s="22">
        <v>0</v>
      </c>
      <c r="AE157" s="22"/>
      <c r="AF157" s="19">
        <f t="shared" si="7"/>
        <v>0</v>
      </c>
      <c r="AG157" s="57">
        <v>0</v>
      </c>
      <c r="AH157" s="74">
        <v>0</v>
      </c>
      <c r="AI157" s="23">
        <v>0</v>
      </c>
      <c r="AJ157" s="23">
        <v>0</v>
      </c>
      <c r="AK157" s="23">
        <v>0</v>
      </c>
      <c r="AL157" s="23">
        <v>0</v>
      </c>
      <c r="AM157" s="23">
        <v>0</v>
      </c>
      <c r="AN157" s="23">
        <v>0</v>
      </c>
      <c r="AO157" s="23">
        <v>0</v>
      </c>
      <c r="AP157" s="23">
        <v>0</v>
      </c>
      <c r="AQ157" s="23">
        <v>0</v>
      </c>
      <c r="AR157" s="23">
        <v>0</v>
      </c>
      <c r="AS157" s="23">
        <v>0</v>
      </c>
      <c r="AT157" s="23">
        <v>0</v>
      </c>
      <c r="AU157" s="23">
        <v>0</v>
      </c>
      <c r="AV157" s="23">
        <v>30000000</v>
      </c>
      <c r="AW157" s="23">
        <v>0</v>
      </c>
      <c r="AX157" s="23">
        <v>0</v>
      </c>
      <c r="AY157" s="23">
        <v>0</v>
      </c>
      <c r="AZ157" s="23">
        <v>0</v>
      </c>
      <c r="BA157" s="23">
        <v>0</v>
      </c>
      <c r="BB157" s="23">
        <v>0</v>
      </c>
      <c r="BC157" s="23">
        <v>0</v>
      </c>
      <c r="BD157" s="23">
        <v>0</v>
      </c>
      <c r="BE157" s="23">
        <v>0</v>
      </c>
      <c r="BF157" s="23">
        <v>30000000</v>
      </c>
      <c r="BG157" s="23">
        <v>0</v>
      </c>
      <c r="BH157" s="23">
        <v>30000000</v>
      </c>
      <c r="BI157" s="23">
        <v>0</v>
      </c>
      <c r="BJ157" s="23">
        <v>0</v>
      </c>
      <c r="BK157" s="23">
        <v>0</v>
      </c>
      <c r="BL157" s="23">
        <v>0</v>
      </c>
      <c r="BM157" s="23">
        <v>0</v>
      </c>
      <c r="BN157" s="23">
        <v>0</v>
      </c>
      <c r="BO157" s="23">
        <v>0</v>
      </c>
      <c r="BP157" s="23">
        <v>0</v>
      </c>
      <c r="BQ157" s="23">
        <v>0</v>
      </c>
      <c r="BR157" s="23">
        <v>30000000</v>
      </c>
      <c r="BS157" s="23">
        <v>0</v>
      </c>
      <c r="BT157" s="23">
        <v>0</v>
      </c>
      <c r="BU157" s="23">
        <v>0</v>
      </c>
      <c r="BV157" s="23">
        <v>0</v>
      </c>
      <c r="BW157" s="23">
        <v>0</v>
      </c>
      <c r="BX157" s="23">
        <v>0</v>
      </c>
      <c r="BY157" s="23">
        <v>0</v>
      </c>
      <c r="BZ157" s="23">
        <v>0</v>
      </c>
      <c r="CA157" s="23">
        <v>0</v>
      </c>
      <c r="CB157" s="23">
        <v>0</v>
      </c>
      <c r="CC157" s="23">
        <v>0</v>
      </c>
      <c r="CD157" s="23">
        <v>0</v>
      </c>
      <c r="CE157" s="23">
        <f t="shared" si="6"/>
        <v>60000000</v>
      </c>
    </row>
    <row r="158" spans="1:83" ht="15" customHeight="1" x14ac:dyDescent="0.3">
      <c r="A158" s="20" t="s">
        <v>745</v>
      </c>
      <c r="B158" s="20">
        <v>45</v>
      </c>
      <c r="C158" s="20" t="s">
        <v>393</v>
      </c>
      <c r="D158" s="20">
        <v>60010001</v>
      </c>
      <c r="E158" s="20" t="s">
        <v>727</v>
      </c>
      <c r="F158" s="20" t="s">
        <v>725</v>
      </c>
      <c r="G158" s="20" t="s">
        <v>792</v>
      </c>
      <c r="H158" s="29">
        <v>132.82419999999999</v>
      </c>
      <c r="I158" s="30">
        <v>2022</v>
      </c>
      <c r="J158" s="30">
        <v>90</v>
      </c>
      <c r="K158" s="30">
        <v>4501</v>
      </c>
      <c r="L158" s="20" t="s">
        <v>394</v>
      </c>
      <c r="M158" s="30">
        <v>4501028</v>
      </c>
      <c r="N158" s="77" t="s">
        <v>1130</v>
      </c>
      <c r="O158" s="79">
        <v>202500000013911</v>
      </c>
      <c r="P158" s="20" t="s">
        <v>395</v>
      </c>
      <c r="Q158" s="46"/>
      <c r="R158" s="20" t="s">
        <v>396</v>
      </c>
      <c r="S158" s="20" t="s">
        <v>397</v>
      </c>
      <c r="T158" s="30">
        <v>450102800</v>
      </c>
      <c r="U158" s="20" t="s">
        <v>398</v>
      </c>
      <c r="V158" s="20" t="s">
        <v>18</v>
      </c>
      <c r="W158" s="30" t="s">
        <v>589</v>
      </c>
      <c r="X158" s="20" t="s">
        <v>19</v>
      </c>
      <c r="Y158" s="22">
        <v>0</v>
      </c>
      <c r="Z158" s="22">
        <v>4</v>
      </c>
      <c r="AA158" s="22">
        <v>0</v>
      </c>
      <c r="AB158" s="22">
        <v>4</v>
      </c>
      <c r="AC158" s="22">
        <v>0</v>
      </c>
      <c r="AD158" s="22">
        <v>0</v>
      </c>
      <c r="AE158" s="22">
        <v>5</v>
      </c>
      <c r="AF158" s="19">
        <f t="shared" si="7"/>
        <v>125</v>
      </c>
      <c r="AG158" s="22">
        <v>0</v>
      </c>
      <c r="AH158" s="73">
        <v>0</v>
      </c>
      <c r="AI158" s="23">
        <v>0</v>
      </c>
      <c r="AJ158" s="23">
        <v>0</v>
      </c>
      <c r="AK158" s="23">
        <v>0</v>
      </c>
      <c r="AL158" s="23">
        <v>0</v>
      </c>
      <c r="AM158" s="23">
        <v>0</v>
      </c>
      <c r="AN158" s="23">
        <v>0</v>
      </c>
      <c r="AO158" s="23">
        <v>0</v>
      </c>
      <c r="AP158" s="23">
        <v>0</v>
      </c>
      <c r="AQ158" s="23">
        <v>0</v>
      </c>
      <c r="AR158" s="23">
        <v>0</v>
      </c>
      <c r="AS158" s="23">
        <v>0</v>
      </c>
      <c r="AT158" s="23">
        <v>0</v>
      </c>
      <c r="AU158" s="23">
        <v>80000000</v>
      </c>
      <c r="AV158" s="23">
        <v>0</v>
      </c>
      <c r="AW158" s="23">
        <v>0</v>
      </c>
      <c r="AX158" s="23">
        <v>0</v>
      </c>
      <c r="AY158" s="23">
        <v>0</v>
      </c>
      <c r="AZ158" s="23">
        <v>0</v>
      </c>
      <c r="BA158" s="23">
        <v>0</v>
      </c>
      <c r="BB158" s="23">
        <v>0</v>
      </c>
      <c r="BC158" s="23">
        <v>112000000</v>
      </c>
      <c r="BD158" s="23">
        <v>0</v>
      </c>
      <c r="BE158" s="23">
        <v>0</v>
      </c>
      <c r="BF158" s="23">
        <v>192000000</v>
      </c>
      <c r="BG158" s="23">
        <v>0</v>
      </c>
      <c r="BH158" s="23">
        <v>0</v>
      </c>
      <c r="BI158" s="23">
        <v>0</v>
      </c>
      <c r="BJ158" s="23">
        <v>0</v>
      </c>
      <c r="BK158" s="23">
        <v>0</v>
      </c>
      <c r="BL158" s="23">
        <v>0</v>
      </c>
      <c r="BM158" s="23">
        <v>0</v>
      </c>
      <c r="BN158" s="23">
        <v>0</v>
      </c>
      <c r="BO158" s="23">
        <v>0</v>
      </c>
      <c r="BP158" s="23">
        <v>0</v>
      </c>
      <c r="BQ158" s="23">
        <v>0</v>
      </c>
      <c r="BR158" s="23">
        <v>0</v>
      </c>
      <c r="BS158" s="23">
        <v>0</v>
      </c>
      <c r="BT158" s="23">
        <v>0</v>
      </c>
      <c r="BU158" s="23">
        <v>0</v>
      </c>
      <c r="BV158" s="23">
        <v>0</v>
      </c>
      <c r="BW158" s="23">
        <v>0</v>
      </c>
      <c r="BX158" s="23">
        <v>0</v>
      </c>
      <c r="BY158" s="23">
        <v>0</v>
      </c>
      <c r="BZ158" s="23">
        <v>0</v>
      </c>
      <c r="CA158" s="23">
        <v>0</v>
      </c>
      <c r="CB158" s="23">
        <v>0</v>
      </c>
      <c r="CC158" s="23">
        <v>0</v>
      </c>
      <c r="CD158" s="23">
        <v>0</v>
      </c>
      <c r="CE158" s="23">
        <f t="shared" si="6"/>
        <v>192000000</v>
      </c>
    </row>
    <row r="159" spans="1:83" ht="15" customHeight="1" x14ac:dyDescent="0.3">
      <c r="A159" s="20" t="s">
        <v>745</v>
      </c>
      <c r="B159" s="20">
        <v>45</v>
      </c>
      <c r="C159" s="20" t="s">
        <v>393</v>
      </c>
      <c r="D159" s="24">
        <v>20100040</v>
      </c>
      <c r="E159" s="20" t="s">
        <v>763</v>
      </c>
      <c r="F159" s="20" t="s">
        <v>719</v>
      </c>
      <c r="G159" s="20" t="s">
        <v>780</v>
      </c>
      <c r="H159" s="29">
        <v>0</v>
      </c>
      <c r="I159" s="30">
        <v>2021</v>
      </c>
      <c r="J159" s="30">
        <v>0</v>
      </c>
      <c r="K159" s="30">
        <v>4502</v>
      </c>
      <c r="L159" s="20" t="s">
        <v>399</v>
      </c>
      <c r="M159" s="30">
        <v>4502001</v>
      </c>
      <c r="N159" s="77" t="s">
        <v>1127</v>
      </c>
      <c r="O159" s="79">
        <v>202500000009352</v>
      </c>
      <c r="P159" s="20" t="s">
        <v>400</v>
      </c>
      <c r="Q159" s="46" t="s">
        <v>857</v>
      </c>
      <c r="R159" s="20" t="s">
        <v>401</v>
      </c>
      <c r="S159" s="20" t="s">
        <v>31</v>
      </c>
      <c r="T159" s="30">
        <v>450200101</v>
      </c>
      <c r="U159" s="20" t="s">
        <v>402</v>
      </c>
      <c r="V159" s="20" t="s">
        <v>18</v>
      </c>
      <c r="W159" s="30">
        <v>16.7</v>
      </c>
      <c r="X159" s="20" t="s">
        <v>19</v>
      </c>
      <c r="Y159" s="22">
        <v>1</v>
      </c>
      <c r="Z159" s="22">
        <v>4</v>
      </c>
      <c r="AA159" s="22">
        <v>1</v>
      </c>
      <c r="AB159" s="22">
        <v>1</v>
      </c>
      <c r="AC159" s="22">
        <v>1</v>
      </c>
      <c r="AD159" s="22">
        <v>1</v>
      </c>
      <c r="AE159" s="22">
        <v>1</v>
      </c>
      <c r="AF159" s="19">
        <f t="shared" si="7"/>
        <v>25</v>
      </c>
      <c r="AG159" s="22">
        <v>0</v>
      </c>
      <c r="AH159" s="73">
        <v>0</v>
      </c>
      <c r="AI159" s="23">
        <v>1500000</v>
      </c>
      <c r="AJ159" s="23">
        <v>0</v>
      </c>
      <c r="AK159" s="23">
        <v>0</v>
      </c>
      <c r="AL159" s="23">
        <v>0</v>
      </c>
      <c r="AM159" s="23">
        <v>0</v>
      </c>
      <c r="AN159" s="23">
        <v>0</v>
      </c>
      <c r="AO159" s="23">
        <v>0</v>
      </c>
      <c r="AP159" s="23">
        <v>0</v>
      </c>
      <c r="AQ159" s="23">
        <v>0</v>
      </c>
      <c r="AR159" s="23">
        <v>0</v>
      </c>
      <c r="AS159" s="23">
        <v>0</v>
      </c>
      <c r="AT159" s="23">
        <v>1500000</v>
      </c>
      <c r="AU159" s="23">
        <v>1500000</v>
      </c>
      <c r="AV159" s="23">
        <v>0</v>
      </c>
      <c r="AW159" s="23">
        <v>0</v>
      </c>
      <c r="AX159" s="23">
        <v>0</v>
      </c>
      <c r="AY159" s="23">
        <v>0</v>
      </c>
      <c r="AZ159" s="23">
        <v>0</v>
      </c>
      <c r="BA159" s="23">
        <v>0</v>
      </c>
      <c r="BB159" s="23">
        <v>0</v>
      </c>
      <c r="BC159" s="23">
        <v>0</v>
      </c>
      <c r="BD159" s="23">
        <v>0</v>
      </c>
      <c r="BE159" s="23">
        <v>0</v>
      </c>
      <c r="BF159" s="23">
        <v>1500000</v>
      </c>
      <c r="BG159" s="23">
        <v>1500000</v>
      </c>
      <c r="BH159" s="23">
        <v>0</v>
      </c>
      <c r="BI159" s="23">
        <v>0</v>
      </c>
      <c r="BJ159" s="23">
        <v>0</v>
      </c>
      <c r="BK159" s="23">
        <v>0</v>
      </c>
      <c r="BL159" s="23">
        <v>0</v>
      </c>
      <c r="BM159" s="23">
        <v>0</v>
      </c>
      <c r="BN159" s="23">
        <v>0</v>
      </c>
      <c r="BO159" s="23">
        <v>0</v>
      </c>
      <c r="BP159" s="23">
        <v>0</v>
      </c>
      <c r="BQ159" s="23">
        <v>0</v>
      </c>
      <c r="BR159" s="23">
        <v>1500000</v>
      </c>
      <c r="BS159" s="23">
        <v>1500000</v>
      </c>
      <c r="BT159" s="23">
        <v>0</v>
      </c>
      <c r="BU159" s="23">
        <v>0</v>
      </c>
      <c r="BV159" s="23">
        <v>0</v>
      </c>
      <c r="BW159" s="23">
        <v>0</v>
      </c>
      <c r="BX159" s="23">
        <v>0</v>
      </c>
      <c r="BY159" s="23">
        <v>0</v>
      </c>
      <c r="BZ159" s="23">
        <v>0</v>
      </c>
      <c r="CA159" s="23">
        <v>0</v>
      </c>
      <c r="CB159" s="23">
        <v>0</v>
      </c>
      <c r="CC159" s="23">
        <v>0</v>
      </c>
      <c r="CD159" s="23">
        <v>1500000</v>
      </c>
      <c r="CE159" s="23">
        <f t="shared" si="6"/>
        <v>6000000</v>
      </c>
    </row>
    <row r="160" spans="1:83" ht="15" customHeight="1" x14ac:dyDescent="0.3">
      <c r="A160" s="20" t="s">
        <v>745</v>
      </c>
      <c r="B160" s="20">
        <v>45</v>
      </c>
      <c r="C160" s="20" t="s">
        <v>393</v>
      </c>
      <c r="D160" s="24">
        <v>20100040</v>
      </c>
      <c r="E160" s="20" t="s">
        <v>763</v>
      </c>
      <c r="F160" s="20" t="s">
        <v>719</v>
      </c>
      <c r="G160" s="20" t="s">
        <v>780</v>
      </c>
      <c r="H160" s="29">
        <v>0</v>
      </c>
      <c r="I160" s="30">
        <v>2021</v>
      </c>
      <c r="J160" s="30">
        <v>0</v>
      </c>
      <c r="K160" s="30">
        <v>4502</v>
      </c>
      <c r="L160" s="20" t="s">
        <v>399</v>
      </c>
      <c r="M160" s="30">
        <v>4502008</v>
      </c>
      <c r="N160" s="77" t="s">
        <v>1127</v>
      </c>
      <c r="O160" s="79">
        <v>202500000009352</v>
      </c>
      <c r="P160" s="20" t="s">
        <v>410</v>
      </c>
      <c r="Q160" s="46"/>
      <c r="R160" s="20" t="s">
        <v>411</v>
      </c>
      <c r="S160" s="20" t="s">
        <v>405</v>
      </c>
      <c r="T160" s="30">
        <v>450200800</v>
      </c>
      <c r="U160" s="20" t="s">
        <v>412</v>
      </c>
      <c r="V160" s="20" t="s">
        <v>18</v>
      </c>
      <c r="W160" s="30">
        <v>16.7</v>
      </c>
      <c r="X160" s="20" t="s">
        <v>770</v>
      </c>
      <c r="Y160" s="22">
        <v>4</v>
      </c>
      <c r="Z160" s="22">
        <v>4</v>
      </c>
      <c r="AA160" s="22">
        <v>0</v>
      </c>
      <c r="AB160" s="22">
        <v>1</v>
      </c>
      <c r="AC160" s="22">
        <v>1</v>
      </c>
      <c r="AD160" s="22">
        <v>2</v>
      </c>
      <c r="AE160" s="22"/>
      <c r="AF160" s="19">
        <f t="shared" si="7"/>
        <v>0</v>
      </c>
      <c r="AG160" s="22">
        <v>0</v>
      </c>
      <c r="AH160" s="73">
        <v>0</v>
      </c>
      <c r="AI160" s="23">
        <v>0</v>
      </c>
      <c r="AJ160" s="23">
        <v>0</v>
      </c>
      <c r="AK160" s="23">
        <v>0</v>
      </c>
      <c r="AL160" s="23">
        <v>0</v>
      </c>
      <c r="AM160" s="23">
        <v>0</v>
      </c>
      <c r="AN160" s="23">
        <v>0</v>
      </c>
      <c r="AO160" s="23">
        <v>0</v>
      </c>
      <c r="AP160" s="23">
        <v>0</v>
      </c>
      <c r="AQ160" s="23">
        <v>0</v>
      </c>
      <c r="AR160" s="23">
        <v>0</v>
      </c>
      <c r="AS160" s="23">
        <v>0</v>
      </c>
      <c r="AT160" s="23">
        <v>0</v>
      </c>
      <c r="AU160" s="23">
        <v>10000000</v>
      </c>
      <c r="AV160" s="23">
        <v>0</v>
      </c>
      <c r="AW160" s="23">
        <v>0</v>
      </c>
      <c r="AX160" s="23">
        <v>0</v>
      </c>
      <c r="AY160" s="23">
        <v>0</v>
      </c>
      <c r="AZ160" s="23">
        <v>0</v>
      </c>
      <c r="BA160" s="23">
        <v>0</v>
      </c>
      <c r="BB160" s="23">
        <v>0</v>
      </c>
      <c r="BC160" s="23">
        <v>0</v>
      </c>
      <c r="BD160" s="23">
        <v>0</v>
      </c>
      <c r="BE160" s="23">
        <v>0</v>
      </c>
      <c r="BF160" s="23">
        <v>10000000</v>
      </c>
      <c r="BG160" s="23">
        <v>10000000</v>
      </c>
      <c r="BH160" s="23">
        <v>0</v>
      </c>
      <c r="BI160" s="23">
        <v>0</v>
      </c>
      <c r="BJ160" s="23">
        <v>0</v>
      </c>
      <c r="BK160" s="23">
        <v>0</v>
      </c>
      <c r="BL160" s="23">
        <v>0</v>
      </c>
      <c r="BM160" s="23">
        <v>0</v>
      </c>
      <c r="BN160" s="23">
        <v>0</v>
      </c>
      <c r="BO160" s="23">
        <v>0</v>
      </c>
      <c r="BP160" s="23">
        <v>0</v>
      </c>
      <c r="BQ160" s="23">
        <v>0</v>
      </c>
      <c r="BR160" s="23">
        <v>10000000</v>
      </c>
      <c r="BS160" s="23">
        <v>20000000</v>
      </c>
      <c r="BT160" s="23">
        <v>0</v>
      </c>
      <c r="BU160" s="23">
        <v>0</v>
      </c>
      <c r="BV160" s="23">
        <v>0</v>
      </c>
      <c r="BW160" s="23">
        <v>0</v>
      </c>
      <c r="BX160" s="23">
        <v>0</v>
      </c>
      <c r="BY160" s="23">
        <v>0</v>
      </c>
      <c r="BZ160" s="23">
        <v>0</v>
      </c>
      <c r="CA160" s="23">
        <v>0</v>
      </c>
      <c r="CB160" s="23">
        <v>0</v>
      </c>
      <c r="CC160" s="23">
        <v>0</v>
      </c>
      <c r="CD160" s="23">
        <v>20000000</v>
      </c>
      <c r="CE160" s="23">
        <f t="shared" si="6"/>
        <v>40000000</v>
      </c>
    </row>
    <row r="161" spans="1:83" ht="15" customHeight="1" x14ac:dyDescent="0.3">
      <c r="A161" s="20" t="s">
        <v>745</v>
      </c>
      <c r="B161" s="20">
        <v>45</v>
      </c>
      <c r="C161" s="20" t="s">
        <v>393</v>
      </c>
      <c r="D161" s="20">
        <v>110070002</v>
      </c>
      <c r="E161" s="20" t="s">
        <v>733</v>
      </c>
      <c r="F161" s="20" t="s">
        <v>734</v>
      </c>
      <c r="G161" s="20" t="s">
        <v>791</v>
      </c>
      <c r="H161" s="29">
        <v>0</v>
      </c>
      <c r="I161" s="30">
        <v>2020</v>
      </c>
      <c r="J161" s="30">
        <v>88000</v>
      </c>
      <c r="K161" s="30">
        <v>4503</v>
      </c>
      <c r="L161" s="20" t="s">
        <v>413</v>
      </c>
      <c r="M161" s="30">
        <v>4503004</v>
      </c>
      <c r="N161" s="77" t="s">
        <v>1128</v>
      </c>
      <c r="O161" s="79">
        <v>202500000002032</v>
      </c>
      <c r="P161" s="20" t="s">
        <v>414</v>
      </c>
      <c r="Q161" s="46"/>
      <c r="R161" s="20" t="s">
        <v>415</v>
      </c>
      <c r="S161" s="20" t="s">
        <v>416</v>
      </c>
      <c r="T161" s="30">
        <v>450300400</v>
      </c>
      <c r="U161" s="20" t="s">
        <v>417</v>
      </c>
      <c r="V161" s="20" t="s">
        <v>18</v>
      </c>
      <c r="W161" s="30" t="s">
        <v>586</v>
      </c>
      <c r="X161" s="20" t="s">
        <v>23</v>
      </c>
      <c r="Y161" s="22">
        <v>8</v>
      </c>
      <c r="Z161" s="22">
        <v>20</v>
      </c>
      <c r="AA161" s="22">
        <v>5</v>
      </c>
      <c r="AB161" s="22">
        <v>5</v>
      </c>
      <c r="AC161" s="22">
        <v>5</v>
      </c>
      <c r="AD161" s="22">
        <v>5</v>
      </c>
      <c r="AE161" s="22">
        <v>6</v>
      </c>
      <c r="AF161" s="19">
        <f t="shared" si="7"/>
        <v>30</v>
      </c>
      <c r="AG161" s="22">
        <v>10</v>
      </c>
      <c r="AH161" s="73">
        <v>200</v>
      </c>
      <c r="AI161" s="23">
        <v>0</v>
      </c>
      <c r="AJ161" s="23">
        <v>0</v>
      </c>
      <c r="AK161" s="23">
        <v>0</v>
      </c>
      <c r="AL161" s="23">
        <v>0</v>
      </c>
      <c r="AM161" s="23">
        <v>0</v>
      </c>
      <c r="AN161" s="23">
        <v>100000000</v>
      </c>
      <c r="AO161" s="23">
        <v>0</v>
      </c>
      <c r="AP161" s="23">
        <v>0</v>
      </c>
      <c r="AQ161" s="23">
        <v>0</v>
      </c>
      <c r="AR161" s="23">
        <v>0</v>
      </c>
      <c r="AS161" s="23">
        <v>0</v>
      </c>
      <c r="AT161" s="23">
        <v>100000000</v>
      </c>
      <c r="AU161" s="23">
        <v>0</v>
      </c>
      <c r="AV161" s="23">
        <v>0</v>
      </c>
      <c r="AW161" s="23">
        <v>0</v>
      </c>
      <c r="AX161" s="23">
        <v>0</v>
      </c>
      <c r="AY161" s="23">
        <v>0</v>
      </c>
      <c r="AZ161" s="23">
        <v>100000000</v>
      </c>
      <c r="BA161" s="23">
        <v>0</v>
      </c>
      <c r="BB161" s="23">
        <v>0</v>
      </c>
      <c r="BC161" s="23">
        <v>0</v>
      </c>
      <c r="BD161" s="23">
        <v>0</v>
      </c>
      <c r="BE161" s="23">
        <v>0</v>
      </c>
      <c r="BF161" s="23">
        <v>100000000</v>
      </c>
      <c r="BG161" s="23">
        <v>0</v>
      </c>
      <c r="BH161" s="23">
        <v>0</v>
      </c>
      <c r="BI161" s="23">
        <v>0</v>
      </c>
      <c r="BJ161" s="23">
        <v>0</v>
      </c>
      <c r="BK161" s="23">
        <v>0</v>
      </c>
      <c r="BL161" s="23">
        <v>100000000</v>
      </c>
      <c r="BM161" s="23">
        <v>0</v>
      </c>
      <c r="BN161" s="23">
        <v>0</v>
      </c>
      <c r="BO161" s="23">
        <v>0</v>
      </c>
      <c r="BP161" s="23">
        <v>0</v>
      </c>
      <c r="BQ161" s="23">
        <v>0</v>
      </c>
      <c r="BR161" s="23">
        <v>100000000</v>
      </c>
      <c r="BS161" s="23">
        <v>0</v>
      </c>
      <c r="BT161" s="23">
        <v>0</v>
      </c>
      <c r="BU161" s="23">
        <v>0</v>
      </c>
      <c r="BV161" s="23">
        <v>0</v>
      </c>
      <c r="BW161" s="23">
        <v>0</v>
      </c>
      <c r="BX161" s="23">
        <v>100000000</v>
      </c>
      <c r="BY161" s="23">
        <v>0</v>
      </c>
      <c r="BZ161" s="23">
        <v>0</v>
      </c>
      <c r="CA161" s="23">
        <v>0</v>
      </c>
      <c r="CB161" s="23">
        <v>0</v>
      </c>
      <c r="CC161" s="23">
        <v>0</v>
      </c>
      <c r="CD161" s="23">
        <v>100000000</v>
      </c>
      <c r="CE161" s="23">
        <f t="shared" si="6"/>
        <v>400000000</v>
      </c>
    </row>
    <row r="162" spans="1:83" ht="15" customHeight="1" x14ac:dyDescent="0.3">
      <c r="A162" s="20" t="s">
        <v>745</v>
      </c>
      <c r="B162" s="20">
        <v>45</v>
      </c>
      <c r="C162" s="20" t="s">
        <v>393</v>
      </c>
      <c r="D162" s="20">
        <v>110070002</v>
      </c>
      <c r="E162" s="20" t="s">
        <v>733</v>
      </c>
      <c r="F162" s="20" t="s">
        <v>734</v>
      </c>
      <c r="G162" s="20" t="s">
        <v>791</v>
      </c>
      <c r="H162" s="29">
        <v>0</v>
      </c>
      <c r="I162" s="30">
        <v>2020</v>
      </c>
      <c r="J162" s="30">
        <v>88000</v>
      </c>
      <c r="K162" s="30">
        <v>4503</v>
      </c>
      <c r="L162" s="20" t="s">
        <v>413</v>
      </c>
      <c r="M162" s="30">
        <v>4503018</v>
      </c>
      <c r="N162" s="77" t="s">
        <v>1128</v>
      </c>
      <c r="O162" s="79">
        <v>202500000002032</v>
      </c>
      <c r="P162" s="20" t="s">
        <v>418</v>
      </c>
      <c r="Q162" s="46"/>
      <c r="R162" s="20" t="s">
        <v>419</v>
      </c>
      <c r="S162" s="20" t="s">
        <v>420</v>
      </c>
      <c r="T162" s="30">
        <v>450301800</v>
      </c>
      <c r="U162" s="20" t="s">
        <v>421</v>
      </c>
      <c r="V162" s="20" t="s">
        <v>18</v>
      </c>
      <c r="W162" s="30" t="s">
        <v>586</v>
      </c>
      <c r="X162" s="20" t="s">
        <v>23</v>
      </c>
      <c r="Y162" s="22">
        <v>0</v>
      </c>
      <c r="Z162" s="22">
        <v>1</v>
      </c>
      <c r="AA162" s="22">
        <v>0</v>
      </c>
      <c r="AB162" s="22">
        <v>0</v>
      </c>
      <c r="AC162" s="22">
        <v>1</v>
      </c>
      <c r="AD162" s="22">
        <v>0</v>
      </c>
      <c r="AE162" s="22"/>
      <c r="AF162" s="19">
        <f t="shared" si="7"/>
        <v>0</v>
      </c>
      <c r="AG162" s="22" t="s">
        <v>1048</v>
      </c>
      <c r="AH162" s="73" t="s">
        <v>1048</v>
      </c>
      <c r="AI162" s="23">
        <v>0</v>
      </c>
      <c r="AJ162" s="23">
        <v>0</v>
      </c>
      <c r="AK162" s="23">
        <v>0</v>
      </c>
      <c r="AL162" s="23">
        <v>0</v>
      </c>
      <c r="AM162" s="23">
        <v>0</v>
      </c>
      <c r="AN162" s="23">
        <v>0</v>
      </c>
      <c r="AO162" s="23">
        <v>0</v>
      </c>
      <c r="AP162" s="23">
        <v>0</v>
      </c>
      <c r="AQ162" s="23">
        <v>0</v>
      </c>
      <c r="AR162" s="23">
        <v>0</v>
      </c>
      <c r="AS162" s="23">
        <v>0</v>
      </c>
      <c r="AT162" s="23">
        <v>0</v>
      </c>
      <c r="AU162" s="23">
        <v>0</v>
      </c>
      <c r="AV162" s="23">
        <v>0</v>
      </c>
      <c r="AW162" s="23">
        <v>0</v>
      </c>
      <c r="AX162" s="23">
        <v>0</v>
      </c>
      <c r="AY162" s="23">
        <v>0</v>
      </c>
      <c r="AZ162" s="23">
        <v>0</v>
      </c>
      <c r="BA162" s="23">
        <v>0</v>
      </c>
      <c r="BB162" s="23">
        <v>0</v>
      </c>
      <c r="BC162" s="23">
        <v>0</v>
      </c>
      <c r="BD162" s="23">
        <v>0</v>
      </c>
      <c r="BE162" s="23">
        <v>0</v>
      </c>
      <c r="BF162" s="23">
        <v>0</v>
      </c>
      <c r="BG162" s="23">
        <v>0</v>
      </c>
      <c r="BH162" s="23">
        <v>80000000</v>
      </c>
      <c r="BI162" s="23">
        <v>0</v>
      </c>
      <c r="BJ162" s="23">
        <v>0</v>
      </c>
      <c r="BK162" s="23">
        <v>0</v>
      </c>
      <c r="BL162" s="23">
        <v>0</v>
      </c>
      <c r="BM162" s="23">
        <v>0</v>
      </c>
      <c r="BN162" s="23">
        <v>0</v>
      </c>
      <c r="BO162" s="23">
        <v>0</v>
      </c>
      <c r="BP162" s="23">
        <v>0</v>
      </c>
      <c r="BQ162" s="23">
        <v>13166349</v>
      </c>
      <c r="BR162" s="23">
        <v>93166349</v>
      </c>
      <c r="BS162" s="23">
        <v>0</v>
      </c>
      <c r="BT162" s="23">
        <v>0</v>
      </c>
      <c r="BU162" s="23">
        <v>0</v>
      </c>
      <c r="BV162" s="23">
        <v>0</v>
      </c>
      <c r="BW162" s="23">
        <v>0</v>
      </c>
      <c r="BX162" s="23">
        <v>0</v>
      </c>
      <c r="BY162" s="23">
        <v>0</v>
      </c>
      <c r="BZ162" s="23">
        <v>0</v>
      </c>
      <c r="CA162" s="23">
        <v>0</v>
      </c>
      <c r="CB162" s="23">
        <v>0</v>
      </c>
      <c r="CC162" s="23">
        <v>0</v>
      </c>
      <c r="CD162" s="23">
        <v>0</v>
      </c>
      <c r="CE162" s="23">
        <f t="shared" si="6"/>
        <v>93166349</v>
      </c>
    </row>
    <row r="163" spans="1:83" ht="15" customHeight="1" x14ac:dyDescent="0.3">
      <c r="A163" s="20" t="s">
        <v>745</v>
      </c>
      <c r="B163" s="20">
        <v>45</v>
      </c>
      <c r="C163" s="20" t="s">
        <v>393</v>
      </c>
      <c r="D163" s="20">
        <v>110070002</v>
      </c>
      <c r="E163" s="20" t="s">
        <v>733</v>
      </c>
      <c r="F163" s="20" t="s">
        <v>734</v>
      </c>
      <c r="G163" s="20" t="s">
        <v>791</v>
      </c>
      <c r="H163" s="29">
        <v>0</v>
      </c>
      <c r="I163" s="30">
        <v>2020</v>
      </c>
      <c r="J163" s="30">
        <v>88000</v>
      </c>
      <c r="K163" s="30">
        <v>4503</v>
      </c>
      <c r="L163" s="20" t="s">
        <v>413</v>
      </c>
      <c r="M163" s="30">
        <v>4503023</v>
      </c>
      <c r="N163" s="77" t="s">
        <v>1128</v>
      </c>
      <c r="O163" s="79">
        <v>202500000002032</v>
      </c>
      <c r="P163" s="20" t="s">
        <v>95</v>
      </c>
      <c r="Q163" s="46"/>
      <c r="R163" s="20" t="s">
        <v>200</v>
      </c>
      <c r="S163" s="20" t="s">
        <v>26</v>
      </c>
      <c r="T163" s="30">
        <v>450302301</v>
      </c>
      <c r="U163" s="20" t="s">
        <v>426</v>
      </c>
      <c r="V163" s="20" t="s">
        <v>18</v>
      </c>
      <c r="W163" s="30" t="s">
        <v>586</v>
      </c>
      <c r="X163" s="20" t="s">
        <v>23</v>
      </c>
      <c r="Y163" s="22">
        <v>1</v>
      </c>
      <c r="Z163" s="22">
        <v>4</v>
      </c>
      <c r="AA163" s="22">
        <v>1</v>
      </c>
      <c r="AB163" s="22">
        <v>1</v>
      </c>
      <c r="AC163" s="22">
        <v>1</v>
      </c>
      <c r="AD163" s="22">
        <v>1</v>
      </c>
      <c r="AE163" s="22">
        <v>1</v>
      </c>
      <c r="AF163" s="19">
        <f t="shared" si="7"/>
        <v>25</v>
      </c>
      <c r="AG163" s="22">
        <v>0</v>
      </c>
      <c r="AH163" s="73">
        <v>0</v>
      </c>
      <c r="AI163" s="23">
        <v>5000000</v>
      </c>
      <c r="AJ163" s="23">
        <v>0</v>
      </c>
      <c r="AK163" s="23">
        <v>0</v>
      </c>
      <c r="AL163" s="23">
        <v>0</v>
      </c>
      <c r="AM163" s="23">
        <v>0</v>
      </c>
      <c r="AN163" s="23">
        <v>0</v>
      </c>
      <c r="AO163" s="23">
        <v>0</v>
      </c>
      <c r="AP163" s="23">
        <v>0</v>
      </c>
      <c r="AQ163" s="23">
        <v>0</v>
      </c>
      <c r="AR163" s="23">
        <v>0</v>
      </c>
      <c r="AS163" s="23">
        <v>0</v>
      </c>
      <c r="AT163" s="23">
        <v>5000000</v>
      </c>
      <c r="AU163" s="23">
        <v>5000000</v>
      </c>
      <c r="AV163" s="23">
        <v>0</v>
      </c>
      <c r="AW163" s="23">
        <v>0</v>
      </c>
      <c r="AX163" s="23">
        <v>0</v>
      </c>
      <c r="AY163" s="23">
        <v>0</v>
      </c>
      <c r="AZ163" s="23">
        <v>0</v>
      </c>
      <c r="BA163" s="23">
        <v>0</v>
      </c>
      <c r="BB163" s="23">
        <v>0</v>
      </c>
      <c r="BC163" s="23">
        <v>0</v>
      </c>
      <c r="BD163" s="23">
        <v>0</v>
      </c>
      <c r="BE163" s="23">
        <v>0</v>
      </c>
      <c r="BF163" s="23">
        <v>5000000</v>
      </c>
      <c r="BG163" s="23">
        <v>5000000</v>
      </c>
      <c r="BH163" s="23">
        <v>0</v>
      </c>
      <c r="BI163" s="23">
        <v>0</v>
      </c>
      <c r="BJ163" s="23">
        <v>0</v>
      </c>
      <c r="BK163" s="23">
        <v>0</v>
      </c>
      <c r="BL163" s="23">
        <v>0</v>
      </c>
      <c r="BM163" s="23">
        <v>0</v>
      </c>
      <c r="BN163" s="23">
        <v>0</v>
      </c>
      <c r="BO163" s="23">
        <v>0</v>
      </c>
      <c r="BP163" s="23">
        <v>0</v>
      </c>
      <c r="BQ163" s="23">
        <v>0</v>
      </c>
      <c r="BR163" s="23">
        <v>5000000</v>
      </c>
      <c r="BS163" s="23">
        <v>5000000</v>
      </c>
      <c r="BT163" s="23">
        <v>0</v>
      </c>
      <c r="BU163" s="23">
        <v>0</v>
      </c>
      <c r="BV163" s="23">
        <v>0</v>
      </c>
      <c r="BW163" s="23">
        <v>0</v>
      </c>
      <c r="BX163" s="23">
        <v>0</v>
      </c>
      <c r="BY163" s="23">
        <v>0</v>
      </c>
      <c r="BZ163" s="23">
        <v>0</v>
      </c>
      <c r="CA163" s="23">
        <v>0</v>
      </c>
      <c r="CB163" s="23">
        <v>0</v>
      </c>
      <c r="CC163" s="23">
        <v>0</v>
      </c>
      <c r="CD163" s="23">
        <v>5000000</v>
      </c>
      <c r="CE163" s="23">
        <f t="shared" ref="CE163:CE184" si="8">+CD163+BR163+BF163+AT163</f>
        <v>20000000</v>
      </c>
    </row>
    <row r="164" spans="1:83" ht="15" customHeight="1" x14ac:dyDescent="0.3">
      <c r="A164" s="20" t="s">
        <v>745</v>
      </c>
      <c r="B164" s="20">
        <v>45</v>
      </c>
      <c r="C164" s="20" t="s">
        <v>393</v>
      </c>
      <c r="D164" s="20">
        <v>80010008</v>
      </c>
      <c r="E164" s="20" t="s">
        <v>723</v>
      </c>
      <c r="F164" s="20" t="s">
        <v>719</v>
      </c>
      <c r="G164" s="20" t="s">
        <v>777</v>
      </c>
      <c r="H164" s="29">
        <v>55.990099999999998</v>
      </c>
      <c r="I164" s="30">
        <v>2022</v>
      </c>
      <c r="J164" s="30">
        <v>75</v>
      </c>
      <c r="K164" s="30">
        <v>4599</v>
      </c>
      <c r="L164" s="20" t="s">
        <v>427</v>
      </c>
      <c r="M164" s="30">
        <v>4599005</v>
      </c>
      <c r="N164" s="77" t="s">
        <v>1129</v>
      </c>
      <c r="O164" s="79">
        <v>202500000002025</v>
      </c>
      <c r="P164" s="20" t="s">
        <v>429</v>
      </c>
      <c r="Q164" s="46" t="s">
        <v>858</v>
      </c>
      <c r="R164" s="20" t="s">
        <v>430</v>
      </c>
      <c r="S164" s="20" t="s">
        <v>26</v>
      </c>
      <c r="T164" s="30">
        <v>459900500</v>
      </c>
      <c r="U164" s="20" t="s">
        <v>431</v>
      </c>
      <c r="V164" s="20" t="s">
        <v>18</v>
      </c>
      <c r="W164" s="30">
        <v>17.7</v>
      </c>
      <c r="X164" s="20" t="s">
        <v>19</v>
      </c>
      <c r="Y164" s="22">
        <v>1</v>
      </c>
      <c r="Z164" s="22">
        <v>8</v>
      </c>
      <c r="AA164" s="22">
        <v>2</v>
      </c>
      <c r="AB164" s="22">
        <v>2</v>
      </c>
      <c r="AC164" s="22">
        <v>2</v>
      </c>
      <c r="AD164" s="22">
        <v>2</v>
      </c>
      <c r="AE164" s="22">
        <v>2</v>
      </c>
      <c r="AF164" s="19">
        <f t="shared" si="7"/>
        <v>25</v>
      </c>
      <c r="AG164" s="22">
        <v>2</v>
      </c>
      <c r="AH164" s="73">
        <v>100</v>
      </c>
      <c r="AI164" s="23">
        <v>0</v>
      </c>
      <c r="AJ164" s="23">
        <v>6244000</v>
      </c>
      <c r="AK164" s="23">
        <v>0</v>
      </c>
      <c r="AL164" s="23">
        <v>0</v>
      </c>
      <c r="AM164" s="23">
        <v>0</v>
      </c>
      <c r="AN164" s="23">
        <v>0</v>
      </c>
      <c r="AO164" s="23">
        <v>0</v>
      </c>
      <c r="AP164" s="23">
        <v>0</v>
      </c>
      <c r="AQ164" s="23">
        <v>0</v>
      </c>
      <c r="AR164" s="23">
        <v>0</v>
      </c>
      <c r="AS164" s="23">
        <v>0</v>
      </c>
      <c r="AT164" s="23">
        <v>6244000</v>
      </c>
      <c r="AU164" s="23">
        <v>0</v>
      </c>
      <c r="AV164" s="23">
        <v>6244000</v>
      </c>
      <c r="AW164" s="23">
        <v>0</v>
      </c>
      <c r="AX164" s="23">
        <v>0</v>
      </c>
      <c r="AY164" s="23">
        <v>0</v>
      </c>
      <c r="AZ164" s="23">
        <v>0</v>
      </c>
      <c r="BA164" s="23">
        <v>0</v>
      </c>
      <c r="BB164" s="23">
        <v>0</v>
      </c>
      <c r="BC164" s="23">
        <v>0</v>
      </c>
      <c r="BD164" s="23">
        <v>0</v>
      </c>
      <c r="BE164" s="23">
        <v>0</v>
      </c>
      <c r="BF164" s="23">
        <v>6244000</v>
      </c>
      <c r="BG164" s="23">
        <v>0</v>
      </c>
      <c r="BH164" s="23">
        <v>6244000</v>
      </c>
      <c r="BI164" s="23">
        <v>0</v>
      </c>
      <c r="BJ164" s="23">
        <v>0</v>
      </c>
      <c r="BK164" s="23">
        <v>0</v>
      </c>
      <c r="BL164" s="23">
        <v>0</v>
      </c>
      <c r="BM164" s="23">
        <v>0</v>
      </c>
      <c r="BN164" s="23">
        <v>0</v>
      </c>
      <c r="BO164" s="23">
        <v>0</v>
      </c>
      <c r="BP164" s="23">
        <v>0</v>
      </c>
      <c r="BQ164" s="23">
        <v>0</v>
      </c>
      <c r="BR164" s="23">
        <v>6244000</v>
      </c>
      <c r="BS164" s="23">
        <v>0</v>
      </c>
      <c r="BT164" s="23">
        <v>6244000</v>
      </c>
      <c r="BU164" s="23">
        <v>0</v>
      </c>
      <c r="BV164" s="23">
        <v>0</v>
      </c>
      <c r="BW164" s="23">
        <v>0</v>
      </c>
      <c r="BX164" s="23">
        <v>0</v>
      </c>
      <c r="BY164" s="23">
        <v>0</v>
      </c>
      <c r="BZ164" s="23">
        <v>0</v>
      </c>
      <c r="CA164" s="23">
        <v>0</v>
      </c>
      <c r="CB164" s="23">
        <v>0</v>
      </c>
      <c r="CC164" s="23">
        <v>0</v>
      </c>
      <c r="CD164" s="23">
        <v>6244000</v>
      </c>
      <c r="CE164" s="23">
        <f t="shared" si="8"/>
        <v>24976000</v>
      </c>
    </row>
    <row r="165" spans="1:83" ht="15" customHeight="1" x14ac:dyDescent="0.3">
      <c r="A165" s="20" t="s">
        <v>745</v>
      </c>
      <c r="B165" s="20">
        <v>45</v>
      </c>
      <c r="C165" s="20" t="s">
        <v>393</v>
      </c>
      <c r="D165" s="20">
        <v>80010008</v>
      </c>
      <c r="E165" s="20" t="s">
        <v>723</v>
      </c>
      <c r="F165" s="20" t="s">
        <v>719</v>
      </c>
      <c r="G165" s="20" t="s">
        <v>777</v>
      </c>
      <c r="H165" s="29">
        <v>55.990099999999998</v>
      </c>
      <c r="I165" s="30">
        <v>2022</v>
      </c>
      <c r="J165" s="30">
        <v>75</v>
      </c>
      <c r="K165" s="30">
        <v>4599</v>
      </c>
      <c r="L165" s="20" t="s">
        <v>427</v>
      </c>
      <c r="M165" s="30">
        <v>4599017</v>
      </c>
      <c r="N165" s="77" t="s">
        <v>1129</v>
      </c>
      <c r="O165" s="79">
        <v>202500000002025</v>
      </c>
      <c r="P165" s="20" t="s">
        <v>436</v>
      </c>
      <c r="Q165" s="46" t="s">
        <v>859</v>
      </c>
      <c r="R165" s="20" t="s">
        <v>437</v>
      </c>
      <c r="S165" s="20" t="s">
        <v>420</v>
      </c>
      <c r="T165" s="30">
        <v>459901700</v>
      </c>
      <c r="U165" s="20" t="s">
        <v>438</v>
      </c>
      <c r="V165" s="20" t="s">
        <v>18</v>
      </c>
      <c r="W165" s="30">
        <v>16.600000000000001</v>
      </c>
      <c r="X165" s="20" t="s">
        <v>19</v>
      </c>
      <c r="Y165" s="22">
        <v>0</v>
      </c>
      <c r="Z165" s="22">
        <v>1</v>
      </c>
      <c r="AA165" s="22">
        <v>0</v>
      </c>
      <c r="AB165" s="22">
        <v>1</v>
      </c>
      <c r="AC165" s="22">
        <v>1</v>
      </c>
      <c r="AD165" s="22">
        <v>1</v>
      </c>
      <c r="AE165" s="22"/>
      <c r="AF165" s="19">
        <f t="shared" si="7"/>
        <v>0</v>
      </c>
      <c r="AG165" s="22">
        <v>0</v>
      </c>
      <c r="AH165" s="73">
        <v>0</v>
      </c>
      <c r="AI165" s="23">
        <v>0</v>
      </c>
      <c r="AJ165" s="23">
        <v>0</v>
      </c>
      <c r="AK165" s="23">
        <v>0</v>
      </c>
      <c r="AL165" s="23">
        <v>0</v>
      </c>
      <c r="AM165" s="23">
        <v>0</v>
      </c>
      <c r="AN165" s="23">
        <v>0</v>
      </c>
      <c r="AO165" s="23">
        <v>0</v>
      </c>
      <c r="AP165" s="23">
        <v>0</v>
      </c>
      <c r="AQ165" s="23">
        <v>0</v>
      </c>
      <c r="AR165" s="23">
        <v>0</v>
      </c>
      <c r="AS165" s="23">
        <v>0</v>
      </c>
      <c r="AT165" s="23">
        <v>0</v>
      </c>
      <c r="AU165" s="23">
        <v>26500000</v>
      </c>
      <c r="AV165" s="23">
        <v>0</v>
      </c>
      <c r="AW165" s="23">
        <v>0</v>
      </c>
      <c r="AX165" s="23">
        <v>0</v>
      </c>
      <c r="AY165" s="23">
        <v>0</v>
      </c>
      <c r="AZ165" s="23">
        <v>0</v>
      </c>
      <c r="BA165" s="23">
        <v>0</v>
      </c>
      <c r="BB165" s="23">
        <v>0</v>
      </c>
      <c r="BC165" s="23">
        <v>0</v>
      </c>
      <c r="BD165" s="23">
        <v>0</v>
      </c>
      <c r="BE165" s="23">
        <v>0</v>
      </c>
      <c r="BF165" s="23">
        <v>26500000</v>
      </c>
      <c r="BG165" s="23">
        <v>26500000</v>
      </c>
      <c r="BH165" s="23">
        <v>0</v>
      </c>
      <c r="BI165" s="23">
        <v>0</v>
      </c>
      <c r="BJ165" s="23">
        <v>0</v>
      </c>
      <c r="BK165" s="23">
        <v>0</v>
      </c>
      <c r="BL165" s="23">
        <v>0</v>
      </c>
      <c r="BM165" s="23">
        <v>0</v>
      </c>
      <c r="BN165" s="23">
        <v>0</v>
      </c>
      <c r="BO165" s="23">
        <v>0</v>
      </c>
      <c r="BP165" s="23">
        <v>0</v>
      </c>
      <c r="BQ165" s="23">
        <v>0</v>
      </c>
      <c r="BR165" s="23">
        <v>26500000</v>
      </c>
      <c r="BS165" s="23">
        <v>26500000</v>
      </c>
      <c r="BT165" s="23">
        <v>0</v>
      </c>
      <c r="BU165" s="23">
        <v>0</v>
      </c>
      <c r="BV165" s="23">
        <v>0</v>
      </c>
      <c r="BW165" s="23">
        <v>0</v>
      </c>
      <c r="BX165" s="23">
        <v>0</v>
      </c>
      <c r="BY165" s="23">
        <v>0</v>
      </c>
      <c r="BZ165" s="23">
        <v>0</v>
      </c>
      <c r="CA165" s="23">
        <v>0</v>
      </c>
      <c r="CB165" s="23">
        <v>0</v>
      </c>
      <c r="CC165" s="23">
        <v>0</v>
      </c>
      <c r="CD165" s="23">
        <v>26500000</v>
      </c>
      <c r="CE165" s="23">
        <f t="shared" si="8"/>
        <v>79500000</v>
      </c>
    </row>
    <row r="166" spans="1:83" ht="15" customHeight="1" x14ac:dyDescent="0.3">
      <c r="A166" s="20" t="s">
        <v>745</v>
      </c>
      <c r="B166" s="20">
        <v>45</v>
      </c>
      <c r="C166" s="20" t="s">
        <v>393</v>
      </c>
      <c r="D166" s="20">
        <v>80010008</v>
      </c>
      <c r="E166" s="20" t="s">
        <v>723</v>
      </c>
      <c r="F166" s="20" t="s">
        <v>719</v>
      </c>
      <c r="G166" s="20" t="s">
        <v>777</v>
      </c>
      <c r="H166" s="29">
        <v>55.990099999999998</v>
      </c>
      <c r="I166" s="30">
        <v>2022</v>
      </c>
      <c r="J166" s="30">
        <v>75</v>
      </c>
      <c r="K166" s="30">
        <v>4599</v>
      </c>
      <c r="L166" s="20" t="s">
        <v>427</v>
      </c>
      <c r="M166" s="30">
        <v>4599023</v>
      </c>
      <c r="N166" s="77" t="s">
        <v>1129</v>
      </c>
      <c r="O166" s="79">
        <v>202500000002025</v>
      </c>
      <c r="P166" s="20" t="s">
        <v>439</v>
      </c>
      <c r="Q166" s="46" t="s">
        <v>860</v>
      </c>
      <c r="R166" s="20" t="s">
        <v>440</v>
      </c>
      <c r="S166" s="20" t="s">
        <v>420</v>
      </c>
      <c r="T166" s="30">
        <v>459902300</v>
      </c>
      <c r="U166" s="20" t="s">
        <v>441</v>
      </c>
      <c r="V166" s="20" t="s">
        <v>18</v>
      </c>
      <c r="W166" s="30">
        <v>16.600000000000001</v>
      </c>
      <c r="X166" s="20" t="s">
        <v>23</v>
      </c>
      <c r="Y166" s="22">
        <v>1</v>
      </c>
      <c r="Z166" s="22">
        <v>1</v>
      </c>
      <c r="AA166" s="22">
        <v>1</v>
      </c>
      <c r="AB166" s="22">
        <v>1</v>
      </c>
      <c r="AC166" s="22">
        <v>1</v>
      </c>
      <c r="AD166" s="22">
        <v>1</v>
      </c>
      <c r="AE166" s="22">
        <v>1</v>
      </c>
      <c r="AF166" s="19">
        <f t="shared" si="7"/>
        <v>100</v>
      </c>
      <c r="AG166" s="22">
        <v>1</v>
      </c>
      <c r="AH166" s="73">
        <v>100</v>
      </c>
      <c r="AI166" s="23">
        <v>38000000</v>
      </c>
      <c r="AJ166" s="23">
        <v>0</v>
      </c>
      <c r="AK166" s="23">
        <v>0</v>
      </c>
      <c r="AL166" s="23">
        <v>0</v>
      </c>
      <c r="AM166" s="23">
        <v>0</v>
      </c>
      <c r="AN166" s="23">
        <v>0</v>
      </c>
      <c r="AO166" s="23">
        <v>0</v>
      </c>
      <c r="AP166" s="23">
        <v>0</v>
      </c>
      <c r="AQ166" s="23">
        <v>0</v>
      </c>
      <c r="AR166" s="23">
        <v>0</v>
      </c>
      <c r="AS166" s="23">
        <v>0</v>
      </c>
      <c r="AT166" s="23">
        <v>38000000</v>
      </c>
      <c r="AU166" s="23">
        <v>38000000</v>
      </c>
      <c r="AV166" s="23">
        <v>0</v>
      </c>
      <c r="AW166" s="23">
        <v>0</v>
      </c>
      <c r="AX166" s="23">
        <v>0</v>
      </c>
      <c r="AY166" s="23">
        <v>0</v>
      </c>
      <c r="AZ166" s="23">
        <v>0</v>
      </c>
      <c r="BA166" s="23">
        <v>0</v>
      </c>
      <c r="BB166" s="23">
        <v>0</v>
      </c>
      <c r="BC166" s="23">
        <v>0</v>
      </c>
      <c r="BD166" s="23">
        <v>0</v>
      </c>
      <c r="BE166" s="23">
        <v>0</v>
      </c>
      <c r="BF166" s="23">
        <v>38000000</v>
      </c>
      <c r="BG166" s="23">
        <v>38000000</v>
      </c>
      <c r="BH166" s="23">
        <v>0</v>
      </c>
      <c r="BI166" s="23">
        <v>0</v>
      </c>
      <c r="BJ166" s="23">
        <v>0</v>
      </c>
      <c r="BK166" s="23">
        <v>0</v>
      </c>
      <c r="BL166" s="23">
        <v>0</v>
      </c>
      <c r="BM166" s="23">
        <v>0</v>
      </c>
      <c r="BN166" s="23">
        <v>0</v>
      </c>
      <c r="BO166" s="23">
        <v>0</v>
      </c>
      <c r="BP166" s="23">
        <v>0</v>
      </c>
      <c r="BQ166" s="23">
        <v>0</v>
      </c>
      <c r="BR166" s="23">
        <v>38000000</v>
      </c>
      <c r="BS166" s="23">
        <v>38000000</v>
      </c>
      <c r="BT166" s="23">
        <v>0</v>
      </c>
      <c r="BU166" s="23">
        <v>0</v>
      </c>
      <c r="BV166" s="23">
        <v>0</v>
      </c>
      <c r="BW166" s="23">
        <v>0</v>
      </c>
      <c r="BX166" s="23">
        <v>0</v>
      </c>
      <c r="BY166" s="23">
        <v>0</v>
      </c>
      <c r="BZ166" s="23">
        <v>0</v>
      </c>
      <c r="CA166" s="23">
        <v>0</v>
      </c>
      <c r="CB166" s="23">
        <v>0</v>
      </c>
      <c r="CC166" s="23">
        <v>0</v>
      </c>
      <c r="CD166" s="23">
        <v>38000000</v>
      </c>
      <c r="CE166" s="23">
        <f t="shared" si="8"/>
        <v>152000000</v>
      </c>
    </row>
    <row r="167" spans="1:83" ht="15" customHeight="1" x14ac:dyDescent="0.3">
      <c r="A167" s="20" t="s">
        <v>745</v>
      </c>
      <c r="B167" s="20">
        <v>45</v>
      </c>
      <c r="C167" s="20" t="s">
        <v>393</v>
      </c>
      <c r="D167" s="20">
        <v>110070002</v>
      </c>
      <c r="E167" s="20" t="s">
        <v>733</v>
      </c>
      <c r="F167" s="20" t="s">
        <v>734</v>
      </c>
      <c r="G167" s="20" t="s">
        <v>791</v>
      </c>
      <c r="H167" s="29">
        <v>0</v>
      </c>
      <c r="I167" s="30">
        <v>2020</v>
      </c>
      <c r="J167" s="30">
        <v>88000</v>
      </c>
      <c r="K167" s="30">
        <v>4503</v>
      </c>
      <c r="L167" s="20" t="s">
        <v>413</v>
      </c>
      <c r="M167" s="30">
        <v>4503028</v>
      </c>
      <c r="N167" s="77" t="s">
        <v>1128</v>
      </c>
      <c r="O167" s="79">
        <v>202500000002032</v>
      </c>
      <c r="P167" s="20" t="s">
        <v>443</v>
      </c>
      <c r="Q167" s="46"/>
      <c r="R167" s="20" t="s">
        <v>444</v>
      </c>
      <c r="S167" s="20" t="s">
        <v>40</v>
      </c>
      <c r="T167" s="30">
        <v>450302800</v>
      </c>
      <c r="U167" s="20" t="s">
        <v>445</v>
      </c>
      <c r="V167" s="20" t="s">
        <v>18</v>
      </c>
      <c r="W167" s="30">
        <v>1.5</v>
      </c>
      <c r="X167" s="20" t="s">
        <v>23</v>
      </c>
      <c r="Y167" s="22">
        <v>0</v>
      </c>
      <c r="Z167" s="22">
        <v>20</v>
      </c>
      <c r="AA167" s="22">
        <v>5</v>
      </c>
      <c r="AB167" s="22">
        <v>5</v>
      </c>
      <c r="AC167" s="22">
        <v>5</v>
      </c>
      <c r="AD167" s="22">
        <v>5</v>
      </c>
      <c r="AE167" s="22"/>
      <c r="AF167" s="19">
        <f t="shared" si="7"/>
        <v>0</v>
      </c>
      <c r="AG167" s="22">
        <v>15</v>
      </c>
      <c r="AH167" s="73">
        <v>300</v>
      </c>
      <c r="AI167" s="23">
        <v>0</v>
      </c>
      <c r="AJ167" s="23">
        <v>0</v>
      </c>
      <c r="AK167" s="23">
        <v>0</v>
      </c>
      <c r="AL167" s="23">
        <v>0</v>
      </c>
      <c r="AM167" s="23">
        <v>0</v>
      </c>
      <c r="AN167" s="23">
        <v>22500000</v>
      </c>
      <c r="AO167" s="23">
        <v>0</v>
      </c>
      <c r="AP167" s="23">
        <v>0</v>
      </c>
      <c r="AQ167" s="23">
        <v>0</v>
      </c>
      <c r="AR167" s="23">
        <v>0</v>
      </c>
      <c r="AS167" s="23">
        <v>0</v>
      </c>
      <c r="AT167" s="23">
        <v>22500000</v>
      </c>
      <c r="AU167" s="23">
        <v>0</v>
      </c>
      <c r="AV167" s="23">
        <v>0</v>
      </c>
      <c r="AW167" s="23">
        <v>0</v>
      </c>
      <c r="AX167" s="23">
        <v>0</v>
      </c>
      <c r="AY167" s="23">
        <v>0</v>
      </c>
      <c r="AZ167" s="23">
        <v>22500000</v>
      </c>
      <c r="BA167" s="23">
        <v>0</v>
      </c>
      <c r="BB167" s="23">
        <v>0</v>
      </c>
      <c r="BC167" s="23">
        <v>0</v>
      </c>
      <c r="BD167" s="23">
        <v>0</v>
      </c>
      <c r="BE167" s="23">
        <v>0</v>
      </c>
      <c r="BF167" s="23">
        <v>22500000</v>
      </c>
      <c r="BG167" s="23">
        <v>0</v>
      </c>
      <c r="BH167" s="23">
        <v>0</v>
      </c>
      <c r="BI167" s="23">
        <v>0</v>
      </c>
      <c r="BJ167" s="23">
        <v>0</v>
      </c>
      <c r="BK167" s="23">
        <v>0</v>
      </c>
      <c r="BL167" s="23">
        <v>22500000</v>
      </c>
      <c r="BM167" s="23">
        <v>0</v>
      </c>
      <c r="BN167" s="23">
        <v>0</v>
      </c>
      <c r="BO167" s="23">
        <v>0</v>
      </c>
      <c r="BP167" s="23">
        <v>0</v>
      </c>
      <c r="BQ167" s="23">
        <v>0</v>
      </c>
      <c r="BR167" s="23">
        <v>22500000</v>
      </c>
      <c r="BS167" s="23">
        <v>0</v>
      </c>
      <c r="BT167" s="23">
        <v>0</v>
      </c>
      <c r="BU167" s="23">
        <v>0</v>
      </c>
      <c r="BV167" s="23">
        <v>0</v>
      </c>
      <c r="BW167" s="23">
        <v>0</v>
      </c>
      <c r="BX167" s="23">
        <v>22500000</v>
      </c>
      <c r="BY167" s="23">
        <v>0</v>
      </c>
      <c r="BZ167" s="23">
        <v>0</v>
      </c>
      <c r="CA167" s="23">
        <v>0</v>
      </c>
      <c r="CB167" s="23">
        <v>0</v>
      </c>
      <c r="CC167" s="23">
        <v>0</v>
      </c>
      <c r="CD167" s="23">
        <v>22500000</v>
      </c>
      <c r="CE167" s="23">
        <f t="shared" si="8"/>
        <v>90000000</v>
      </c>
    </row>
    <row r="168" spans="1:83" ht="15" customHeight="1" x14ac:dyDescent="0.3">
      <c r="A168" s="20" t="s">
        <v>745</v>
      </c>
      <c r="B168" s="20">
        <v>45</v>
      </c>
      <c r="C168" s="20" t="s">
        <v>393</v>
      </c>
      <c r="D168" s="20">
        <v>60010001</v>
      </c>
      <c r="E168" s="20" t="s">
        <v>727</v>
      </c>
      <c r="F168" s="20" t="s">
        <v>725</v>
      </c>
      <c r="G168" s="20" t="s">
        <v>792</v>
      </c>
      <c r="H168" s="29">
        <v>132.82419999999999</v>
      </c>
      <c r="I168" s="30">
        <v>2022</v>
      </c>
      <c r="J168" s="30">
        <v>90</v>
      </c>
      <c r="K168" s="30">
        <v>4501</v>
      </c>
      <c r="L168" s="20" t="s">
        <v>394</v>
      </c>
      <c r="M168" s="30">
        <v>4501048</v>
      </c>
      <c r="N168" s="77" t="s">
        <v>1130</v>
      </c>
      <c r="O168" s="79">
        <v>202500000013911</v>
      </c>
      <c r="P168" s="20" t="s">
        <v>446</v>
      </c>
      <c r="Q168" s="46" t="s">
        <v>861</v>
      </c>
      <c r="R168" s="20" t="s">
        <v>447</v>
      </c>
      <c r="S168" s="20" t="s">
        <v>448</v>
      </c>
      <c r="T168" s="30">
        <v>450104800</v>
      </c>
      <c r="U168" s="20" t="s">
        <v>449</v>
      </c>
      <c r="V168" s="20" t="s">
        <v>18</v>
      </c>
      <c r="W168" s="30">
        <v>16.3</v>
      </c>
      <c r="X168" s="20" t="s">
        <v>19</v>
      </c>
      <c r="Y168" s="22">
        <v>0</v>
      </c>
      <c r="Z168" s="22">
        <v>4</v>
      </c>
      <c r="AA168" s="22">
        <v>1</v>
      </c>
      <c r="AB168" s="22">
        <v>1</v>
      </c>
      <c r="AC168" s="22">
        <v>1</v>
      </c>
      <c r="AD168" s="22">
        <v>1</v>
      </c>
      <c r="AE168" s="22">
        <v>1</v>
      </c>
      <c r="AF168" s="19">
        <f t="shared" si="7"/>
        <v>25</v>
      </c>
      <c r="AG168" s="22">
        <v>1</v>
      </c>
      <c r="AH168" s="73">
        <v>100</v>
      </c>
      <c r="AI168" s="23">
        <v>3500000</v>
      </c>
      <c r="AJ168" s="23">
        <v>0</v>
      </c>
      <c r="AK168" s="23">
        <v>0</v>
      </c>
      <c r="AL168" s="23">
        <v>0</v>
      </c>
      <c r="AM168" s="23">
        <v>0</v>
      </c>
      <c r="AN168" s="23">
        <v>0</v>
      </c>
      <c r="AO168" s="23">
        <v>0</v>
      </c>
      <c r="AP168" s="23">
        <v>0</v>
      </c>
      <c r="AQ168" s="23">
        <v>0</v>
      </c>
      <c r="AR168" s="23">
        <v>0</v>
      </c>
      <c r="AS168" s="23">
        <v>0</v>
      </c>
      <c r="AT168" s="23">
        <v>3500000</v>
      </c>
      <c r="AU168" s="23">
        <v>3500000</v>
      </c>
      <c r="AV168" s="23">
        <v>0</v>
      </c>
      <c r="AW168" s="23">
        <v>0</v>
      </c>
      <c r="AX168" s="23">
        <v>0</v>
      </c>
      <c r="AY168" s="23">
        <v>0</v>
      </c>
      <c r="AZ168" s="23">
        <v>0</v>
      </c>
      <c r="BA168" s="23">
        <v>0</v>
      </c>
      <c r="BB168" s="23">
        <v>0</v>
      </c>
      <c r="BC168" s="23">
        <v>0</v>
      </c>
      <c r="BD168" s="23">
        <v>0</v>
      </c>
      <c r="BE168" s="23">
        <v>0</v>
      </c>
      <c r="BF168" s="23">
        <v>3500000</v>
      </c>
      <c r="BG168" s="23">
        <v>3500000</v>
      </c>
      <c r="BH168" s="23">
        <v>0</v>
      </c>
      <c r="BI168" s="23">
        <v>0</v>
      </c>
      <c r="BJ168" s="23">
        <v>0</v>
      </c>
      <c r="BK168" s="23">
        <v>0</v>
      </c>
      <c r="BL168" s="23">
        <v>0</v>
      </c>
      <c r="BM168" s="23">
        <v>0</v>
      </c>
      <c r="BN168" s="23">
        <v>0</v>
      </c>
      <c r="BO168" s="23">
        <v>0</v>
      </c>
      <c r="BP168" s="23">
        <v>0</v>
      </c>
      <c r="BQ168" s="23">
        <v>0</v>
      </c>
      <c r="BR168" s="23">
        <v>3500000</v>
      </c>
      <c r="BS168" s="23">
        <v>3500000</v>
      </c>
      <c r="BT168" s="23">
        <v>0</v>
      </c>
      <c r="BU168" s="23">
        <v>0</v>
      </c>
      <c r="BV168" s="23">
        <v>0</v>
      </c>
      <c r="BW168" s="23">
        <v>0</v>
      </c>
      <c r="BX168" s="23">
        <v>0</v>
      </c>
      <c r="BY168" s="23">
        <v>0</v>
      </c>
      <c r="BZ168" s="23">
        <v>0</v>
      </c>
      <c r="CA168" s="23">
        <v>0</v>
      </c>
      <c r="CB168" s="23">
        <v>0</v>
      </c>
      <c r="CC168" s="23">
        <v>0</v>
      </c>
      <c r="CD168" s="23">
        <v>3500000</v>
      </c>
      <c r="CE168" s="23">
        <f t="shared" si="8"/>
        <v>14000000</v>
      </c>
    </row>
    <row r="169" spans="1:83" ht="15" customHeight="1" x14ac:dyDescent="0.3">
      <c r="A169" s="20" t="s">
        <v>745</v>
      </c>
      <c r="B169" s="20">
        <v>45</v>
      </c>
      <c r="C169" s="20" t="s">
        <v>393</v>
      </c>
      <c r="D169" s="20">
        <v>80010008</v>
      </c>
      <c r="E169" s="20" t="s">
        <v>723</v>
      </c>
      <c r="F169" s="20" t="s">
        <v>719</v>
      </c>
      <c r="G169" s="20" t="s">
        <v>777</v>
      </c>
      <c r="H169" s="29">
        <v>55.990099999999998</v>
      </c>
      <c r="I169" s="30">
        <v>2022</v>
      </c>
      <c r="J169" s="30">
        <v>75</v>
      </c>
      <c r="K169" s="30">
        <v>4599</v>
      </c>
      <c r="L169" s="20" t="s">
        <v>427</v>
      </c>
      <c r="M169" s="30">
        <v>4599029</v>
      </c>
      <c r="N169" s="77" t="s">
        <v>1129</v>
      </c>
      <c r="O169" s="79">
        <v>202500000002025</v>
      </c>
      <c r="P169" s="20" t="s">
        <v>450</v>
      </c>
      <c r="Q169" s="46" t="s">
        <v>862</v>
      </c>
      <c r="R169" s="20" t="s">
        <v>451</v>
      </c>
      <c r="S169" s="20" t="s">
        <v>452</v>
      </c>
      <c r="T169" s="30">
        <v>459902900</v>
      </c>
      <c r="U169" s="20" t="s">
        <v>453</v>
      </c>
      <c r="V169" s="20" t="s">
        <v>18</v>
      </c>
      <c r="W169" s="30">
        <v>16.600000000000001</v>
      </c>
      <c r="X169" s="20" t="s">
        <v>19</v>
      </c>
      <c r="Y169" s="22">
        <v>2</v>
      </c>
      <c r="Z169" s="22">
        <v>4</v>
      </c>
      <c r="AA169" s="22">
        <v>1</v>
      </c>
      <c r="AB169" s="22">
        <v>1</v>
      </c>
      <c r="AC169" s="22">
        <v>1</v>
      </c>
      <c r="AD169" s="22">
        <v>1</v>
      </c>
      <c r="AE169" s="22">
        <v>2</v>
      </c>
      <c r="AF169" s="19">
        <f t="shared" si="7"/>
        <v>50</v>
      </c>
      <c r="AG169" s="22">
        <v>1</v>
      </c>
      <c r="AH169" s="73">
        <v>100</v>
      </c>
      <c r="AI169" s="23">
        <v>7000000</v>
      </c>
      <c r="AJ169" s="23">
        <v>0</v>
      </c>
      <c r="AK169" s="23">
        <v>0</v>
      </c>
      <c r="AL169" s="23">
        <v>0</v>
      </c>
      <c r="AM169" s="23">
        <v>0</v>
      </c>
      <c r="AN169" s="23">
        <v>0</v>
      </c>
      <c r="AO169" s="23">
        <v>0</v>
      </c>
      <c r="AP169" s="23">
        <v>0</v>
      </c>
      <c r="AQ169" s="23">
        <v>0</v>
      </c>
      <c r="AR169" s="23">
        <v>0</v>
      </c>
      <c r="AS169" s="23">
        <v>0</v>
      </c>
      <c r="AT169" s="23">
        <v>7000000</v>
      </c>
      <c r="AU169" s="23">
        <v>7000000</v>
      </c>
      <c r="AV169" s="23">
        <v>0</v>
      </c>
      <c r="AW169" s="23">
        <v>0</v>
      </c>
      <c r="AX169" s="23">
        <v>0</v>
      </c>
      <c r="AY169" s="23">
        <v>0</v>
      </c>
      <c r="AZ169" s="23">
        <v>0</v>
      </c>
      <c r="BA169" s="23">
        <v>0</v>
      </c>
      <c r="BB169" s="23">
        <v>0</v>
      </c>
      <c r="BC169" s="23">
        <v>0</v>
      </c>
      <c r="BD169" s="23">
        <v>0</v>
      </c>
      <c r="BE169" s="23">
        <v>0</v>
      </c>
      <c r="BF169" s="23">
        <v>7000000</v>
      </c>
      <c r="BG169" s="23">
        <v>7000000</v>
      </c>
      <c r="BH169" s="23">
        <v>0</v>
      </c>
      <c r="BI169" s="23">
        <v>0</v>
      </c>
      <c r="BJ169" s="23">
        <v>0</v>
      </c>
      <c r="BK169" s="23">
        <v>0</v>
      </c>
      <c r="BL169" s="23">
        <v>0</v>
      </c>
      <c r="BM169" s="23">
        <v>0</v>
      </c>
      <c r="BN169" s="23">
        <v>0</v>
      </c>
      <c r="BO169" s="23">
        <v>0</v>
      </c>
      <c r="BP169" s="23">
        <v>0</v>
      </c>
      <c r="BQ169" s="23">
        <v>0</v>
      </c>
      <c r="BR169" s="23">
        <v>7000000</v>
      </c>
      <c r="BS169" s="23">
        <v>7000000</v>
      </c>
      <c r="BT169" s="23">
        <v>0</v>
      </c>
      <c r="BU169" s="23">
        <v>0</v>
      </c>
      <c r="BV169" s="23">
        <v>0</v>
      </c>
      <c r="BW169" s="23">
        <v>0</v>
      </c>
      <c r="BX169" s="23">
        <v>0</v>
      </c>
      <c r="BY169" s="23">
        <v>0</v>
      </c>
      <c r="BZ169" s="23">
        <v>0</v>
      </c>
      <c r="CA169" s="23">
        <v>0</v>
      </c>
      <c r="CB169" s="23">
        <v>0</v>
      </c>
      <c r="CC169" s="23">
        <v>0</v>
      </c>
      <c r="CD169" s="23">
        <v>7000000</v>
      </c>
      <c r="CE169" s="23">
        <f t="shared" si="8"/>
        <v>28000000</v>
      </c>
    </row>
    <row r="170" spans="1:83" ht="15" customHeight="1" x14ac:dyDescent="0.3">
      <c r="A170" s="20" t="s">
        <v>745</v>
      </c>
      <c r="B170" s="20">
        <v>45</v>
      </c>
      <c r="C170" s="20" t="s">
        <v>393</v>
      </c>
      <c r="D170" s="20">
        <v>80010008</v>
      </c>
      <c r="E170" s="20" t="s">
        <v>723</v>
      </c>
      <c r="F170" s="20" t="s">
        <v>719</v>
      </c>
      <c r="G170" s="20" t="s">
        <v>777</v>
      </c>
      <c r="H170" s="29">
        <v>55.990099999999998</v>
      </c>
      <c r="I170" s="30">
        <v>2022</v>
      </c>
      <c r="J170" s="30">
        <v>75</v>
      </c>
      <c r="K170" s="30">
        <v>4599</v>
      </c>
      <c r="L170" s="20" t="s">
        <v>427</v>
      </c>
      <c r="M170" s="30">
        <v>4599033</v>
      </c>
      <c r="N170" s="77" t="s">
        <v>1129</v>
      </c>
      <c r="O170" s="79">
        <v>202500000002025</v>
      </c>
      <c r="P170" s="20" t="s">
        <v>454</v>
      </c>
      <c r="Q170" s="46"/>
      <c r="R170" s="20" t="s">
        <v>455</v>
      </c>
      <c r="S170" s="20" t="s">
        <v>42</v>
      </c>
      <c r="T170" s="30">
        <v>459903300</v>
      </c>
      <c r="U170" s="20" t="s">
        <v>456</v>
      </c>
      <c r="V170" s="20" t="s">
        <v>18</v>
      </c>
      <c r="W170" s="30">
        <v>17.7</v>
      </c>
      <c r="X170" s="20" t="s">
        <v>770</v>
      </c>
      <c r="Y170" s="22" t="s">
        <v>636</v>
      </c>
      <c r="Z170" s="22">
        <v>120</v>
      </c>
      <c r="AA170" s="22">
        <v>30</v>
      </c>
      <c r="AB170" s="22">
        <v>30</v>
      </c>
      <c r="AC170" s="22">
        <v>30</v>
      </c>
      <c r="AD170" s="22">
        <v>30</v>
      </c>
      <c r="AE170" s="22">
        <v>75</v>
      </c>
      <c r="AF170" s="19">
        <f t="shared" si="7"/>
        <v>62.5</v>
      </c>
      <c r="AG170" s="22">
        <v>100</v>
      </c>
      <c r="AH170" s="73">
        <v>333.33333333333331</v>
      </c>
      <c r="AI170" s="23">
        <v>1050000</v>
      </c>
      <c r="AJ170" s="23">
        <v>0</v>
      </c>
      <c r="AK170" s="23">
        <v>0</v>
      </c>
      <c r="AL170" s="23">
        <v>0</v>
      </c>
      <c r="AM170" s="23">
        <v>0</v>
      </c>
      <c r="AN170" s="23">
        <v>0</v>
      </c>
      <c r="AO170" s="23">
        <v>0</v>
      </c>
      <c r="AP170" s="23">
        <v>0</v>
      </c>
      <c r="AQ170" s="23">
        <v>0</v>
      </c>
      <c r="AR170" s="23">
        <v>0</v>
      </c>
      <c r="AS170" s="23">
        <v>0</v>
      </c>
      <c r="AT170" s="23">
        <v>1050000</v>
      </c>
      <c r="AU170" s="23">
        <v>1050000</v>
      </c>
      <c r="AV170" s="23">
        <v>0</v>
      </c>
      <c r="AW170" s="23">
        <v>0</v>
      </c>
      <c r="AX170" s="23">
        <v>0</v>
      </c>
      <c r="AY170" s="23">
        <v>0</v>
      </c>
      <c r="AZ170" s="23">
        <v>0</v>
      </c>
      <c r="BA170" s="23">
        <v>0</v>
      </c>
      <c r="BB170" s="23">
        <v>0</v>
      </c>
      <c r="BC170" s="23">
        <v>0</v>
      </c>
      <c r="BD170" s="23">
        <v>0</v>
      </c>
      <c r="BE170" s="23">
        <v>0</v>
      </c>
      <c r="BF170" s="23">
        <v>1050000</v>
      </c>
      <c r="BG170" s="23">
        <v>1050000</v>
      </c>
      <c r="BH170" s="23">
        <v>0</v>
      </c>
      <c r="BI170" s="23">
        <v>0</v>
      </c>
      <c r="BJ170" s="23">
        <v>0</v>
      </c>
      <c r="BK170" s="23">
        <v>0</v>
      </c>
      <c r="BL170" s="23">
        <v>0</v>
      </c>
      <c r="BM170" s="23">
        <v>0</v>
      </c>
      <c r="BN170" s="23">
        <v>0</v>
      </c>
      <c r="BO170" s="23">
        <v>0</v>
      </c>
      <c r="BP170" s="23">
        <v>0</v>
      </c>
      <c r="BQ170" s="23">
        <v>0</v>
      </c>
      <c r="BR170" s="23">
        <v>1050000</v>
      </c>
      <c r="BS170" s="23">
        <v>1050000</v>
      </c>
      <c r="BT170" s="23">
        <v>0</v>
      </c>
      <c r="BU170" s="23">
        <v>0</v>
      </c>
      <c r="BV170" s="23">
        <v>0</v>
      </c>
      <c r="BW170" s="23">
        <v>0</v>
      </c>
      <c r="BX170" s="23">
        <v>0</v>
      </c>
      <c r="BY170" s="23">
        <v>0</v>
      </c>
      <c r="BZ170" s="23">
        <v>0</v>
      </c>
      <c r="CA170" s="23">
        <v>0</v>
      </c>
      <c r="CB170" s="23">
        <v>0</v>
      </c>
      <c r="CC170" s="23">
        <v>0</v>
      </c>
      <c r="CD170" s="23">
        <v>1050000</v>
      </c>
      <c r="CE170" s="23">
        <f t="shared" si="8"/>
        <v>4200000</v>
      </c>
    </row>
    <row r="171" spans="1:83" ht="15" customHeight="1" x14ac:dyDescent="0.3">
      <c r="A171" s="20" t="s">
        <v>745</v>
      </c>
      <c r="B171" s="20">
        <v>4</v>
      </c>
      <c r="C171" s="20" t="s">
        <v>465</v>
      </c>
      <c r="D171" s="20">
        <v>150070007</v>
      </c>
      <c r="E171" s="20" t="s">
        <v>728</v>
      </c>
      <c r="F171" s="20" t="s">
        <v>729</v>
      </c>
      <c r="G171" s="20" t="s">
        <v>787</v>
      </c>
      <c r="H171" s="29">
        <v>0</v>
      </c>
      <c r="I171" s="30">
        <v>2021</v>
      </c>
      <c r="J171" s="30">
        <v>1</v>
      </c>
      <c r="K171" s="30">
        <v>406</v>
      </c>
      <c r="L171" s="20" t="s">
        <v>466</v>
      </c>
      <c r="M171" s="30">
        <v>406016</v>
      </c>
      <c r="N171" s="77" t="s">
        <v>1132</v>
      </c>
      <c r="O171" s="79"/>
      <c r="P171" s="20" t="s">
        <v>467</v>
      </c>
      <c r="Q171" s="46"/>
      <c r="R171" s="20" t="s">
        <v>468</v>
      </c>
      <c r="S171" s="20" t="s">
        <v>469</v>
      </c>
      <c r="T171" s="30">
        <v>40601601</v>
      </c>
      <c r="U171" s="20" t="s">
        <v>470</v>
      </c>
      <c r="V171" s="20" t="s">
        <v>18</v>
      </c>
      <c r="W171" s="30">
        <v>17.18</v>
      </c>
      <c r="X171" s="20" t="s">
        <v>1052</v>
      </c>
      <c r="Y171" s="22">
        <v>124</v>
      </c>
      <c r="Z171" s="22">
        <v>891</v>
      </c>
      <c r="AA171" s="22">
        <v>0</v>
      </c>
      <c r="AB171" s="22">
        <v>891</v>
      </c>
      <c r="AC171" s="22">
        <v>0</v>
      </c>
      <c r="AD171" s="22">
        <v>0</v>
      </c>
      <c r="AE171" s="22"/>
      <c r="AF171" s="19">
        <f t="shared" si="7"/>
        <v>0</v>
      </c>
      <c r="AG171" s="22">
        <v>0</v>
      </c>
      <c r="AH171" s="73">
        <v>0</v>
      </c>
      <c r="AI171" s="23">
        <v>0</v>
      </c>
      <c r="AJ171" s="23">
        <v>0</v>
      </c>
      <c r="AK171" s="23">
        <v>0</v>
      </c>
      <c r="AL171" s="23">
        <v>0</v>
      </c>
      <c r="AM171" s="23">
        <v>0</v>
      </c>
      <c r="AN171" s="23">
        <v>0</v>
      </c>
      <c r="AO171" s="23">
        <v>0</v>
      </c>
      <c r="AP171" s="23">
        <v>0</v>
      </c>
      <c r="AQ171" s="23">
        <v>0</v>
      </c>
      <c r="AR171" s="23">
        <v>0</v>
      </c>
      <c r="AS171" s="23">
        <v>0</v>
      </c>
      <c r="AT171" s="23">
        <v>0</v>
      </c>
      <c r="AU171" s="23">
        <v>145000000</v>
      </c>
      <c r="AV171" s="23">
        <v>0</v>
      </c>
      <c r="AW171" s="23">
        <v>0</v>
      </c>
      <c r="AX171" s="23">
        <v>0</v>
      </c>
      <c r="AY171" s="23">
        <v>0</v>
      </c>
      <c r="AZ171" s="23">
        <v>0</v>
      </c>
      <c r="BA171" s="23">
        <v>0</v>
      </c>
      <c r="BB171" s="23">
        <v>400000000</v>
      </c>
      <c r="BC171" s="23">
        <v>135000000</v>
      </c>
      <c r="BD171" s="23">
        <v>0</v>
      </c>
      <c r="BE171" s="23">
        <v>0</v>
      </c>
      <c r="BF171" s="23">
        <v>680000000</v>
      </c>
      <c r="BG171" s="23">
        <v>0</v>
      </c>
      <c r="BH171" s="23">
        <v>0</v>
      </c>
      <c r="BI171" s="23">
        <v>0</v>
      </c>
      <c r="BJ171" s="23">
        <v>0</v>
      </c>
      <c r="BK171" s="23">
        <v>0</v>
      </c>
      <c r="BL171" s="23">
        <v>0</v>
      </c>
      <c r="BM171" s="23">
        <v>0</v>
      </c>
      <c r="BN171" s="23">
        <v>0</v>
      </c>
      <c r="BO171" s="23">
        <v>0</v>
      </c>
      <c r="BP171" s="23">
        <v>0</v>
      </c>
      <c r="BQ171" s="23">
        <v>0</v>
      </c>
      <c r="BR171" s="23">
        <v>0</v>
      </c>
      <c r="BS171" s="23">
        <v>0</v>
      </c>
      <c r="BT171" s="23">
        <v>0</v>
      </c>
      <c r="BU171" s="23">
        <v>0</v>
      </c>
      <c r="BV171" s="23">
        <v>0</v>
      </c>
      <c r="BW171" s="23">
        <v>0</v>
      </c>
      <c r="BX171" s="23">
        <v>0</v>
      </c>
      <c r="BY171" s="23">
        <v>0</v>
      </c>
      <c r="BZ171" s="23">
        <v>0</v>
      </c>
      <c r="CA171" s="23">
        <v>0</v>
      </c>
      <c r="CB171" s="23">
        <v>0</v>
      </c>
      <c r="CC171" s="23">
        <v>0</v>
      </c>
      <c r="CD171" s="23">
        <v>0</v>
      </c>
      <c r="CE171" s="23">
        <f t="shared" si="8"/>
        <v>680000000</v>
      </c>
    </row>
    <row r="172" spans="1:83" ht="15" customHeight="1" x14ac:dyDescent="0.3">
      <c r="A172" s="20" t="s">
        <v>745</v>
      </c>
      <c r="B172" s="20">
        <v>45</v>
      </c>
      <c r="C172" s="20" t="s">
        <v>393</v>
      </c>
      <c r="D172" s="20">
        <v>60010005</v>
      </c>
      <c r="E172" s="20" t="s">
        <v>726</v>
      </c>
      <c r="F172" s="20" t="s">
        <v>725</v>
      </c>
      <c r="G172" s="20" t="s">
        <v>792</v>
      </c>
      <c r="H172" s="29">
        <v>0</v>
      </c>
      <c r="I172" s="30">
        <v>2021</v>
      </c>
      <c r="J172" s="30">
        <v>0</v>
      </c>
      <c r="K172" s="30">
        <v>4501</v>
      </c>
      <c r="L172" s="20" t="s">
        <v>394</v>
      </c>
      <c r="M172" s="30">
        <v>4501050</v>
      </c>
      <c r="N172" s="77" t="s">
        <v>1130</v>
      </c>
      <c r="O172" s="79">
        <v>202500000013911</v>
      </c>
      <c r="P172" s="20" t="s">
        <v>471</v>
      </c>
      <c r="Q172" s="46" t="s">
        <v>863</v>
      </c>
      <c r="R172" s="20" t="s">
        <v>472</v>
      </c>
      <c r="S172" s="20" t="s">
        <v>473</v>
      </c>
      <c r="T172" s="30">
        <v>450105000</v>
      </c>
      <c r="U172" s="20" t="s">
        <v>474</v>
      </c>
      <c r="V172" s="20" t="s">
        <v>18</v>
      </c>
      <c r="W172" s="30">
        <v>5.2</v>
      </c>
      <c r="X172" s="20" t="s">
        <v>19</v>
      </c>
      <c r="Y172" s="22">
        <v>8</v>
      </c>
      <c r="Z172" s="22">
        <v>20</v>
      </c>
      <c r="AA172" s="22">
        <v>5</v>
      </c>
      <c r="AB172" s="22">
        <v>5</v>
      </c>
      <c r="AC172" s="22">
        <v>5</v>
      </c>
      <c r="AD172" s="22">
        <v>5</v>
      </c>
      <c r="AE172" s="22">
        <v>11</v>
      </c>
      <c r="AF172" s="19">
        <f t="shared" si="7"/>
        <v>55.000000000000007</v>
      </c>
      <c r="AG172" s="22">
        <v>9</v>
      </c>
      <c r="AH172" s="73">
        <v>180</v>
      </c>
      <c r="AI172" s="23">
        <v>0</v>
      </c>
      <c r="AJ172" s="23">
        <v>3250000</v>
      </c>
      <c r="AK172" s="23">
        <v>0</v>
      </c>
      <c r="AL172" s="23">
        <v>0</v>
      </c>
      <c r="AM172" s="23">
        <v>0</v>
      </c>
      <c r="AN172" s="23">
        <v>0</v>
      </c>
      <c r="AO172" s="23">
        <v>0</v>
      </c>
      <c r="AP172" s="23">
        <v>0</v>
      </c>
      <c r="AQ172" s="23">
        <v>0</v>
      </c>
      <c r="AR172" s="23">
        <v>0</v>
      </c>
      <c r="AS172" s="23">
        <v>0</v>
      </c>
      <c r="AT172" s="23">
        <v>3250000</v>
      </c>
      <c r="AU172" s="23">
        <v>0</v>
      </c>
      <c r="AV172" s="23">
        <v>3250000</v>
      </c>
      <c r="AW172" s="23">
        <v>0</v>
      </c>
      <c r="AX172" s="23">
        <v>0</v>
      </c>
      <c r="AY172" s="23">
        <v>0</v>
      </c>
      <c r="AZ172" s="23">
        <v>0</v>
      </c>
      <c r="BA172" s="23">
        <v>0</v>
      </c>
      <c r="BB172" s="23">
        <v>0</v>
      </c>
      <c r="BC172" s="23">
        <v>0</v>
      </c>
      <c r="BD172" s="23">
        <v>0</v>
      </c>
      <c r="BE172" s="23">
        <v>0</v>
      </c>
      <c r="BF172" s="23">
        <v>3250000</v>
      </c>
      <c r="BG172" s="23">
        <v>0</v>
      </c>
      <c r="BH172" s="23">
        <v>3250000</v>
      </c>
      <c r="BI172" s="23">
        <v>0</v>
      </c>
      <c r="BJ172" s="23">
        <v>0</v>
      </c>
      <c r="BK172" s="23">
        <v>0</v>
      </c>
      <c r="BL172" s="23">
        <v>0</v>
      </c>
      <c r="BM172" s="23">
        <v>0</v>
      </c>
      <c r="BN172" s="23">
        <v>0</v>
      </c>
      <c r="BO172" s="23">
        <v>0</v>
      </c>
      <c r="BP172" s="23">
        <v>0</v>
      </c>
      <c r="BQ172" s="23">
        <v>0</v>
      </c>
      <c r="BR172" s="23">
        <v>3250000</v>
      </c>
      <c r="BS172" s="23">
        <v>0</v>
      </c>
      <c r="BT172" s="23">
        <v>3250000</v>
      </c>
      <c r="BU172" s="23">
        <v>0</v>
      </c>
      <c r="BV172" s="23">
        <v>0</v>
      </c>
      <c r="BW172" s="23">
        <v>0</v>
      </c>
      <c r="BX172" s="23">
        <v>0</v>
      </c>
      <c r="BY172" s="23">
        <v>0</v>
      </c>
      <c r="BZ172" s="23">
        <v>0</v>
      </c>
      <c r="CA172" s="23">
        <v>0</v>
      </c>
      <c r="CB172" s="23">
        <v>0</v>
      </c>
      <c r="CC172" s="23">
        <v>0</v>
      </c>
      <c r="CD172" s="23">
        <v>3250000</v>
      </c>
      <c r="CE172" s="23">
        <f t="shared" si="8"/>
        <v>13000000</v>
      </c>
    </row>
    <row r="173" spans="1:83" ht="15" customHeight="1" x14ac:dyDescent="0.3">
      <c r="A173" s="20" t="s">
        <v>745</v>
      </c>
      <c r="B173" s="20">
        <v>45</v>
      </c>
      <c r="C173" s="20" t="s">
        <v>393</v>
      </c>
      <c r="D173" s="20">
        <v>80010008</v>
      </c>
      <c r="E173" s="20" t="s">
        <v>723</v>
      </c>
      <c r="F173" s="20" t="s">
        <v>719</v>
      </c>
      <c r="G173" s="20" t="s">
        <v>777</v>
      </c>
      <c r="H173" s="29">
        <v>55.990099999999998</v>
      </c>
      <c r="I173" s="30">
        <v>2022</v>
      </c>
      <c r="J173" s="30">
        <v>75</v>
      </c>
      <c r="K173" s="30">
        <v>4599</v>
      </c>
      <c r="L173" s="20" t="s">
        <v>427</v>
      </c>
      <c r="M173" s="30">
        <v>4599034</v>
      </c>
      <c r="N173" s="77" t="s">
        <v>1129</v>
      </c>
      <c r="O173" s="79">
        <v>202500000002025</v>
      </c>
      <c r="P173" s="20" t="s">
        <v>364</v>
      </c>
      <c r="Q173" s="46" t="s">
        <v>864</v>
      </c>
      <c r="R173" s="20" t="s">
        <v>537</v>
      </c>
      <c r="S173" s="20" t="s">
        <v>318</v>
      </c>
      <c r="T173" s="30">
        <v>459903400</v>
      </c>
      <c r="U173" s="20" t="s">
        <v>364</v>
      </c>
      <c r="V173" s="20" t="s">
        <v>18</v>
      </c>
      <c r="W173" s="30">
        <v>16.600000000000001</v>
      </c>
      <c r="X173" s="20" t="s">
        <v>19</v>
      </c>
      <c r="Y173" s="22">
        <v>1</v>
      </c>
      <c r="Z173" s="22">
        <v>4</v>
      </c>
      <c r="AA173" s="22">
        <v>1</v>
      </c>
      <c r="AB173" s="22">
        <v>1</v>
      </c>
      <c r="AC173" s="22">
        <v>1</v>
      </c>
      <c r="AD173" s="22">
        <v>1</v>
      </c>
      <c r="AE173" s="22">
        <v>1</v>
      </c>
      <c r="AF173" s="19">
        <f t="shared" si="7"/>
        <v>25</v>
      </c>
      <c r="AG173" s="22">
        <v>0</v>
      </c>
      <c r="AH173" s="73">
        <v>0</v>
      </c>
      <c r="AI173" s="23">
        <v>50000000</v>
      </c>
      <c r="AJ173" s="23">
        <v>0</v>
      </c>
      <c r="AK173" s="23">
        <v>0</v>
      </c>
      <c r="AL173" s="23">
        <v>0</v>
      </c>
      <c r="AM173" s="23">
        <v>0</v>
      </c>
      <c r="AN173" s="23">
        <v>0</v>
      </c>
      <c r="AO173" s="23">
        <v>0</v>
      </c>
      <c r="AP173" s="23">
        <v>0</v>
      </c>
      <c r="AQ173" s="23">
        <v>0</v>
      </c>
      <c r="AR173" s="23">
        <v>0</v>
      </c>
      <c r="AS173" s="23">
        <v>0</v>
      </c>
      <c r="AT173" s="23">
        <v>50000000</v>
      </c>
      <c r="AU173" s="23">
        <v>50000000</v>
      </c>
      <c r="AV173" s="23">
        <v>0</v>
      </c>
      <c r="AW173" s="23">
        <v>0</v>
      </c>
      <c r="AX173" s="23">
        <v>0</v>
      </c>
      <c r="AY173" s="23">
        <v>0</v>
      </c>
      <c r="AZ173" s="23">
        <v>0</v>
      </c>
      <c r="BA173" s="23">
        <v>0</v>
      </c>
      <c r="BB173" s="23">
        <v>0</v>
      </c>
      <c r="BC173" s="23">
        <v>0</v>
      </c>
      <c r="BD173" s="23">
        <v>0</v>
      </c>
      <c r="BE173" s="23">
        <v>0</v>
      </c>
      <c r="BF173" s="23">
        <v>50000000</v>
      </c>
      <c r="BG173" s="23">
        <v>50000000</v>
      </c>
      <c r="BH173" s="23">
        <v>0</v>
      </c>
      <c r="BI173" s="23">
        <v>0</v>
      </c>
      <c r="BJ173" s="23">
        <v>0</v>
      </c>
      <c r="BK173" s="23">
        <v>0</v>
      </c>
      <c r="BL173" s="23">
        <v>0</v>
      </c>
      <c r="BM173" s="23">
        <v>0</v>
      </c>
      <c r="BN173" s="23">
        <v>0</v>
      </c>
      <c r="BO173" s="23">
        <v>0</v>
      </c>
      <c r="BP173" s="23">
        <v>0</v>
      </c>
      <c r="BQ173" s="23">
        <v>0</v>
      </c>
      <c r="BR173" s="23">
        <v>50000000</v>
      </c>
      <c r="BS173" s="23">
        <v>50000000</v>
      </c>
      <c r="BT173" s="23">
        <v>0</v>
      </c>
      <c r="BU173" s="23">
        <v>0</v>
      </c>
      <c r="BV173" s="23">
        <v>0</v>
      </c>
      <c r="BW173" s="23">
        <v>0</v>
      </c>
      <c r="BX173" s="23">
        <v>0</v>
      </c>
      <c r="BY173" s="23">
        <v>0</v>
      </c>
      <c r="BZ173" s="23">
        <v>0</v>
      </c>
      <c r="CA173" s="23">
        <v>0</v>
      </c>
      <c r="CB173" s="23">
        <v>0</v>
      </c>
      <c r="CC173" s="23">
        <v>0</v>
      </c>
      <c r="CD173" s="23">
        <v>50000000</v>
      </c>
      <c r="CE173" s="23">
        <f t="shared" si="8"/>
        <v>200000000</v>
      </c>
    </row>
    <row r="174" spans="1:83" ht="15" customHeight="1" x14ac:dyDescent="0.3">
      <c r="A174" s="20" t="s">
        <v>745</v>
      </c>
      <c r="B174" s="20">
        <v>45</v>
      </c>
      <c r="C174" s="20" t="s">
        <v>393</v>
      </c>
      <c r="D174" s="24">
        <v>20100040</v>
      </c>
      <c r="E174" s="20" t="s">
        <v>763</v>
      </c>
      <c r="F174" s="20" t="s">
        <v>719</v>
      </c>
      <c r="G174" s="20" t="s">
        <v>780</v>
      </c>
      <c r="H174" s="29">
        <v>0</v>
      </c>
      <c r="I174" s="30">
        <v>2021</v>
      </c>
      <c r="J174" s="30">
        <v>0</v>
      </c>
      <c r="K174" s="30">
        <v>4501</v>
      </c>
      <c r="L174" s="20" t="s">
        <v>394</v>
      </c>
      <c r="M174" s="30">
        <v>4501061</v>
      </c>
      <c r="N174" s="77" t="s">
        <v>1130</v>
      </c>
      <c r="O174" s="79">
        <v>202500000013911</v>
      </c>
      <c r="P174" s="20" t="s">
        <v>549</v>
      </c>
      <c r="Q174" s="46" t="s">
        <v>865</v>
      </c>
      <c r="R174" s="20" t="s">
        <v>550</v>
      </c>
      <c r="S174" s="20" t="s">
        <v>278</v>
      </c>
      <c r="T174" s="30">
        <v>450106100</v>
      </c>
      <c r="U174" s="20" t="s">
        <v>551</v>
      </c>
      <c r="V174" s="20" t="s">
        <v>18</v>
      </c>
      <c r="W174" s="30" t="s">
        <v>594</v>
      </c>
      <c r="X174" s="20" t="s">
        <v>210</v>
      </c>
      <c r="Y174" s="22">
        <v>750</v>
      </c>
      <c r="Z174" s="22">
        <v>2250</v>
      </c>
      <c r="AA174" s="22">
        <v>450</v>
      </c>
      <c r="AB174" s="22">
        <v>600</v>
      </c>
      <c r="AC174" s="22">
        <v>600</v>
      </c>
      <c r="AD174" s="22">
        <v>600</v>
      </c>
      <c r="AE174" s="22">
        <v>600</v>
      </c>
      <c r="AF174" s="19">
        <f t="shared" si="7"/>
        <v>26.666666666666668</v>
      </c>
      <c r="AG174" s="22">
        <v>325</v>
      </c>
      <c r="AH174" s="73">
        <v>54.166666666666664</v>
      </c>
      <c r="AI174" s="23">
        <v>0</v>
      </c>
      <c r="AJ174" s="23">
        <v>0</v>
      </c>
      <c r="AK174" s="23">
        <v>0</v>
      </c>
      <c r="AL174" s="23">
        <v>0</v>
      </c>
      <c r="AM174" s="23">
        <v>0</v>
      </c>
      <c r="AN174" s="23">
        <v>29250000</v>
      </c>
      <c r="AO174" s="23">
        <v>0</v>
      </c>
      <c r="AP174" s="23">
        <v>0</v>
      </c>
      <c r="AQ174" s="23">
        <v>0</v>
      </c>
      <c r="AR174" s="23">
        <v>0</v>
      </c>
      <c r="AS174" s="23">
        <v>0</v>
      </c>
      <c r="AT174" s="23">
        <v>29250000</v>
      </c>
      <c r="AU174" s="23">
        <v>9750000</v>
      </c>
      <c r="AV174" s="23">
        <v>0</v>
      </c>
      <c r="AW174" s="23">
        <v>0</v>
      </c>
      <c r="AX174" s="23">
        <v>0</v>
      </c>
      <c r="AY174" s="23">
        <v>0</v>
      </c>
      <c r="AZ174" s="23">
        <v>29250000</v>
      </c>
      <c r="BA174" s="23">
        <v>0</v>
      </c>
      <c r="BB174" s="23">
        <v>0</v>
      </c>
      <c r="BC174" s="23">
        <v>0</v>
      </c>
      <c r="BD174" s="23">
        <v>0</v>
      </c>
      <c r="BE174" s="23">
        <v>0</v>
      </c>
      <c r="BF174" s="23">
        <v>39000000</v>
      </c>
      <c r="BG174" s="23">
        <v>9750000</v>
      </c>
      <c r="BH174" s="23">
        <v>0</v>
      </c>
      <c r="BI174" s="23">
        <v>0</v>
      </c>
      <c r="BJ174" s="23">
        <v>0</v>
      </c>
      <c r="BK174" s="23">
        <v>0</v>
      </c>
      <c r="BL174" s="23">
        <v>29250000</v>
      </c>
      <c r="BM174" s="23">
        <v>0</v>
      </c>
      <c r="BN174" s="23">
        <v>0</v>
      </c>
      <c r="BO174" s="23">
        <v>0</v>
      </c>
      <c r="BP174" s="23">
        <v>0</v>
      </c>
      <c r="BQ174" s="23">
        <v>0</v>
      </c>
      <c r="BR174" s="23">
        <v>39000000</v>
      </c>
      <c r="BS174" s="23">
        <v>9966937</v>
      </c>
      <c r="BT174" s="23">
        <v>0</v>
      </c>
      <c r="BU174" s="23">
        <v>0</v>
      </c>
      <c r="BV174" s="23">
        <v>0</v>
      </c>
      <c r="BW174" s="23">
        <v>0</v>
      </c>
      <c r="BX174" s="23">
        <v>29033063</v>
      </c>
      <c r="BY174" s="23">
        <v>0</v>
      </c>
      <c r="BZ174" s="23">
        <v>0</v>
      </c>
      <c r="CA174" s="23">
        <v>0</v>
      </c>
      <c r="CB174" s="23">
        <v>0</v>
      </c>
      <c r="CC174" s="23">
        <v>0</v>
      </c>
      <c r="CD174" s="23">
        <v>39000000</v>
      </c>
      <c r="CE174" s="23">
        <f t="shared" si="8"/>
        <v>146250000</v>
      </c>
    </row>
    <row r="175" spans="1:83" ht="15" customHeight="1" x14ac:dyDescent="0.3">
      <c r="A175" s="20" t="s">
        <v>745</v>
      </c>
      <c r="B175" s="20">
        <v>45</v>
      </c>
      <c r="C175" s="20" t="s">
        <v>393</v>
      </c>
      <c r="D175" s="20">
        <v>80010008</v>
      </c>
      <c r="E175" s="20" t="s">
        <v>723</v>
      </c>
      <c r="F175" s="20" t="s">
        <v>719</v>
      </c>
      <c r="G175" s="20" t="s">
        <v>777</v>
      </c>
      <c r="H175" s="29">
        <v>55.990099999999998</v>
      </c>
      <c r="I175" s="30">
        <v>2022</v>
      </c>
      <c r="J175" s="30">
        <v>75</v>
      </c>
      <c r="K175" s="30">
        <v>4599</v>
      </c>
      <c r="L175" s="20" t="s">
        <v>427</v>
      </c>
      <c r="M175" s="30">
        <v>4599038</v>
      </c>
      <c r="N175" s="77" t="s">
        <v>1129</v>
      </c>
      <c r="O175" s="79">
        <v>202500000002025</v>
      </c>
      <c r="P175" s="20" t="s">
        <v>574</v>
      </c>
      <c r="Q175" s="46"/>
      <c r="R175" s="20" t="s">
        <v>575</v>
      </c>
      <c r="S175" s="20" t="s">
        <v>576</v>
      </c>
      <c r="T175" s="30">
        <v>459903800</v>
      </c>
      <c r="U175" s="20" t="s">
        <v>577</v>
      </c>
      <c r="V175" s="20" t="s">
        <v>18</v>
      </c>
      <c r="W175" s="30">
        <v>16.600000000000001</v>
      </c>
      <c r="X175" s="20" t="s">
        <v>19</v>
      </c>
      <c r="Y175" s="22">
        <v>0</v>
      </c>
      <c r="Z175" s="22">
        <v>2</v>
      </c>
      <c r="AA175" s="22">
        <v>0</v>
      </c>
      <c r="AB175" s="22">
        <v>1</v>
      </c>
      <c r="AC175" s="22">
        <v>1</v>
      </c>
      <c r="AD175" s="22">
        <v>0</v>
      </c>
      <c r="AE175" s="22"/>
      <c r="AF175" s="19">
        <f t="shared" si="7"/>
        <v>0</v>
      </c>
      <c r="AG175" s="22">
        <v>0</v>
      </c>
      <c r="AH175" s="73">
        <v>0</v>
      </c>
      <c r="AI175" s="23">
        <v>0</v>
      </c>
      <c r="AJ175" s="23">
        <v>0</v>
      </c>
      <c r="AK175" s="23">
        <v>0</v>
      </c>
      <c r="AL175" s="23">
        <v>0</v>
      </c>
      <c r="AM175" s="23">
        <v>0</v>
      </c>
      <c r="AN175" s="23">
        <v>0</v>
      </c>
      <c r="AO175" s="23">
        <v>0</v>
      </c>
      <c r="AP175" s="23">
        <v>0</v>
      </c>
      <c r="AQ175" s="23">
        <v>0</v>
      </c>
      <c r="AR175" s="23">
        <v>0</v>
      </c>
      <c r="AS175" s="23">
        <v>0</v>
      </c>
      <c r="AT175" s="23">
        <v>0</v>
      </c>
      <c r="AU175" s="23">
        <v>2500000</v>
      </c>
      <c r="AV175" s="23">
        <v>0</v>
      </c>
      <c r="AW175" s="23">
        <v>0</v>
      </c>
      <c r="AX175" s="23">
        <v>0</v>
      </c>
      <c r="AY175" s="23">
        <v>0</v>
      </c>
      <c r="AZ175" s="23">
        <v>0</v>
      </c>
      <c r="BA175" s="23">
        <v>0</v>
      </c>
      <c r="BB175" s="23">
        <v>0</v>
      </c>
      <c r="BC175" s="23">
        <v>0</v>
      </c>
      <c r="BD175" s="23">
        <v>0</v>
      </c>
      <c r="BE175" s="23">
        <v>0</v>
      </c>
      <c r="BF175" s="23">
        <v>2500000</v>
      </c>
      <c r="BG175" s="23">
        <v>2500000</v>
      </c>
      <c r="BH175" s="23">
        <v>0</v>
      </c>
      <c r="BI175" s="23">
        <v>0</v>
      </c>
      <c r="BJ175" s="23">
        <v>0</v>
      </c>
      <c r="BK175" s="23">
        <v>0</v>
      </c>
      <c r="BL175" s="23">
        <v>0</v>
      </c>
      <c r="BM175" s="23">
        <v>0</v>
      </c>
      <c r="BN175" s="23">
        <v>0</v>
      </c>
      <c r="BO175" s="23">
        <v>0</v>
      </c>
      <c r="BP175" s="23">
        <v>0</v>
      </c>
      <c r="BQ175" s="23">
        <v>0</v>
      </c>
      <c r="BR175" s="23">
        <v>2500000</v>
      </c>
      <c r="BS175" s="23">
        <v>0</v>
      </c>
      <c r="BT175" s="23">
        <v>0</v>
      </c>
      <c r="BU175" s="23">
        <v>0</v>
      </c>
      <c r="BV175" s="23">
        <v>0</v>
      </c>
      <c r="BW175" s="23">
        <v>0</v>
      </c>
      <c r="BX175" s="23">
        <v>0</v>
      </c>
      <c r="BY175" s="23">
        <v>0</v>
      </c>
      <c r="BZ175" s="23">
        <v>0</v>
      </c>
      <c r="CA175" s="23">
        <v>0</v>
      </c>
      <c r="CB175" s="23">
        <v>0</v>
      </c>
      <c r="CC175" s="23">
        <v>0</v>
      </c>
      <c r="CD175" s="23">
        <v>0</v>
      </c>
      <c r="CE175" s="23">
        <f t="shared" si="8"/>
        <v>5000000</v>
      </c>
    </row>
    <row r="176" spans="1:83" ht="15" customHeight="1" x14ac:dyDescent="0.3">
      <c r="A176" s="20" t="s">
        <v>745</v>
      </c>
      <c r="B176" s="20">
        <v>12</v>
      </c>
      <c r="C176" s="20" t="s">
        <v>89</v>
      </c>
      <c r="D176" s="20">
        <v>190050001</v>
      </c>
      <c r="E176" s="20" t="s">
        <v>761</v>
      </c>
      <c r="F176" s="20" t="s">
        <v>762</v>
      </c>
      <c r="G176" s="20" t="s">
        <v>794</v>
      </c>
      <c r="H176" s="29">
        <v>0</v>
      </c>
      <c r="I176" s="30">
        <v>2017</v>
      </c>
      <c r="J176" s="30">
        <v>0</v>
      </c>
      <c r="K176" s="30">
        <v>1206</v>
      </c>
      <c r="L176" s="20" t="s">
        <v>90</v>
      </c>
      <c r="M176" s="30">
        <v>1206007</v>
      </c>
      <c r="N176" s="62" t="s">
        <v>1133</v>
      </c>
      <c r="O176" s="79">
        <v>202500000002050</v>
      </c>
      <c r="P176" s="20" t="s">
        <v>91</v>
      </c>
      <c r="Q176" s="46" t="s">
        <v>866</v>
      </c>
      <c r="R176" s="20" t="s">
        <v>92</v>
      </c>
      <c r="S176" s="20" t="s">
        <v>40</v>
      </c>
      <c r="T176" s="30">
        <v>120600702</v>
      </c>
      <c r="U176" s="20" t="s">
        <v>639</v>
      </c>
      <c r="V176" s="20" t="s">
        <v>18</v>
      </c>
      <c r="W176" s="30">
        <v>10.199999999999999</v>
      </c>
      <c r="X176" s="20" t="s">
        <v>19</v>
      </c>
      <c r="Y176" s="22">
        <v>4</v>
      </c>
      <c r="Z176" s="22">
        <v>20</v>
      </c>
      <c r="AA176" s="22">
        <v>5</v>
      </c>
      <c r="AB176" s="22">
        <v>5</v>
      </c>
      <c r="AC176" s="22">
        <v>5</v>
      </c>
      <c r="AD176" s="22">
        <v>5</v>
      </c>
      <c r="AE176" s="22">
        <v>5</v>
      </c>
      <c r="AF176" s="19">
        <f t="shared" si="7"/>
        <v>25</v>
      </c>
      <c r="AG176" s="22">
        <v>5</v>
      </c>
      <c r="AH176" s="73">
        <v>100</v>
      </c>
      <c r="AI176" s="23">
        <v>60000000</v>
      </c>
      <c r="AJ176" s="23">
        <v>0</v>
      </c>
      <c r="AK176" s="23">
        <v>0</v>
      </c>
      <c r="AL176" s="23">
        <v>0</v>
      </c>
      <c r="AM176" s="23">
        <v>0</v>
      </c>
      <c r="AN176" s="23">
        <v>0</v>
      </c>
      <c r="AO176" s="23">
        <v>0</v>
      </c>
      <c r="AP176" s="23">
        <v>0</v>
      </c>
      <c r="AQ176" s="23">
        <v>0</v>
      </c>
      <c r="AR176" s="23">
        <v>0</v>
      </c>
      <c r="AS176" s="23">
        <v>0</v>
      </c>
      <c r="AT176" s="23">
        <v>60000000</v>
      </c>
      <c r="AU176" s="23">
        <v>60000000</v>
      </c>
      <c r="AV176" s="23">
        <v>0</v>
      </c>
      <c r="AW176" s="23">
        <v>0</v>
      </c>
      <c r="AX176" s="23">
        <v>0</v>
      </c>
      <c r="AY176" s="23">
        <v>0</v>
      </c>
      <c r="AZ176" s="23">
        <v>0</v>
      </c>
      <c r="BA176" s="23">
        <v>0</v>
      </c>
      <c r="BB176" s="23">
        <v>0</v>
      </c>
      <c r="BC176" s="23">
        <v>0</v>
      </c>
      <c r="BD176" s="23">
        <v>0</v>
      </c>
      <c r="BE176" s="23">
        <v>0</v>
      </c>
      <c r="BF176" s="23">
        <v>60000000</v>
      </c>
      <c r="BG176" s="23">
        <v>60000000</v>
      </c>
      <c r="BH176" s="23">
        <v>0</v>
      </c>
      <c r="BI176" s="23">
        <v>0</v>
      </c>
      <c r="BJ176" s="23">
        <v>0</v>
      </c>
      <c r="BK176" s="23">
        <v>0</v>
      </c>
      <c r="BL176" s="23">
        <v>0</v>
      </c>
      <c r="BM176" s="23">
        <v>0</v>
      </c>
      <c r="BN176" s="23">
        <v>0</v>
      </c>
      <c r="BO176" s="23">
        <v>0</v>
      </c>
      <c r="BP176" s="23">
        <v>0</v>
      </c>
      <c r="BQ176" s="23">
        <v>0</v>
      </c>
      <c r="BR176" s="23">
        <v>60000000</v>
      </c>
      <c r="BS176" s="23">
        <v>60000000</v>
      </c>
      <c r="BT176" s="23">
        <v>0</v>
      </c>
      <c r="BU176" s="23">
        <v>0</v>
      </c>
      <c r="BV176" s="23">
        <v>0</v>
      </c>
      <c r="BW176" s="23">
        <v>0</v>
      </c>
      <c r="BX176" s="23">
        <v>0</v>
      </c>
      <c r="BY176" s="23">
        <v>0</v>
      </c>
      <c r="BZ176" s="23">
        <v>0</v>
      </c>
      <c r="CA176" s="23">
        <v>0</v>
      </c>
      <c r="CB176" s="23">
        <v>0</v>
      </c>
      <c r="CC176" s="23">
        <v>0</v>
      </c>
      <c r="CD176" s="23">
        <v>60000000</v>
      </c>
      <c r="CE176" s="23">
        <f t="shared" si="8"/>
        <v>240000000</v>
      </c>
    </row>
    <row r="177" spans="1:84" ht="15" customHeight="1" x14ac:dyDescent="0.3">
      <c r="A177" s="20" t="s">
        <v>745</v>
      </c>
      <c r="B177" s="20">
        <v>12</v>
      </c>
      <c r="C177" s="20" t="s">
        <v>89</v>
      </c>
      <c r="D177" s="20">
        <v>190010038</v>
      </c>
      <c r="E177" s="20" t="s">
        <v>757</v>
      </c>
      <c r="F177" s="20" t="s">
        <v>758</v>
      </c>
      <c r="G177" s="20" t="s">
        <v>794</v>
      </c>
      <c r="H177" s="29">
        <v>0</v>
      </c>
      <c r="I177" s="30">
        <v>2021</v>
      </c>
      <c r="J177" s="30">
        <v>50</v>
      </c>
      <c r="K177" s="30">
        <v>1203</v>
      </c>
      <c r="L177" s="20" t="s">
        <v>655</v>
      </c>
      <c r="M177" s="30">
        <v>1203009</v>
      </c>
      <c r="N177" s="62" t="s">
        <v>1134</v>
      </c>
      <c r="O177" s="79">
        <v>202500000009354</v>
      </c>
      <c r="P177" s="20" t="s">
        <v>640</v>
      </c>
      <c r="Q177" s="46"/>
      <c r="R177" s="20" t="s">
        <v>641</v>
      </c>
      <c r="S177" s="20" t="s">
        <v>40</v>
      </c>
      <c r="T177" s="30">
        <v>120300903</v>
      </c>
      <c r="U177" s="20" t="s">
        <v>642</v>
      </c>
      <c r="V177" s="20" t="s">
        <v>18</v>
      </c>
      <c r="W177" s="30">
        <v>16.100000000000001</v>
      </c>
      <c r="X177" s="20" t="s">
        <v>19</v>
      </c>
      <c r="Y177" s="22" t="s">
        <v>636</v>
      </c>
      <c r="Z177" s="22">
        <v>75</v>
      </c>
      <c r="AA177" s="22">
        <v>0</v>
      </c>
      <c r="AB177" s="22">
        <v>25</v>
      </c>
      <c r="AC177" s="22">
        <v>25</v>
      </c>
      <c r="AD177" s="22">
        <v>25</v>
      </c>
      <c r="AE177" s="22"/>
      <c r="AF177" s="19">
        <f t="shared" si="7"/>
        <v>0</v>
      </c>
      <c r="AG177" s="22">
        <v>0</v>
      </c>
      <c r="AH177" s="73">
        <v>0</v>
      </c>
      <c r="AI177" s="23">
        <v>0</v>
      </c>
      <c r="AJ177" s="23">
        <v>0</v>
      </c>
      <c r="AK177" s="23">
        <v>0</v>
      </c>
      <c r="AL177" s="23">
        <v>0</v>
      </c>
      <c r="AM177" s="23">
        <v>0</v>
      </c>
      <c r="AN177" s="23">
        <v>0</v>
      </c>
      <c r="AO177" s="23">
        <v>0</v>
      </c>
      <c r="AP177" s="23">
        <v>0</v>
      </c>
      <c r="AQ177" s="23">
        <v>0</v>
      </c>
      <c r="AR177" s="23">
        <v>0</v>
      </c>
      <c r="AS177" s="23">
        <v>0</v>
      </c>
      <c r="AT177" s="23">
        <v>0</v>
      </c>
      <c r="AU177" s="23">
        <v>2500000</v>
      </c>
      <c r="AV177" s="23">
        <v>0</v>
      </c>
      <c r="AW177" s="23">
        <v>0</v>
      </c>
      <c r="AX177" s="23">
        <v>0</v>
      </c>
      <c r="AY177" s="23">
        <v>0</v>
      </c>
      <c r="AZ177" s="23">
        <v>0</v>
      </c>
      <c r="BA177" s="23">
        <v>0</v>
      </c>
      <c r="BB177" s="23">
        <v>0</v>
      </c>
      <c r="BC177" s="23">
        <v>0</v>
      </c>
      <c r="BD177" s="23">
        <v>0</v>
      </c>
      <c r="BE177" s="23">
        <v>0</v>
      </c>
      <c r="BF177" s="23">
        <v>2500000</v>
      </c>
      <c r="BG177" s="23">
        <v>2500000</v>
      </c>
      <c r="BH177" s="23">
        <v>0</v>
      </c>
      <c r="BI177" s="23">
        <v>0</v>
      </c>
      <c r="BJ177" s="23">
        <v>0</v>
      </c>
      <c r="BK177" s="23">
        <v>0</v>
      </c>
      <c r="BL177" s="23">
        <v>0</v>
      </c>
      <c r="BM177" s="23">
        <v>0</v>
      </c>
      <c r="BN177" s="23">
        <v>0</v>
      </c>
      <c r="BO177" s="23">
        <v>0</v>
      </c>
      <c r="BP177" s="23">
        <v>0</v>
      </c>
      <c r="BQ177" s="23">
        <v>0</v>
      </c>
      <c r="BR177" s="23">
        <v>2500000</v>
      </c>
      <c r="BS177" s="23">
        <v>2500000</v>
      </c>
      <c r="BT177" s="23">
        <v>0</v>
      </c>
      <c r="BU177" s="23">
        <v>0</v>
      </c>
      <c r="BV177" s="23">
        <v>0</v>
      </c>
      <c r="BW177" s="23">
        <v>0</v>
      </c>
      <c r="BX177" s="23">
        <v>0</v>
      </c>
      <c r="BY177" s="23">
        <v>0</v>
      </c>
      <c r="BZ177" s="23">
        <v>0</v>
      </c>
      <c r="CA177" s="23">
        <v>0</v>
      </c>
      <c r="CB177" s="23">
        <v>0</v>
      </c>
      <c r="CC177" s="23">
        <v>0</v>
      </c>
      <c r="CD177" s="23">
        <v>2500000</v>
      </c>
      <c r="CE177" s="23">
        <f t="shared" si="8"/>
        <v>7500000</v>
      </c>
    </row>
    <row r="178" spans="1:84" ht="15" customHeight="1" x14ac:dyDescent="0.3">
      <c r="A178" s="20" t="s">
        <v>745</v>
      </c>
      <c r="B178" s="20">
        <v>12</v>
      </c>
      <c r="C178" s="20" t="s">
        <v>89</v>
      </c>
      <c r="D178" s="20">
        <v>190030005</v>
      </c>
      <c r="E178" s="20" t="s">
        <v>755</v>
      </c>
      <c r="F178" s="20" t="s">
        <v>756</v>
      </c>
      <c r="G178" s="20" t="s">
        <v>794</v>
      </c>
      <c r="H178" s="29">
        <v>0</v>
      </c>
      <c r="I178" s="30">
        <v>2018</v>
      </c>
      <c r="J178" s="30">
        <v>35</v>
      </c>
      <c r="K178" s="30">
        <v>1202</v>
      </c>
      <c r="L178" s="20" t="s">
        <v>638</v>
      </c>
      <c r="M178" s="30">
        <v>1202020</v>
      </c>
      <c r="N178" s="62" t="s">
        <v>1135</v>
      </c>
      <c r="O178" s="79"/>
      <c r="P178" s="20" t="s">
        <v>643</v>
      </c>
      <c r="Q178" s="46"/>
      <c r="R178" s="20" t="s">
        <v>644</v>
      </c>
      <c r="S178" s="20" t="s">
        <v>229</v>
      </c>
      <c r="T178" s="30">
        <v>120202000</v>
      </c>
      <c r="U178" s="20" t="s">
        <v>591</v>
      </c>
      <c r="V178" s="20" t="s">
        <v>18</v>
      </c>
      <c r="W178" s="30">
        <v>16.100000000000001</v>
      </c>
      <c r="X178" s="20" t="s">
        <v>19</v>
      </c>
      <c r="Y178" s="22" t="s">
        <v>636</v>
      </c>
      <c r="Z178" s="22">
        <v>3</v>
      </c>
      <c r="AA178" s="22">
        <v>0</v>
      </c>
      <c r="AB178" s="22">
        <v>1</v>
      </c>
      <c r="AC178" s="22">
        <v>1</v>
      </c>
      <c r="AD178" s="22">
        <v>1</v>
      </c>
      <c r="AE178" s="22"/>
      <c r="AF178" s="19">
        <f t="shared" si="7"/>
        <v>0</v>
      </c>
      <c r="AG178" s="22">
        <v>0</v>
      </c>
      <c r="AH178" s="73">
        <v>0</v>
      </c>
      <c r="AI178" s="23">
        <v>0</v>
      </c>
      <c r="AJ178" s="23">
        <v>0</v>
      </c>
      <c r="AK178" s="23">
        <v>0</v>
      </c>
      <c r="AL178" s="23">
        <v>0</v>
      </c>
      <c r="AM178" s="23">
        <v>0</v>
      </c>
      <c r="AN178" s="23">
        <v>0</v>
      </c>
      <c r="AO178" s="23">
        <v>0</v>
      </c>
      <c r="AP178" s="23">
        <v>0</v>
      </c>
      <c r="AQ178" s="23">
        <v>0</v>
      </c>
      <c r="AR178" s="23">
        <v>0</v>
      </c>
      <c r="AS178" s="23">
        <v>0</v>
      </c>
      <c r="AT178" s="23">
        <v>0</v>
      </c>
      <c r="AU178" s="23">
        <v>1000000</v>
      </c>
      <c r="AV178" s="23">
        <v>0</v>
      </c>
      <c r="AW178" s="23">
        <v>0</v>
      </c>
      <c r="AX178" s="23">
        <v>0</v>
      </c>
      <c r="AY178" s="23">
        <v>0</v>
      </c>
      <c r="AZ178" s="23">
        <v>0</v>
      </c>
      <c r="BA178" s="23">
        <v>0</v>
      </c>
      <c r="BB178" s="23">
        <v>0</v>
      </c>
      <c r="BC178" s="23">
        <v>0</v>
      </c>
      <c r="BD178" s="23">
        <v>0</v>
      </c>
      <c r="BE178" s="23">
        <v>0</v>
      </c>
      <c r="BF178" s="23">
        <v>1000000</v>
      </c>
      <c r="BG178" s="23">
        <v>1000000</v>
      </c>
      <c r="BH178" s="23">
        <v>0</v>
      </c>
      <c r="BI178" s="23">
        <v>0</v>
      </c>
      <c r="BJ178" s="23">
        <v>0</v>
      </c>
      <c r="BK178" s="23">
        <v>0</v>
      </c>
      <c r="BL178" s="23">
        <v>0</v>
      </c>
      <c r="BM178" s="23">
        <v>0</v>
      </c>
      <c r="BN178" s="23">
        <v>0</v>
      </c>
      <c r="BO178" s="23">
        <v>0</v>
      </c>
      <c r="BP178" s="23">
        <v>0</v>
      </c>
      <c r="BQ178" s="23">
        <v>0</v>
      </c>
      <c r="BR178" s="23">
        <v>1000000</v>
      </c>
      <c r="BS178" s="23">
        <v>1000000</v>
      </c>
      <c r="BT178" s="23">
        <v>0</v>
      </c>
      <c r="BU178" s="23">
        <v>0</v>
      </c>
      <c r="BV178" s="23">
        <v>0</v>
      </c>
      <c r="BW178" s="23">
        <v>0</v>
      </c>
      <c r="BX178" s="23">
        <v>0</v>
      </c>
      <c r="BY178" s="23">
        <v>0</v>
      </c>
      <c r="BZ178" s="23">
        <v>0</v>
      </c>
      <c r="CA178" s="23">
        <v>0</v>
      </c>
      <c r="CB178" s="23">
        <v>0</v>
      </c>
      <c r="CC178" s="23">
        <v>0</v>
      </c>
      <c r="CD178" s="23">
        <v>1000000</v>
      </c>
      <c r="CE178" s="23">
        <f t="shared" si="8"/>
        <v>3000000</v>
      </c>
    </row>
    <row r="179" spans="1:84" ht="15" customHeight="1" x14ac:dyDescent="0.3">
      <c r="A179" s="20" t="s">
        <v>745</v>
      </c>
      <c r="B179" s="20">
        <v>12</v>
      </c>
      <c r="C179" s="20" t="s">
        <v>89</v>
      </c>
      <c r="D179" s="20">
        <v>190030005</v>
      </c>
      <c r="E179" s="20" t="s">
        <v>755</v>
      </c>
      <c r="F179" s="20" t="s">
        <v>756</v>
      </c>
      <c r="G179" s="20" t="s">
        <v>794</v>
      </c>
      <c r="H179" s="29">
        <v>0</v>
      </c>
      <c r="I179" s="30">
        <v>2018</v>
      </c>
      <c r="J179" s="30">
        <v>35</v>
      </c>
      <c r="K179" s="30">
        <v>1202</v>
      </c>
      <c r="L179" s="20" t="s">
        <v>638</v>
      </c>
      <c r="M179" s="30">
        <v>1202023</v>
      </c>
      <c r="N179" s="62" t="s">
        <v>1135</v>
      </c>
      <c r="O179" s="79"/>
      <c r="P179" s="20" t="s">
        <v>645</v>
      </c>
      <c r="Q179" s="46"/>
      <c r="R179" s="20" t="s">
        <v>646</v>
      </c>
      <c r="S179" s="20" t="s">
        <v>55</v>
      </c>
      <c r="T179" s="30">
        <v>120202300</v>
      </c>
      <c r="U179" s="20" t="s">
        <v>585</v>
      </c>
      <c r="V179" s="20" t="s">
        <v>18</v>
      </c>
      <c r="W179" s="30">
        <v>16.3</v>
      </c>
      <c r="X179" s="20" t="s">
        <v>19</v>
      </c>
      <c r="Y179" s="22">
        <v>0</v>
      </c>
      <c r="Z179" s="22">
        <v>15</v>
      </c>
      <c r="AA179" s="22">
        <v>0</v>
      </c>
      <c r="AB179" s="22">
        <v>5</v>
      </c>
      <c r="AC179" s="22">
        <v>5</v>
      </c>
      <c r="AD179" s="22">
        <v>5</v>
      </c>
      <c r="AE179" s="22"/>
      <c r="AF179" s="19">
        <f t="shared" si="7"/>
        <v>0</v>
      </c>
      <c r="AG179" s="22">
        <v>0</v>
      </c>
      <c r="AH179" s="73">
        <v>0</v>
      </c>
      <c r="AI179" s="23">
        <v>0</v>
      </c>
      <c r="AJ179" s="23">
        <v>0</v>
      </c>
      <c r="AK179" s="23">
        <v>0</v>
      </c>
      <c r="AL179" s="23">
        <v>0</v>
      </c>
      <c r="AM179" s="23">
        <v>0</v>
      </c>
      <c r="AN179" s="23">
        <v>0</v>
      </c>
      <c r="AO179" s="23">
        <v>0</v>
      </c>
      <c r="AP179" s="23">
        <v>0</v>
      </c>
      <c r="AQ179" s="23">
        <v>0</v>
      </c>
      <c r="AR179" s="23">
        <v>0</v>
      </c>
      <c r="AS179" s="23">
        <v>0</v>
      </c>
      <c r="AT179" s="23">
        <v>0</v>
      </c>
      <c r="AU179" s="23">
        <v>1250000</v>
      </c>
      <c r="AV179" s="23">
        <v>0</v>
      </c>
      <c r="AW179" s="23">
        <v>0</v>
      </c>
      <c r="AX179" s="23">
        <v>0</v>
      </c>
      <c r="AY179" s="23">
        <v>0</v>
      </c>
      <c r="AZ179" s="23">
        <v>0</v>
      </c>
      <c r="BA179" s="23">
        <v>0</v>
      </c>
      <c r="BB179" s="23">
        <v>0</v>
      </c>
      <c r="BC179" s="23">
        <v>0</v>
      </c>
      <c r="BD179" s="23">
        <v>0</v>
      </c>
      <c r="BE179" s="23">
        <v>0</v>
      </c>
      <c r="BF179" s="23">
        <v>1250000</v>
      </c>
      <c r="BG179" s="23">
        <v>1250000</v>
      </c>
      <c r="BH179" s="23">
        <v>0</v>
      </c>
      <c r="BI179" s="23">
        <v>0</v>
      </c>
      <c r="BJ179" s="23">
        <v>0</v>
      </c>
      <c r="BK179" s="23">
        <v>0</v>
      </c>
      <c r="BL179" s="23">
        <v>0</v>
      </c>
      <c r="BM179" s="23">
        <v>0</v>
      </c>
      <c r="BN179" s="23">
        <v>0</v>
      </c>
      <c r="BO179" s="23">
        <v>0</v>
      </c>
      <c r="BP179" s="23">
        <v>0</v>
      </c>
      <c r="BQ179" s="23">
        <v>0</v>
      </c>
      <c r="BR179" s="23">
        <v>1250000</v>
      </c>
      <c r="BS179" s="23">
        <v>1250000</v>
      </c>
      <c r="BT179" s="23">
        <v>0</v>
      </c>
      <c r="BU179" s="23">
        <v>0</v>
      </c>
      <c r="BV179" s="23">
        <v>0</v>
      </c>
      <c r="BW179" s="23">
        <v>0</v>
      </c>
      <c r="BX179" s="23">
        <v>0</v>
      </c>
      <c r="BY179" s="23">
        <v>0</v>
      </c>
      <c r="BZ179" s="23">
        <v>0</v>
      </c>
      <c r="CA179" s="23">
        <v>0</v>
      </c>
      <c r="CB179" s="23">
        <v>0</v>
      </c>
      <c r="CC179" s="23">
        <v>0</v>
      </c>
      <c r="CD179" s="23">
        <v>1250000</v>
      </c>
      <c r="CE179" s="23">
        <f t="shared" si="8"/>
        <v>3750000</v>
      </c>
    </row>
    <row r="180" spans="1:84" ht="15" customHeight="1" x14ac:dyDescent="0.3">
      <c r="A180" s="20" t="s">
        <v>745</v>
      </c>
      <c r="B180" s="20">
        <v>12</v>
      </c>
      <c r="C180" s="20" t="s">
        <v>89</v>
      </c>
      <c r="D180" s="20">
        <v>190010038</v>
      </c>
      <c r="E180" s="20" t="s">
        <v>757</v>
      </c>
      <c r="F180" s="20" t="s">
        <v>758</v>
      </c>
      <c r="G180" s="20" t="s">
        <v>794</v>
      </c>
      <c r="H180" s="29">
        <v>0</v>
      </c>
      <c r="I180" s="30">
        <v>2021</v>
      </c>
      <c r="J180" s="30">
        <v>50</v>
      </c>
      <c r="K180" s="30">
        <v>1203</v>
      </c>
      <c r="L180" s="20" t="s">
        <v>655</v>
      </c>
      <c r="M180" s="30">
        <v>1203011</v>
      </c>
      <c r="N180" s="62" t="s">
        <v>1134</v>
      </c>
      <c r="O180" s="79">
        <v>202500000009354</v>
      </c>
      <c r="P180" s="20" t="s">
        <v>647</v>
      </c>
      <c r="Q180" s="46"/>
      <c r="R180" s="20" t="s">
        <v>648</v>
      </c>
      <c r="S180" s="20" t="s">
        <v>55</v>
      </c>
      <c r="T180" s="30">
        <v>120301100</v>
      </c>
      <c r="U180" s="20" t="s">
        <v>585</v>
      </c>
      <c r="V180" s="20" t="s">
        <v>18</v>
      </c>
      <c r="W180" s="30">
        <v>16.600000000000001</v>
      </c>
      <c r="X180" s="20" t="s">
        <v>19</v>
      </c>
      <c r="Y180" s="22" t="s">
        <v>636</v>
      </c>
      <c r="Z180" s="22">
        <v>15</v>
      </c>
      <c r="AA180" s="22">
        <v>0</v>
      </c>
      <c r="AB180" s="22">
        <v>5</v>
      </c>
      <c r="AC180" s="22">
        <v>5</v>
      </c>
      <c r="AD180" s="22">
        <v>5</v>
      </c>
      <c r="AE180" s="22"/>
      <c r="AF180" s="19">
        <f t="shared" si="7"/>
        <v>0</v>
      </c>
      <c r="AG180" s="22">
        <v>0</v>
      </c>
      <c r="AH180" s="73">
        <v>0</v>
      </c>
      <c r="AI180" s="23">
        <v>0</v>
      </c>
      <c r="AJ180" s="23">
        <v>0</v>
      </c>
      <c r="AK180" s="23">
        <v>0</v>
      </c>
      <c r="AL180" s="23">
        <v>0</v>
      </c>
      <c r="AM180" s="23">
        <v>0</v>
      </c>
      <c r="AN180" s="23">
        <v>0</v>
      </c>
      <c r="AO180" s="23">
        <v>0</v>
      </c>
      <c r="AP180" s="23">
        <v>0</v>
      </c>
      <c r="AQ180" s="23">
        <v>0</v>
      </c>
      <c r="AR180" s="23">
        <v>0</v>
      </c>
      <c r="AS180" s="23">
        <v>0</v>
      </c>
      <c r="AT180" s="23">
        <v>0</v>
      </c>
      <c r="AU180" s="23">
        <v>1250000</v>
      </c>
      <c r="AV180" s="23">
        <v>0</v>
      </c>
      <c r="AW180" s="23">
        <v>0</v>
      </c>
      <c r="AX180" s="23">
        <v>0</v>
      </c>
      <c r="AY180" s="23">
        <v>0</v>
      </c>
      <c r="AZ180" s="23">
        <v>0</v>
      </c>
      <c r="BA180" s="23">
        <v>0</v>
      </c>
      <c r="BB180" s="23">
        <v>0</v>
      </c>
      <c r="BC180" s="23">
        <v>0</v>
      </c>
      <c r="BD180" s="23">
        <v>0</v>
      </c>
      <c r="BE180" s="23">
        <v>0</v>
      </c>
      <c r="BF180" s="23">
        <v>1250000</v>
      </c>
      <c r="BG180" s="23">
        <v>1250000</v>
      </c>
      <c r="BH180" s="23">
        <v>0</v>
      </c>
      <c r="BI180" s="23">
        <v>0</v>
      </c>
      <c r="BJ180" s="23">
        <v>0</v>
      </c>
      <c r="BK180" s="23">
        <v>0</v>
      </c>
      <c r="BL180" s="23">
        <v>0</v>
      </c>
      <c r="BM180" s="23">
        <v>0</v>
      </c>
      <c r="BN180" s="23">
        <v>0</v>
      </c>
      <c r="BO180" s="23">
        <v>0</v>
      </c>
      <c r="BP180" s="23">
        <v>0</v>
      </c>
      <c r="BQ180" s="23">
        <v>0</v>
      </c>
      <c r="BR180" s="23">
        <v>1250000</v>
      </c>
      <c r="BS180" s="23">
        <v>1250000</v>
      </c>
      <c r="BT180" s="23">
        <v>0</v>
      </c>
      <c r="BU180" s="23">
        <v>0</v>
      </c>
      <c r="BV180" s="23">
        <v>0</v>
      </c>
      <c r="BW180" s="23">
        <v>0</v>
      </c>
      <c r="BX180" s="23">
        <v>0</v>
      </c>
      <c r="BY180" s="23">
        <v>0</v>
      </c>
      <c r="BZ180" s="23">
        <v>0</v>
      </c>
      <c r="CA180" s="23">
        <v>0</v>
      </c>
      <c r="CB180" s="23">
        <v>0</v>
      </c>
      <c r="CC180" s="23">
        <v>0</v>
      </c>
      <c r="CD180" s="23">
        <v>1250000</v>
      </c>
      <c r="CE180" s="23">
        <f t="shared" si="8"/>
        <v>3750000</v>
      </c>
    </row>
    <row r="181" spans="1:84" ht="15" customHeight="1" x14ac:dyDescent="0.3">
      <c r="A181" s="20" t="s">
        <v>745</v>
      </c>
      <c r="B181" s="20">
        <v>45</v>
      </c>
      <c r="C181" s="20" t="s">
        <v>393</v>
      </c>
      <c r="D181" s="20">
        <v>60010003</v>
      </c>
      <c r="E181" s="20" t="s">
        <v>724</v>
      </c>
      <c r="F181" s="20" t="s">
        <v>725</v>
      </c>
      <c r="G181" s="20" t="s">
        <v>792</v>
      </c>
      <c r="H181" s="29">
        <v>49.81</v>
      </c>
      <c r="I181" s="30">
        <v>2022</v>
      </c>
      <c r="J181" s="30">
        <v>30</v>
      </c>
      <c r="K181" s="30">
        <v>4501</v>
      </c>
      <c r="L181" s="20" t="s">
        <v>394</v>
      </c>
      <c r="M181" s="30">
        <v>4501026</v>
      </c>
      <c r="N181" s="77" t="s">
        <v>1130</v>
      </c>
      <c r="O181" s="79">
        <v>202500000013911</v>
      </c>
      <c r="P181" s="20" t="s">
        <v>649</v>
      </c>
      <c r="Q181" s="46" t="s">
        <v>867</v>
      </c>
      <c r="R181" s="20" t="s">
        <v>650</v>
      </c>
      <c r="S181" s="20" t="s">
        <v>26</v>
      </c>
      <c r="T181" s="30">
        <v>450102602</v>
      </c>
      <c r="U181" s="20" t="s">
        <v>651</v>
      </c>
      <c r="V181" s="20" t="s">
        <v>18</v>
      </c>
      <c r="W181" s="30">
        <v>16.100000000000001</v>
      </c>
      <c r="X181" s="20" t="s">
        <v>19</v>
      </c>
      <c r="Y181" s="22">
        <v>1</v>
      </c>
      <c r="Z181" s="22">
        <v>1</v>
      </c>
      <c r="AA181" s="22">
        <v>1</v>
      </c>
      <c r="AB181" s="22">
        <v>0</v>
      </c>
      <c r="AC181" s="22">
        <v>0</v>
      </c>
      <c r="AD181" s="22">
        <v>0</v>
      </c>
      <c r="AE181" s="22">
        <v>1</v>
      </c>
      <c r="AF181" s="19">
        <f t="shared" si="7"/>
        <v>100</v>
      </c>
      <c r="AG181" s="22" t="s">
        <v>1048</v>
      </c>
      <c r="AH181" s="73" t="s">
        <v>1048</v>
      </c>
      <c r="AI181" s="23">
        <v>0</v>
      </c>
      <c r="AJ181" s="23">
        <v>0</v>
      </c>
      <c r="AK181" s="23">
        <v>0</v>
      </c>
      <c r="AL181" s="23">
        <v>0</v>
      </c>
      <c r="AM181" s="23">
        <v>0</v>
      </c>
      <c r="AN181" s="23">
        <v>6999621</v>
      </c>
      <c r="AO181" s="23">
        <v>0</v>
      </c>
      <c r="AP181" s="23">
        <v>0</v>
      </c>
      <c r="AQ181" s="23">
        <v>0</v>
      </c>
      <c r="AR181" s="23">
        <v>0</v>
      </c>
      <c r="AS181" s="23">
        <v>0</v>
      </c>
      <c r="AT181" s="23">
        <v>6999621</v>
      </c>
      <c r="AU181" s="23">
        <v>0</v>
      </c>
      <c r="AV181" s="23">
        <v>0</v>
      </c>
      <c r="AW181" s="23">
        <v>0</v>
      </c>
      <c r="AX181" s="23">
        <v>0</v>
      </c>
      <c r="AY181" s="23">
        <v>0</v>
      </c>
      <c r="AZ181" s="23">
        <v>0</v>
      </c>
      <c r="BA181" s="23">
        <v>0</v>
      </c>
      <c r="BB181" s="23">
        <v>0</v>
      </c>
      <c r="BC181" s="23">
        <v>0</v>
      </c>
      <c r="BD181" s="23">
        <v>0</v>
      </c>
      <c r="BE181" s="23">
        <v>0</v>
      </c>
      <c r="BF181" s="23">
        <v>0</v>
      </c>
      <c r="BG181" s="23">
        <v>0</v>
      </c>
      <c r="BH181" s="23">
        <v>0</v>
      </c>
      <c r="BI181" s="23">
        <v>0</v>
      </c>
      <c r="BJ181" s="23">
        <v>0</v>
      </c>
      <c r="BK181" s="23">
        <v>0</v>
      </c>
      <c r="BL181" s="23">
        <v>0</v>
      </c>
      <c r="BM181" s="23">
        <v>0</v>
      </c>
      <c r="BN181" s="23">
        <v>0</v>
      </c>
      <c r="BO181" s="23">
        <v>0</v>
      </c>
      <c r="BP181" s="23">
        <v>0</v>
      </c>
      <c r="BQ181" s="23">
        <v>0</v>
      </c>
      <c r="BR181" s="23">
        <v>0</v>
      </c>
      <c r="BS181" s="23">
        <v>0</v>
      </c>
      <c r="BT181" s="23">
        <v>0</v>
      </c>
      <c r="BU181" s="23">
        <v>0</v>
      </c>
      <c r="BV181" s="23">
        <v>0</v>
      </c>
      <c r="BW181" s="23">
        <v>0</v>
      </c>
      <c r="BX181" s="23">
        <v>0</v>
      </c>
      <c r="BY181" s="23">
        <v>0</v>
      </c>
      <c r="BZ181" s="23">
        <v>0</v>
      </c>
      <c r="CA181" s="23">
        <v>0</v>
      </c>
      <c r="CB181" s="23">
        <v>0</v>
      </c>
      <c r="CC181" s="23">
        <v>0</v>
      </c>
      <c r="CD181" s="23">
        <v>0</v>
      </c>
      <c r="CE181" s="23">
        <f t="shared" si="8"/>
        <v>6999621</v>
      </c>
    </row>
    <row r="182" spans="1:84" ht="15" customHeight="1" x14ac:dyDescent="0.3">
      <c r="A182" s="20" t="s">
        <v>745</v>
      </c>
      <c r="B182" s="20">
        <v>45</v>
      </c>
      <c r="C182" s="20" t="s">
        <v>393</v>
      </c>
      <c r="D182" s="20">
        <v>60010003</v>
      </c>
      <c r="E182" s="20" t="s">
        <v>724</v>
      </c>
      <c r="F182" s="20" t="s">
        <v>725</v>
      </c>
      <c r="G182" s="20" t="s">
        <v>792</v>
      </c>
      <c r="H182" s="29">
        <v>49.81</v>
      </c>
      <c r="I182" s="30">
        <v>2022</v>
      </c>
      <c r="J182" s="30">
        <v>30</v>
      </c>
      <c r="K182" s="30">
        <v>4501</v>
      </c>
      <c r="L182" s="20" t="s">
        <v>394</v>
      </c>
      <c r="M182" s="30">
        <v>4501077</v>
      </c>
      <c r="N182" s="77" t="s">
        <v>1130</v>
      </c>
      <c r="O182" s="79">
        <v>202500000013911</v>
      </c>
      <c r="P182" s="20" t="s">
        <v>652</v>
      </c>
      <c r="Q182" s="46" t="s">
        <v>868</v>
      </c>
      <c r="R182" s="20" t="s">
        <v>653</v>
      </c>
      <c r="S182" s="20" t="s">
        <v>287</v>
      </c>
      <c r="T182" s="30">
        <v>450107700</v>
      </c>
      <c r="U182" s="20" t="s">
        <v>593</v>
      </c>
      <c r="V182" s="20" t="s">
        <v>18</v>
      </c>
      <c r="W182" s="30">
        <v>16.600000000000001</v>
      </c>
      <c r="X182" s="20" t="s">
        <v>19</v>
      </c>
      <c r="Y182" s="22">
        <v>4</v>
      </c>
      <c r="Z182" s="22">
        <v>4</v>
      </c>
      <c r="AA182" s="22">
        <v>1</v>
      </c>
      <c r="AB182" s="22">
        <v>1</v>
      </c>
      <c r="AC182" s="22">
        <v>1</v>
      </c>
      <c r="AD182" s="22">
        <v>1</v>
      </c>
      <c r="AE182" s="22">
        <v>1</v>
      </c>
      <c r="AF182" s="19">
        <f t="shared" si="7"/>
        <v>25</v>
      </c>
      <c r="AG182" s="22">
        <v>0</v>
      </c>
      <c r="AH182" s="73">
        <v>0</v>
      </c>
      <c r="AI182" s="23">
        <v>25000000</v>
      </c>
      <c r="AJ182" s="23">
        <v>0</v>
      </c>
      <c r="AK182" s="23">
        <v>0</v>
      </c>
      <c r="AL182" s="23">
        <v>0</v>
      </c>
      <c r="AM182" s="23">
        <v>0</v>
      </c>
      <c r="AN182" s="23">
        <v>0</v>
      </c>
      <c r="AO182" s="23">
        <v>0</v>
      </c>
      <c r="AP182" s="23">
        <v>0</v>
      </c>
      <c r="AQ182" s="23">
        <v>0</v>
      </c>
      <c r="AR182" s="23">
        <v>0</v>
      </c>
      <c r="AS182" s="23">
        <v>0</v>
      </c>
      <c r="AT182" s="23">
        <v>25000000</v>
      </c>
      <c r="AU182" s="23">
        <v>25000000</v>
      </c>
      <c r="AV182" s="23">
        <v>0</v>
      </c>
      <c r="AW182" s="23">
        <v>0</v>
      </c>
      <c r="AX182" s="23">
        <v>0</v>
      </c>
      <c r="AY182" s="23">
        <v>0</v>
      </c>
      <c r="AZ182" s="23">
        <v>0</v>
      </c>
      <c r="BA182" s="23">
        <v>0</v>
      </c>
      <c r="BB182" s="23">
        <v>0</v>
      </c>
      <c r="BC182" s="23">
        <v>0</v>
      </c>
      <c r="BD182" s="23">
        <v>0</v>
      </c>
      <c r="BE182" s="23">
        <v>0</v>
      </c>
      <c r="BF182" s="23">
        <v>25000000</v>
      </c>
      <c r="BG182" s="23">
        <v>25000000</v>
      </c>
      <c r="BH182" s="23">
        <v>0</v>
      </c>
      <c r="BI182" s="23">
        <v>0</v>
      </c>
      <c r="BJ182" s="23">
        <v>0</v>
      </c>
      <c r="BK182" s="23">
        <v>0</v>
      </c>
      <c r="BL182" s="23">
        <v>0</v>
      </c>
      <c r="BM182" s="23">
        <v>0</v>
      </c>
      <c r="BN182" s="23">
        <v>0</v>
      </c>
      <c r="BO182" s="23">
        <v>0</v>
      </c>
      <c r="BP182" s="23">
        <v>0</v>
      </c>
      <c r="BQ182" s="23">
        <v>0</v>
      </c>
      <c r="BR182" s="23">
        <v>25000000</v>
      </c>
      <c r="BS182" s="23">
        <v>25000000</v>
      </c>
      <c r="BT182" s="23">
        <v>0</v>
      </c>
      <c r="BU182" s="23">
        <v>0</v>
      </c>
      <c r="BV182" s="23">
        <v>0</v>
      </c>
      <c r="BW182" s="23">
        <v>0</v>
      </c>
      <c r="BX182" s="23">
        <v>0</v>
      </c>
      <c r="BY182" s="23">
        <v>0</v>
      </c>
      <c r="BZ182" s="23">
        <v>0</v>
      </c>
      <c r="CA182" s="23">
        <v>0</v>
      </c>
      <c r="CB182" s="23">
        <v>0</v>
      </c>
      <c r="CC182" s="23">
        <v>0</v>
      </c>
      <c r="CD182" s="23">
        <v>25000000</v>
      </c>
      <c r="CE182" s="23">
        <f t="shared" si="8"/>
        <v>100000000</v>
      </c>
    </row>
    <row r="183" spans="1:84" ht="15.6" customHeight="1" x14ac:dyDescent="0.3">
      <c r="A183" s="20" t="s">
        <v>745</v>
      </c>
      <c r="B183" s="20">
        <v>45</v>
      </c>
      <c r="C183" s="20" t="s">
        <v>393</v>
      </c>
      <c r="D183" s="20">
        <v>60010003</v>
      </c>
      <c r="E183" s="20" t="s">
        <v>724</v>
      </c>
      <c r="F183" s="20" t="s">
        <v>725</v>
      </c>
      <c r="G183" s="20" t="s">
        <v>792</v>
      </c>
      <c r="H183" s="29">
        <v>49.81</v>
      </c>
      <c r="I183" s="30">
        <v>2022</v>
      </c>
      <c r="J183" s="30">
        <v>30</v>
      </c>
      <c r="K183" s="30">
        <v>4501</v>
      </c>
      <c r="L183" s="20" t="s">
        <v>394</v>
      </c>
      <c r="M183" s="30">
        <v>4501079</v>
      </c>
      <c r="N183" s="77" t="s">
        <v>1130</v>
      </c>
      <c r="O183" s="79">
        <v>202500000013911</v>
      </c>
      <c r="P183" s="20" t="s">
        <v>652</v>
      </c>
      <c r="Q183" s="46" t="s">
        <v>869</v>
      </c>
      <c r="R183" s="20" t="s">
        <v>654</v>
      </c>
      <c r="S183" s="20" t="s">
        <v>287</v>
      </c>
      <c r="T183" s="30">
        <v>450107900</v>
      </c>
      <c r="U183" s="20" t="s">
        <v>593</v>
      </c>
      <c r="V183" s="20" t="s">
        <v>18</v>
      </c>
      <c r="W183" s="30">
        <v>16.600000000000001</v>
      </c>
      <c r="X183" s="20" t="s">
        <v>19</v>
      </c>
      <c r="Y183" s="22">
        <v>4</v>
      </c>
      <c r="Z183" s="22">
        <v>4</v>
      </c>
      <c r="AA183" s="22">
        <v>1</v>
      </c>
      <c r="AB183" s="22">
        <v>1</v>
      </c>
      <c r="AC183" s="22">
        <v>1</v>
      </c>
      <c r="AD183" s="22">
        <v>1</v>
      </c>
      <c r="AE183" s="22">
        <v>1</v>
      </c>
      <c r="AF183" s="19">
        <f t="shared" si="7"/>
        <v>25</v>
      </c>
      <c r="AG183" s="22">
        <v>0</v>
      </c>
      <c r="AH183" s="73">
        <v>0</v>
      </c>
      <c r="AI183" s="23">
        <v>25000000</v>
      </c>
      <c r="AJ183" s="23">
        <v>0</v>
      </c>
      <c r="AK183" s="23">
        <v>0</v>
      </c>
      <c r="AL183" s="23">
        <v>0</v>
      </c>
      <c r="AM183" s="23">
        <v>0</v>
      </c>
      <c r="AN183" s="23">
        <v>0</v>
      </c>
      <c r="AO183" s="23">
        <v>0</v>
      </c>
      <c r="AP183" s="23">
        <v>0</v>
      </c>
      <c r="AQ183" s="23">
        <v>0</v>
      </c>
      <c r="AR183" s="23">
        <v>0</v>
      </c>
      <c r="AS183" s="23">
        <v>0</v>
      </c>
      <c r="AT183" s="23">
        <v>25000000</v>
      </c>
      <c r="AU183" s="23">
        <v>25000000</v>
      </c>
      <c r="AV183" s="23">
        <v>0</v>
      </c>
      <c r="AW183" s="23">
        <v>0</v>
      </c>
      <c r="AX183" s="23">
        <v>0</v>
      </c>
      <c r="AY183" s="23">
        <v>0</v>
      </c>
      <c r="AZ183" s="23">
        <v>0</v>
      </c>
      <c r="BA183" s="23">
        <v>0</v>
      </c>
      <c r="BB183" s="23">
        <v>0</v>
      </c>
      <c r="BC183" s="23">
        <v>0</v>
      </c>
      <c r="BD183" s="23">
        <v>0</v>
      </c>
      <c r="BE183" s="23">
        <v>0</v>
      </c>
      <c r="BF183" s="23">
        <v>25000000</v>
      </c>
      <c r="BG183" s="23">
        <v>25000000</v>
      </c>
      <c r="BH183" s="23">
        <v>0</v>
      </c>
      <c r="BI183" s="23">
        <v>0</v>
      </c>
      <c r="BJ183" s="23">
        <v>0</v>
      </c>
      <c r="BK183" s="23">
        <v>0</v>
      </c>
      <c r="BL183" s="23">
        <v>0</v>
      </c>
      <c r="BM183" s="23">
        <v>0</v>
      </c>
      <c r="BN183" s="23">
        <v>0</v>
      </c>
      <c r="BO183" s="23">
        <v>0</v>
      </c>
      <c r="BP183" s="23">
        <v>0</v>
      </c>
      <c r="BQ183" s="23">
        <v>0</v>
      </c>
      <c r="BR183" s="23">
        <v>25000000</v>
      </c>
      <c r="BS183" s="23">
        <v>25000000</v>
      </c>
      <c r="BT183" s="23">
        <v>0</v>
      </c>
      <c r="BU183" s="23">
        <v>0</v>
      </c>
      <c r="BV183" s="23">
        <v>0</v>
      </c>
      <c r="BW183" s="23">
        <v>0</v>
      </c>
      <c r="BX183" s="23">
        <v>0</v>
      </c>
      <c r="BY183" s="23">
        <v>0</v>
      </c>
      <c r="BZ183" s="23">
        <v>0</v>
      </c>
      <c r="CA183" s="23">
        <v>0</v>
      </c>
      <c r="CB183" s="23">
        <v>0</v>
      </c>
      <c r="CC183" s="23">
        <v>0</v>
      </c>
      <c r="CD183" s="23">
        <v>25000000</v>
      </c>
      <c r="CE183" s="23">
        <f t="shared" si="8"/>
        <v>100000000</v>
      </c>
    </row>
    <row r="184" spans="1:84" ht="15" customHeight="1" x14ac:dyDescent="0.3">
      <c r="A184" s="20" t="s">
        <v>745</v>
      </c>
      <c r="B184" s="24">
        <v>25</v>
      </c>
      <c r="C184" s="20" t="s">
        <v>769</v>
      </c>
      <c r="D184" s="20">
        <v>190010011</v>
      </c>
      <c r="E184" s="20" t="s">
        <v>768</v>
      </c>
      <c r="F184" s="20" t="s">
        <v>758</v>
      </c>
      <c r="G184" s="20" t="s">
        <v>794</v>
      </c>
      <c r="H184" s="29">
        <v>0</v>
      </c>
      <c r="I184" s="30">
        <v>2021</v>
      </c>
      <c r="J184" s="30">
        <v>50</v>
      </c>
      <c r="K184" s="31">
        <v>2502</v>
      </c>
      <c r="L184" s="20" t="s">
        <v>765</v>
      </c>
      <c r="M184" s="31">
        <v>2502003</v>
      </c>
      <c r="N184" s="62" t="s">
        <v>1136</v>
      </c>
      <c r="O184" s="79"/>
      <c r="P184" s="20" t="s">
        <v>766</v>
      </c>
      <c r="Q184" s="46"/>
      <c r="R184" s="20" t="s">
        <v>767</v>
      </c>
      <c r="S184" s="20" t="s">
        <v>40</v>
      </c>
      <c r="T184" s="31">
        <v>250200300</v>
      </c>
      <c r="U184" s="20" t="s">
        <v>100</v>
      </c>
      <c r="V184" s="20" t="s">
        <v>18</v>
      </c>
      <c r="W184" s="30">
        <v>4.7</v>
      </c>
      <c r="X184" s="20" t="s">
        <v>19</v>
      </c>
      <c r="Y184" s="22" t="s">
        <v>636</v>
      </c>
      <c r="Z184" s="22">
        <v>75</v>
      </c>
      <c r="AA184" s="22">
        <v>0</v>
      </c>
      <c r="AB184" s="22">
        <v>25</v>
      </c>
      <c r="AC184" s="22">
        <v>25</v>
      </c>
      <c r="AD184" s="22">
        <v>25</v>
      </c>
      <c r="AE184" s="22"/>
      <c r="AF184" s="19">
        <f t="shared" si="7"/>
        <v>0</v>
      </c>
      <c r="AG184" s="57">
        <v>35</v>
      </c>
      <c r="AH184" s="74">
        <v>140</v>
      </c>
      <c r="AI184" s="23">
        <v>0</v>
      </c>
      <c r="AJ184" s="23">
        <v>0</v>
      </c>
      <c r="AK184" s="23">
        <v>0</v>
      </c>
      <c r="AL184" s="23">
        <v>0</v>
      </c>
      <c r="AM184" s="23">
        <v>0</v>
      </c>
      <c r="AN184" s="23">
        <v>0</v>
      </c>
      <c r="AO184" s="23">
        <v>0</v>
      </c>
      <c r="AP184" s="23">
        <v>0</v>
      </c>
      <c r="AQ184" s="23">
        <v>0</v>
      </c>
      <c r="AR184" s="23">
        <v>0</v>
      </c>
      <c r="AS184" s="23">
        <v>0</v>
      </c>
      <c r="AT184" s="23">
        <v>0</v>
      </c>
      <c r="AU184" s="23">
        <v>2500000</v>
      </c>
      <c r="AV184" s="23">
        <v>0</v>
      </c>
      <c r="AW184" s="23">
        <v>0</v>
      </c>
      <c r="AX184" s="23">
        <v>0</v>
      </c>
      <c r="AY184" s="23">
        <v>0</v>
      </c>
      <c r="AZ184" s="23">
        <v>0</v>
      </c>
      <c r="BA184" s="23">
        <v>0</v>
      </c>
      <c r="BB184" s="23">
        <v>0</v>
      </c>
      <c r="BC184" s="23">
        <v>0</v>
      </c>
      <c r="BD184" s="23">
        <v>0</v>
      </c>
      <c r="BE184" s="23">
        <v>0</v>
      </c>
      <c r="BF184" s="23">
        <v>2500000</v>
      </c>
      <c r="BG184" s="23">
        <v>2500000</v>
      </c>
      <c r="BH184" s="23">
        <v>0</v>
      </c>
      <c r="BI184" s="23">
        <v>0</v>
      </c>
      <c r="BJ184" s="23">
        <v>0</v>
      </c>
      <c r="BK184" s="23">
        <v>0</v>
      </c>
      <c r="BL184" s="23">
        <v>0</v>
      </c>
      <c r="BM184" s="23">
        <v>0</v>
      </c>
      <c r="BN184" s="23">
        <v>0</v>
      </c>
      <c r="BO184" s="23">
        <v>0</v>
      </c>
      <c r="BP184" s="23">
        <v>0</v>
      </c>
      <c r="BQ184" s="23">
        <v>0</v>
      </c>
      <c r="BR184" s="23">
        <v>2500000</v>
      </c>
      <c r="BS184" s="23">
        <v>2500000</v>
      </c>
      <c r="BT184" s="23">
        <v>0</v>
      </c>
      <c r="BU184" s="23">
        <v>0</v>
      </c>
      <c r="BV184" s="23">
        <v>0</v>
      </c>
      <c r="BW184" s="23">
        <v>0</v>
      </c>
      <c r="BX184" s="23">
        <v>0</v>
      </c>
      <c r="BY184" s="23">
        <v>0</v>
      </c>
      <c r="BZ184" s="23">
        <v>0</v>
      </c>
      <c r="CA184" s="23">
        <v>0</v>
      </c>
      <c r="CB184" s="23">
        <v>0</v>
      </c>
      <c r="CC184" s="23">
        <v>0</v>
      </c>
      <c r="CD184" s="23">
        <v>2500000</v>
      </c>
      <c r="CE184" s="23">
        <f t="shared" si="8"/>
        <v>7500000</v>
      </c>
    </row>
    <row r="185" spans="1:84" x14ac:dyDescent="0.3">
      <c r="BB185" s="4"/>
    </row>
    <row r="186" spans="1:84" x14ac:dyDescent="0.3">
      <c r="BB186" s="4"/>
      <c r="BN186" s="4"/>
      <c r="BO186" s="4"/>
      <c r="BZ186" s="4"/>
      <c r="CF186" s="4"/>
    </row>
    <row r="188" spans="1:84" x14ac:dyDescent="0.3">
      <c r="CD188" s="13"/>
    </row>
    <row r="189" spans="1:84" x14ac:dyDescent="0.3">
      <c r="CD189" s="13"/>
    </row>
    <row r="190" spans="1:84" x14ac:dyDescent="0.3">
      <c r="CD190" s="13"/>
    </row>
    <row r="195" spans="81:82" x14ac:dyDescent="0.3">
      <c r="CD195" s="13"/>
    </row>
    <row r="197" spans="81:82" x14ac:dyDescent="0.3">
      <c r="CD197" s="11"/>
    </row>
    <row r="199" spans="81:82" x14ac:dyDescent="0.3">
      <c r="CC199" s="4"/>
    </row>
  </sheetData>
  <sheetProtection formatCells="0" formatColumns="0" formatRows="0" insertColumns="0" insertRows="0" insertHyperlinks="0" deleteColumns="0" deleteRows="0" sort="0" autoFilter="0" pivotTables="0"/>
  <autoFilter ref="A1:CE184">
    <filterColumn colId="3" showButton="0"/>
    <filterColumn colId="4" showButton="0"/>
    <filterColumn colId="5" showButton="0"/>
    <filterColumn colId="6" showButton="0"/>
    <filterColumn colId="7" showButton="0"/>
    <filterColumn colId="8"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6" showButton="0"/>
    <filterColumn colId="47"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8" showButton="0"/>
    <filterColumn colId="59" showButton="0"/>
    <filterColumn colId="60" showButton="0"/>
    <filterColumn colId="61" showButton="0"/>
    <filterColumn colId="62" showButton="0"/>
    <filterColumn colId="63" showButton="0"/>
    <filterColumn colId="64" showButton="0"/>
    <filterColumn colId="65" showButton="0"/>
    <filterColumn colId="66" showButton="0"/>
    <filterColumn colId="67" showButton="0"/>
    <filterColumn colId="68" showButton="0"/>
    <filterColumn colId="70" showButton="0"/>
    <filterColumn colId="71" showButton="0"/>
    <filterColumn colId="72" showButton="0"/>
    <filterColumn colId="73" showButton="0"/>
    <filterColumn colId="74" showButton="0"/>
    <filterColumn colId="75" showButton="0"/>
    <filterColumn colId="76" showButton="0"/>
    <filterColumn colId="77" showButton="0"/>
    <filterColumn colId="78" showButton="0"/>
    <filterColumn colId="79" showButton="0"/>
    <filterColumn colId="80" showButton="0"/>
  </autoFilter>
  <mergeCells count="33">
    <mergeCell ref="AG1:AG2"/>
    <mergeCell ref="W1:W2"/>
    <mergeCell ref="X1:X2"/>
    <mergeCell ref="Y1:Y2"/>
    <mergeCell ref="CE1:CE2"/>
    <mergeCell ref="Z1:Z2"/>
    <mergeCell ref="AA1:AA2"/>
    <mergeCell ref="AB1:AB2"/>
    <mergeCell ref="AC1:AC2"/>
    <mergeCell ref="AD1:AD2"/>
    <mergeCell ref="AI1:AT1"/>
    <mergeCell ref="BS1:CD1"/>
    <mergeCell ref="BG1:BR1"/>
    <mergeCell ref="AU1:BF1"/>
    <mergeCell ref="AE1:AE2"/>
    <mergeCell ref="AF1:AF2"/>
    <mergeCell ref="AH1:AH2"/>
    <mergeCell ref="A1:A2"/>
    <mergeCell ref="B1:B2"/>
    <mergeCell ref="C1:C2"/>
    <mergeCell ref="K1:K2"/>
    <mergeCell ref="L1:L2"/>
    <mergeCell ref="D1:J1"/>
    <mergeCell ref="U1:U2"/>
    <mergeCell ref="V1:V2"/>
    <mergeCell ref="N1:N2"/>
    <mergeCell ref="O1:O2"/>
    <mergeCell ref="M1:M2"/>
    <mergeCell ref="P1:P2"/>
    <mergeCell ref="R1:R2"/>
    <mergeCell ref="S1:S2"/>
    <mergeCell ref="T1:T2"/>
    <mergeCell ref="Q1:Q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C110"/>
  <sheetViews>
    <sheetView topLeftCell="Q1" zoomScale="85" zoomScaleNormal="85" workbookViewId="0">
      <pane ySplit="2" topLeftCell="A3" activePane="bottomLeft" state="frozen"/>
      <selection activeCell="Q2" sqref="Q2"/>
      <selection pane="bottomLeft" activeCell="X50" sqref="X50"/>
    </sheetView>
  </sheetViews>
  <sheetFormatPr baseColWidth="10" defaultColWidth="11.5546875" defaultRowHeight="14.4" x14ac:dyDescent="0.3"/>
  <cols>
    <col min="1" max="1" width="61.109375" style="5" customWidth="1"/>
    <col min="2" max="2" width="11.5546875" style="1" customWidth="1"/>
    <col min="3" max="3" width="40.33203125" style="1" customWidth="1"/>
    <col min="4" max="4" width="19.6640625" style="1" customWidth="1"/>
    <col min="5" max="5" width="80.44140625" style="1" customWidth="1"/>
    <col min="6" max="7" width="23.6640625" style="1" customWidth="1"/>
    <col min="8" max="8" width="13.88671875" style="1" customWidth="1"/>
    <col min="9" max="9" width="15.109375" style="1" customWidth="1"/>
    <col min="10" max="10" width="14.6640625" style="1" customWidth="1"/>
    <col min="11" max="11" width="11.5546875" style="1" customWidth="1"/>
    <col min="12" max="12" width="58.109375" style="1" customWidth="1"/>
    <col min="13" max="13" width="15.109375" style="1" customWidth="1"/>
    <col min="14" max="14" width="52.88671875" style="1" customWidth="1"/>
    <col min="15" max="15" width="24.109375" style="1" customWidth="1"/>
    <col min="16" max="16" width="38.5546875" style="1" customWidth="1"/>
    <col min="17" max="17" width="13.5546875" style="1" customWidth="1"/>
    <col min="18" max="18" width="55.5546875" style="1" customWidth="1"/>
    <col min="19" max="19" width="21.33203125" style="1" customWidth="1"/>
    <col min="20" max="20" width="11.5546875" style="6" customWidth="1"/>
    <col min="21" max="21" width="31.33203125" style="1" customWidth="1"/>
    <col min="22" max="26" width="10.6640625" style="7" customWidth="1"/>
    <col min="27" max="28" width="12" style="7" customWidth="1"/>
    <col min="29" max="29" width="12" style="33" customWidth="1"/>
    <col min="30" max="16384" width="11.5546875" style="1"/>
  </cols>
  <sheetData>
    <row r="1" spans="1:29" s="3" customFormat="1" ht="39.6" customHeight="1" thickBot="1" x14ac:dyDescent="0.35">
      <c r="A1" s="88" t="s">
        <v>612</v>
      </c>
      <c r="B1" s="82" t="s">
        <v>0</v>
      </c>
      <c r="C1" s="82" t="s">
        <v>1</v>
      </c>
      <c r="D1" s="90" t="s">
        <v>613</v>
      </c>
      <c r="E1" s="91"/>
      <c r="F1" s="91"/>
      <c r="G1" s="91"/>
      <c r="H1" s="91"/>
      <c r="I1" s="91"/>
      <c r="J1" s="92"/>
      <c r="K1" s="82" t="s">
        <v>2</v>
      </c>
      <c r="L1" s="82" t="s">
        <v>3</v>
      </c>
      <c r="M1" s="86" t="s">
        <v>4</v>
      </c>
      <c r="N1" s="82" t="s">
        <v>5</v>
      </c>
      <c r="O1" s="82" t="s">
        <v>6</v>
      </c>
      <c r="P1" s="82" t="s">
        <v>7</v>
      </c>
      <c r="Q1" s="82" t="s">
        <v>8</v>
      </c>
      <c r="R1" s="82" t="s">
        <v>9</v>
      </c>
      <c r="S1" s="82" t="s">
        <v>10</v>
      </c>
      <c r="T1" s="82" t="s">
        <v>795</v>
      </c>
      <c r="U1" s="82" t="s">
        <v>11</v>
      </c>
      <c r="V1" s="82" t="s">
        <v>635</v>
      </c>
      <c r="W1" s="82" t="s">
        <v>618</v>
      </c>
      <c r="X1" s="82" t="s">
        <v>988</v>
      </c>
      <c r="Y1" s="82" t="s">
        <v>615</v>
      </c>
      <c r="Z1" s="82" t="s">
        <v>616</v>
      </c>
      <c r="AA1" s="82" t="s">
        <v>617</v>
      </c>
      <c r="AB1" s="82" t="s">
        <v>992</v>
      </c>
      <c r="AC1" s="97" t="s">
        <v>993</v>
      </c>
    </row>
    <row r="2" spans="1:29" s="3" customFormat="1" ht="55.2" customHeight="1" thickBot="1" x14ac:dyDescent="0.35">
      <c r="A2" s="89"/>
      <c r="B2" s="83"/>
      <c r="C2" s="83"/>
      <c r="D2" s="9" t="s">
        <v>614</v>
      </c>
      <c r="E2" s="9" t="s">
        <v>613</v>
      </c>
      <c r="F2" s="9" t="s">
        <v>10</v>
      </c>
      <c r="G2" s="10" t="s">
        <v>771</v>
      </c>
      <c r="H2" s="10" t="s">
        <v>772</v>
      </c>
      <c r="I2" s="10" t="s">
        <v>773</v>
      </c>
      <c r="J2" s="10" t="s">
        <v>796</v>
      </c>
      <c r="K2" s="83"/>
      <c r="L2" s="83"/>
      <c r="M2" s="87"/>
      <c r="N2" s="83"/>
      <c r="O2" s="83"/>
      <c r="P2" s="83"/>
      <c r="Q2" s="83"/>
      <c r="R2" s="83"/>
      <c r="S2" s="83"/>
      <c r="T2" s="83"/>
      <c r="U2" s="83"/>
      <c r="V2" s="83"/>
      <c r="W2" s="83"/>
      <c r="X2" s="83"/>
      <c r="Y2" s="83"/>
      <c r="Z2" s="83"/>
      <c r="AA2" s="83"/>
      <c r="AB2" s="83"/>
      <c r="AC2" s="98"/>
    </row>
    <row r="3" spans="1:29" ht="15.6" customHeight="1" x14ac:dyDescent="0.3">
      <c r="A3" s="17" t="s">
        <v>741</v>
      </c>
      <c r="B3" s="17">
        <v>41</v>
      </c>
      <c r="C3" s="17" t="s">
        <v>12</v>
      </c>
      <c r="D3" s="18">
        <v>140010051</v>
      </c>
      <c r="E3" s="18" t="s">
        <v>720</v>
      </c>
      <c r="F3" s="17" t="s">
        <v>428</v>
      </c>
      <c r="G3" s="17" t="s">
        <v>774</v>
      </c>
      <c r="H3" s="27">
        <v>77.937399999999997</v>
      </c>
      <c r="I3" s="28">
        <v>2023</v>
      </c>
      <c r="J3" s="28">
        <v>72</v>
      </c>
      <c r="K3" s="28">
        <v>4102</v>
      </c>
      <c r="L3" s="17" t="s">
        <v>13</v>
      </c>
      <c r="M3" s="28">
        <v>4102001</v>
      </c>
      <c r="N3" s="17" t="s">
        <v>14</v>
      </c>
      <c r="O3" s="17" t="s">
        <v>15</v>
      </c>
      <c r="P3" s="17" t="s">
        <v>16</v>
      </c>
      <c r="Q3" s="28">
        <v>410200100</v>
      </c>
      <c r="R3" s="17" t="s">
        <v>17</v>
      </c>
      <c r="S3" s="17" t="s">
        <v>18</v>
      </c>
      <c r="T3" s="28">
        <v>4.2</v>
      </c>
      <c r="U3" s="17" t="s">
        <v>19</v>
      </c>
      <c r="V3" s="19">
        <v>189</v>
      </c>
      <c r="W3" s="19">
        <v>1200</v>
      </c>
      <c r="X3" s="19">
        <v>300</v>
      </c>
      <c r="Y3" s="19">
        <v>300</v>
      </c>
      <c r="Z3" s="19">
        <v>300</v>
      </c>
      <c r="AA3" s="19">
        <v>300</v>
      </c>
      <c r="AB3" s="19">
        <v>420</v>
      </c>
      <c r="AC3" s="34">
        <v>100</v>
      </c>
    </row>
    <row r="4" spans="1:29" ht="15" customHeight="1" x14ac:dyDescent="0.3">
      <c r="A4" s="20" t="s">
        <v>741</v>
      </c>
      <c r="B4" s="20">
        <v>41</v>
      </c>
      <c r="C4" s="20" t="s">
        <v>12</v>
      </c>
      <c r="D4" s="20">
        <v>260020004</v>
      </c>
      <c r="E4" s="20" t="s">
        <v>710</v>
      </c>
      <c r="F4" s="20" t="s">
        <v>18</v>
      </c>
      <c r="G4" s="20" t="s">
        <v>775</v>
      </c>
      <c r="H4" s="29">
        <v>0</v>
      </c>
      <c r="I4" s="30">
        <v>2022</v>
      </c>
      <c r="J4" s="30">
        <v>4</v>
      </c>
      <c r="K4" s="30">
        <v>4101</v>
      </c>
      <c r="L4" s="20" t="s">
        <v>28</v>
      </c>
      <c r="M4" s="30">
        <v>4101011</v>
      </c>
      <c r="N4" s="20" t="s">
        <v>29</v>
      </c>
      <c r="O4" s="20" t="s">
        <v>30</v>
      </c>
      <c r="P4" s="20" t="s">
        <v>31</v>
      </c>
      <c r="Q4" s="30">
        <v>410101100</v>
      </c>
      <c r="R4" s="20" t="s">
        <v>32</v>
      </c>
      <c r="S4" s="20" t="s">
        <v>18</v>
      </c>
      <c r="T4" s="30">
        <v>16.600000000000001</v>
      </c>
      <c r="U4" s="20" t="s">
        <v>19</v>
      </c>
      <c r="V4" s="22">
        <v>1</v>
      </c>
      <c r="W4" s="22">
        <v>4</v>
      </c>
      <c r="X4" s="22">
        <v>1</v>
      </c>
      <c r="Y4" s="22">
        <v>1</v>
      </c>
      <c r="Z4" s="22">
        <v>1</v>
      </c>
      <c r="AA4" s="22">
        <v>1</v>
      </c>
      <c r="AB4" s="22">
        <v>2</v>
      </c>
      <c r="AC4" s="34">
        <v>100</v>
      </c>
    </row>
    <row r="5" spans="1:29" ht="15" customHeight="1" x14ac:dyDescent="0.3">
      <c r="A5" s="20" t="s">
        <v>741</v>
      </c>
      <c r="B5" s="20">
        <v>41</v>
      </c>
      <c r="C5" s="20" t="s">
        <v>12</v>
      </c>
      <c r="D5" s="20">
        <v>260020010</v>
      </c>
      <c r="E5" s="20" t="s">
        <v>711</v>
      </c>
      <c r="F5" s="20" t="s">
        <v>797</v>
      </c>
      <c r="G5" s="20" t="s">
        <v>804</v>
      </c>
      <c r="H5" s="29" t="s">
        <v>803</v>
      </c>
      <c r="I5" s="30" t="s">
        <v>803</v>
      </c>
      <c r="J5" s="30">
        <v>20</v>
      </c>
      <c r="K5" s="30">
        <v>4101</v>
      </c>
      <c r="L5" s="20" t="s">
        <v>28</v>
      </c>
      <c r="M5" s="30">
        <v>4101023</v>
      </c>
      <c r="N5" s="20" t="s">
        <v>34</v>
      </c>
      <c r="O5" s="20" t="s">
        <v>35</v>
      </c>
      <c r="P5" s="20" t="s">
        <v>36</v>
      </c>
      <c r="Q5" s="30">
        <v>410102300</v>
      </c>
      <c r="R5" s="20" t="s">
        <v>37</v>
      </c>
      <c r="S5" s="20" t="s">
        <v>18</v>
      </c>
      <c r="T5" s="30">
        <v>16.3</v>
      </c>
      <c r="U5" s="20" t="s">
        <v>19</v>
      </c>
      <c r="V5" s="22">
        <v>400</v>
      </c>
      <c r="W5" s="22">
        <v>2000</v>
      </c>
      <c r="X5" s="22">
        <v>500</v>
      </c>
      <c r="Y5" s="22">
        <v>500</v>
      </c>
      <c r="Z5" s="22">
        <v>500</v>
      </c>
      <c r="AA5" s="22">
        <v>500</v>
      </c>
      <c r="AB5" s="22">
        <v>500</v>
      </c>
      <c r="AC5" s="34">
        <v>100</v>
      </c>
    </row>
    <row r="6" spans="1:29" ht="15" customHeight="1" x14ac:dyDescent="0.3">
      <c r="A6" s="20" t="s">
        <v>741</v>
      </c>
      <c r="B6" s="20">
        <v>41</v>
      </c>
      <c r="C6" s="20" t="s">
        <v>12</v>
      </c>
      <c r="D6" s="20">
        <v>260020010</v>
      </c>
      <c r="E6" s="20" t="s">
        <v>711</v>
      </c>
      <c r="F6" s="20" t="s">
        <v>797</v>
      </c>
      <c r="G6" s="20" t="s">
        <v>804</v>
      </c>
      <c r="H6" s="29" t="s">
        <v>803</v>
      </c>
      <c r="I6" s="30" t="s">
        <v>803</v>
      </c>
      <c r="J6" s="30">
        <v>20</v>
      </c>
      <c r="K6" s="30">
        <v>4101</v>
      </c>
      <c r="L6" s="20" t="s">
        <v>28</v>
      </c>
      <c r="M6" s="30">
        <v>4101025</v>
      </c>
      <c r="N6" s="20" t="s">
        <v>38</v>
      </c>
      <c r="O6" s="20" t="s">
        <v>39</v>
      </c>
      <c r="P6" s="20" t="s">
        <v>40</v>
      </c>
      <c r="Q6" s="30">
        <v>410102500</v>
      </c>
      <c r="R6" s="20" t="s">
        <v>41</v>
      </c>
      <c r="S6" s="20" t="s">
        <v>18</v>
      </c>
      <c r="T6" s="30">
        <v>16.3</v>
      </c>
      <c r="U6" s="20" t="s">
        <v>19</v>
      </c>
      <c r="V6" s="22">
        <v>20</v>
      </c>
      <c r="W6" s="22">
        <v>80</v>
      </c>
      <c r="X6" s="22">
        <v>20</v>
      </c>
      <c r="Y6" s="22">
        <v>20</v>
      </c>
      <c r="Z6" s="22">
        <v>20</v>
      </c>
      <c r="AA6" s="22">
        <v>20</v>
      </c>
      <c r="AB6" s="22">
        <v>20</v>
      </c>
      <c r="AC6" s="34">
        <v>100</v>
      </c>
    </row>
    <row r="7" spans="1:29" ht="15" customHeight="1" x14ac:dyDescent="0.3">
      <c r="A7" s="20" t="s">
        <v>741</v>
      </c>
      <c r="B7" s="20">
        <v>41</v>
      </c>
      <c r="C7" s="20" t="s">
        <v>12</v>
      </c>
      <c r="D7" s="20">
        <v>260020010</v>
      </c>
      <c r="E7" s="20" t="s">
        <v>711</v>
      </c>
      <c r="F7" s="20" t="s">
        <v>797</v>
      </c>
      <c r="G7" s="20" t="s">
        <v>804</v>
      </c>
      <c r="H7" s="29" t="s">
        <v>803</v>
      </c>
      <c r="I7" s="30" t="s">
        <v>803</v>
      </c>
      <c r="J7" s="30">
        <v>20</v>
      </c>
      <c r="K7" s="30">
        <v>4101</v>
      </c>
      <c r="L7" s="20" t="s">
        <v>28</v>
      </c>
      <c r="M7" s="30">
        <v>4101038</v>
      </c>
      <c r="N7" s="20" t="s">
        <v>43</v>
      </c>
      <c r="O7" s="20" t="s">
        <v>44</v>
      </c>
      <c r="P7" s="20" t="s">
        <v>45</v>
      </c>
      <c r="Q7" s="30">
        <v>410103800</v>
      </c>
      <c r="R7" s="20" t="s">
        <v>46</v>
      </c>
      <c r="S7" s="20" t="s">
        <v>18</v>
      </c>
      <c r="T7" s="30">
        <v>16.3</v>
      </c>
      <c r="U7" s="20" t="s">
        <v>19</v>
      </c>
      <c r="V7" s="22">
        <v>2</v>
      </c>
      <c r="W7" s="22">
        <v>4</v>
      </c>
      <c r="X7" s="22">
        <v>1</v>
      </c>
      <c r="Y7" s="22">
        <v>1</v>
      </c>
      <c r="Z7" s="22">
        <v>1</v>
      </c>
      <c r="AA7" s="22">
        <v>1</v>
      </c>
      <c r="AB7" s="22">
        <v>5</v>
      </c>
      <c r="AC7" s="34">
        <v>100</v>
      </c>
    </row>
    <row r="8" spans="1:29" ht="14.4" customHeight="1" x14ac:dyDescent="0.3">
      <c r="A8" s="20" t="s">
        <v>741</v>
      </c>
      <c r="B8" s="20">
        <v>19</v>
      </c>
      <c r="C8" s="20" t="s">
        <v>47</v>
      </c>
      <c r="D8" s="20">
        <v>50020063</v>
      </c>
      <c r="E8" s="20" t="s">
        <v>746</v>
      </c>
      <c r="F8" s="20" t="s">
        <v>747</v>
      </c>
      <c r="G8" s="20" t="s">
        <v>776</v>
      </c>
      <c r="H8" s="29">
        <v>0</v>
      </c>
      <c r="I8" s="30">
        <v>2021</v>
      </c>
      <c r="J8" s="30">
        <v>0</v>
      </c>
      <c r="K8" s="30">
        <v>1903</v>
      </c>
      <c r="L8" s="20" t="s">
        <v>48</v>
      </c>
      <c r="M8" s="30">
        <v>1903038</v>
      </c>
      <c r="N8" s="20" t="s">
        <v>49</v>
      </c>
      <c r="O8" s="20" t="s">
        <v>50</v>
      </c>
      <c r="P8" s="20" t="s">
        <v>51</v>
      </c>
      <c r="Q8" s="30">
        <v>190303800</v>
      </c>
      <c r="R8" s="20" t="s">
        <v>52</v>
      </c>
      <c r="S8" s="20" t="s">
        <v>18</v>
      </c>
      <c r="T8" s="30">
        <v>3.3</v>
      </c>
      <c r="U8" s="20" t="s">
        <v>770</v>
      </c>
      <c r="V8" s="22">
        <v>1</v>
      </c>
      <c r="W8" s="22">
        <v>4</v>
      </c>
      <c r="X8" s="22">
        <v>1</v>
      </c>
      <c r="Y8" s="22">
        <v>1</v>
      </c>
      <c r="Z8" s="22">
        <v>1</v>
      </c>
      <c r="AA8" s="22">
        <v>1</v>
      </c>
      <c r="AB8" s="22">
        <v>1</v>
      </c>
      <c r="AC8" s="34">
        <v>100</v>
      </c>
    </row>
    <row r="9" spans="1:29" ht="14.4" customHeight="1" x14ac:dyDescent="0.3">
      <c r="A9" s="20" t="s">
        <v>741</v>
      </c>
      <c r="B9" s="20">
        <v>19</v>
      </c>
      <c r="C9" s="20" t="s">
        <v>47</v>
      </c>
      <c r="D9" s="20">
        <v>80030002</v>
      </c>
      <c r="E9" s="20" t="s">
        <v>752</v>
      </c>
      <c r="F9" s="20" t="s">
        <v>719</v>
      </c>
      <c r="G9" s="20" t="s">
        <v>777</v>
      </c>
      <c r="H9" s="29">
        <v>75.596100000000007</v>
      </c>
      <c r="I9" s="30">
        <v>2022</v>
      </c>
      <c r="J9" s="30">
        <v>85</v>
      </c>
      <c r="K9" s="30">
        <v>1903</v>
      </c>
      <c r="L9" s="20" t="s">
        <v>48</v>
      </c>
      <c r="M9" s="30">
        <v>1903023</v>
      </c>
      <c r="N9" s="20" t="s">
        <v>53</v>
      </c>
      <c r="O9" s="20" t="s">
        <v>54</v>
      </c>
      <c r="P9" s="20" t="s">
        <v>55</v>
      </c>
      <c r="Q9" s="30">
        <v>190302300</v>
      </c>
      <c r="R9" s="20" t="s">
        <v>56</v>
      </c>
      <c r="S9" s="20" t="s">
        <v>18</v>
      </c>
      <c r="T9" s="30">
        <v>3.4</v>
      </c>
      <c r="U9" s="20" t="s">
        <v>770</v>
      </c>
      <c r="V9" s="22">
        <v>12</v>
      </c>
      <c r="W9" s="22">
        <v>12</v>
      </c>
      <c r="X9" s="22">
        <v>3</v>
      </c>
      <c r="Y9" s="22">
        <v>3</v>
      </c>
      <c r="Z9" s="22">
        <v>3</v>
      </c>
      <c r="AA9" s="22">
        <v>3</v>
      </c>
      <c r="AB9" s="22">
        <v>3</v>
      </c>
      <c r="AC9" s="34">
        <v>100</v>
      </c>
    </row>
    <row r="10" spans="1:29" ht="14.4" customHeight="1" x14ac:dyDescent="0.3">
      <c r="A10" s="20" t="s">
        <v>741</v>
      </c>
      <c r="B10" s="20">
        <v>19</v>
      </c>
      <c r="C10" s="20" t="s">
        <v>47</v>
      </c>
      <c r="D10" s="20">
        <v>50020063</v>
      </c>
      <c r="E10" s="20" t="s">
        <v>746</v>
      </c>
      <c r="F10" s="20" t="s">
        <v>747</v>
      </c>
      <c r="G10" s="20" t="s">
        <v>776</v>
      </c>
      <c r="H10" s="29">
        <v>0</v>
      </c>
      <c r="I10" s="30">
        <v>2021</v>
      </c>
      <c r="J10" s="30">
        <v>0</v>
      </c>
      <c r="K10" s="30">
        <v>1903</v>
      </c>
      <c r="L10" s="20" t="s">
        <v>48</v>
      </c>
      <c r="M10" s="30">
        <v>1903031</v>
      </c>
      <c r="N10" s="20" t="s">
        <v>57</v>
      </c>
      <c r="O10" s="20" t="s">
        <v>58</v>
      </c>
      <c r="P10" s="20" t="s">
        <v>59</v>
      </c>
      <c r="Q10" s="30">
        <v>190303100</v>
      </c>
      <c r="R10" s="20" t="s">
        <v>58</v>
      </c>
      <c r="S10" s="20" t="s">
        <v>18</v>
      </c>
      <c r="T10" s="30">
        <v>3.4</v>
      </c>
      <c r="U10" s="20" t="s">
        <v>770</v>
      </c>
      <c r="V10" s="22">
        <v>208</v>
      </c>
      <c r="W10" s="22">
        <v>208</v>
      </c>
      <c r="X10" s="22">
        <v>52</v>
      </c>
      <c r="Y10" s="22">
        <v>52</v>
      </c>
      <c r="Z10" s="22">
        <v>52</v>
      </c>
      <c r="AA10" s="22">
        <v>52</v>
      </c>
      <c r="AB10" s="22">
        <v>52</v>
      </c>
      <c r="AC10" s="34">
        <v>100</v>
      </c>
    </row>
    <row r="11" spans="1:29" ht="14.4" customHeight="1" x14ac:dyDescent="0.3">
      <c r="A11" s="20" t="s">
        <v>741</v>
      </c>
      <c r="B11" s="20">
        <v>19</v>
      </c>
      <c r="C11" s="20" t="s">
        <v>47</v>
      </c>
      <c r="D11" s="20">
        <v>80030002</v>
      </c>
      <c r="E11" s="20" t="s">
        <v>752</v>
      </c>
      <c r="F11" s="20" t="s">
        <v>719</v>
      </c>
      <c r="G11" s="20" t="s">
        <v>777</v>
      </c>
      <c r="H11" s="29">
        <v>75.596100000000007</v>
      </c>
      <c r="I11" s="30">
        <v>2022</v>
      </c>
      <c r="J11" s="30">
        <v>85</v>
      </c>
      <c r="K11" s="30">
        <v>1903</v>
      </c>
      <c r="L11" s="20" t="s">
        <v>48</v>
      </c>
      <c r="M11" s="30">
        <v>1903011</v>
      </c>
      <c r="N11" s="20" t="s">
        <v>60</v>
      </c>
      <c r="O11" s="20" t="s">
        <v>61</v>
      </c>
      <c r="P11" s="20" t="s">
        <v>62</v>
      </c>
      <c r="Q11" s="30">
        <v>190301100</v>
      </c>
      <c r="R11" s="20" t="s">
        <v>63</v>
      </c>
      <c r="S11" s="20" t="s">
        <v>18</v>
      </c>
      <c r="T11" s="30">
        <v>3.4</v>
      </c>
      <c r="U11" s="20" t="s">
        <v>770</v>
      </c>
      <c r="V11" s="22">
        <v>7</v>
      </c>
      <c r="W11" s="22">
        <v>28</v>
      </c>
      <c r="X11" s="22">
        <v>7</v>
      </c>
      <c r="Y11" s="22">
        <v>7</v>
      </c>
      <c r="Z11" s="22">
        <v>7</v>
      </c>
      <c r="AA11" s="22">
        <v>7</v>
      </c>
      <c r="AB11" s="22">
        <v>7</v>
      </c>
      <c r="AC11" s="34">
        <v>100</v>
      </c>
    </row>
    <row r="12" spans="1:29" ht="15" customHeight="1" x14ac:dyDescent="0.3">
      <c r="A12" s="20" t="s">
        <v>741</v>
      </c>
      <c r="B12" s="20">
        <v>22</v>
      </c>
      <c r="C12" s="20" t="s">
        <v>93</v>
      </c>
      <c r="D12" s="20">
        <v>40010006</v>
      </c>
      <c r="E12" s="20" t="s">
        <v>676</v>
      </c>
      <c r="F12" s="20" t="s">
        <v>679</v>
      </c>
      <c r="G12" s="20" t="s">
        <v>778</v>
      </c>
      <c r="H12" s="29">
        <v>101.0859</v>
      </c>
      <c r="I12" s="30">
        <v>2022</v>
      </c>
      <c r="J12" s="30">
        <v>101</v>
      </c>
      <c r="K12" s="30">
        <v>2201</v>
      </c>
      <c r="L12" s="20" t="s">
        <v>94</v>
      </c>
      <c r="M12" s="30">
        <v>2201003</v>
      </c>
      <c r="N12" s="20" t="s">
        <v>98</v>
      </c>
      <c r="O12" s="20" t="s">
        <v>99</v>
      </c>
      <c r="P12" s="20" t="s">
        <v>40</v>
      </c>
      <c r="Q12" s="30">
        <v>220100300</v>
      </c>
      <c r="R12" s="20" t="s">
        <v>100</v>
      </c>
      <c r="S12" s="20" t="s">
        <v>18</v>
      </c>
      <c r="T12" s="30">
        <v>4.0999999999999996</v>
      </c>
      <c r="U12" s="20" t="s">
        <v>770</v>
      </c>
      <c r="V12" s="22">
        <v>28</v>
      </c>
      <c r="W12" s="22">
        <v>60</v>
      </c>
      <c r="X12" s="22">
        <v>15</v>
      </c>
      <c r="Y12" s="22">
        <v>15</v>
      </c>
      <c r="Z12" s="22">
        <v>15</v>
      </c>
      <c r="AA12" s="22">
        <v>15</v>
      </c>
      <c r="AB12" s="22">
        <v>25</v>
      </c>
      <c r="AC12" s="34">
        <v>100</v>
      </c>
    </row>
    <row r="13" spans="1:29" ht="15" customHeight="1" x14ac:dyDescent="0.3">
      <c r="A13" s="20" t="s">
        <v>741</v>
      </c>
      <c r="B13" s="20">
        <v>22</v>
      </c>
      <c r="C13" s="20" t="s">
        <v>93</v>
      </c>
      <c r="D13" s="20">
        <v>40010006</v>
      </c>
      <c r="E13" s="20" t="s">
        <v>676</v>
      </c>
      <c r="F13" s="20" t="s">
        <v>679</v>
      </c>
      <c r="G13" s="20" t="s">
        <v>778</v>
      </c>
      <c r="H13" s="29">
        <v>101.0859</v>
      </c>
      <c r="I13" s="30">
        <v>2022</v>
      </c>
      <c r="J13" s="30">
        <v>101</v>
      </c>
      <c r="K13" s="30">
        <v>2201</v>
      </c>
      <c r="L13" s="20" t="s">
        <v>94</v>
      </c>
      <c r="M13" s="30">
        <v>2201006</v>
      </c>
      <c r="N13" s="20" t="s">
        <v>101</v>
      </c>
      <c r="O13" s="20" t="s">
        <v>102</v>
      </c>
      <c r="P13" s="20" t="s">
        <v>103</v>
      </c>
      <c r="Q13" s="30">
        <v>220100602</v>
      </c>
      <c r="R13" s="20" t="s">
        <v>104</v>
      </c>
      <c r="S13" s="20" t="s">
        <v>18</v>
      </c>
      <c r="T13" s="30">
        <v>4.0999999999999996</v>
      </c>
      <c r="U13" s="20" t="s">
        <v>770</v>
      </c>
      <c r="V13" s="22">
        <v>4</v>
      </c>
      <c r="W13" s="22">
        <v>8</v>
      </c>
      <c r="X13" s="22">
        <v>2</v>
      </c>
      <c r="Y13" s="22">
        <v>2</v>
      </c>
      <c r="Z13" s="22">
        <v>2</v>
      </c>
      <c r="AA13" s="22">
        <v>2</v>
      </c>
      <c r="AB13" s="22">
        <v>2</v>
      </c>
      <c r="AC13" s="34">
        <v>100</v>
      </c>
    </row>
    <row r="14" spans="1:29" ht="15" customHeight="1" x14ac:dyDescent="0.3">
      <c r="A14" s="20" t="s">
        <v>741</v>
      </c>
      <c r="B14" s="20">
        <v>22</v>
      </c>
      <c r="C14" s="20" t="s">
        <v>93</v>
      </c>
      <c r="D14" s="20">
        <v>40010006</v>
      </c>
      <c r="E14" s="20" t="s">
        <v>676</v>
      </c>
      <c r="F14" s="20" t="s">
        <v>679</v>
      </c>
      <c r="G14" s="20" t="s">
        <v>778</v>
      </c>
      <c r="H14" s="29">
        <v>101.0859</v>
      </c>
      <c r="I14" s="30">
        <v>2022</v>
      </c>
      <c r="J14" s="30">
        <v>101</v>
      </c>
      <c r="K14" s="30">
        <v>2201</v>
      </c>
      <c r="L14" s="20" t="s">
        <v>94</v>
      </c>
      <c r="M14" s="30">
        <v>2201018</v>
      </c>
      <c r="N14" s="20" t="s">
        <v>105</v>
      </c>
      <c r="O14" s="20" t="s">
        <v>106</v>
      </c>
      <c r="P14" s="20" t="s">
        <v>107</v>
      </c>
      <c r="Q14" s="30">
        <v>220101800</v>
      </c>
      <c r="R14" s="20" t="s">
        <v>108</v>
      </c>
      <c r="S14" s="20" t="s">
        <v>18</v>
      </c>
      <c r="T14" s="30">
        <v>17.18</v>
      </c>
      <c r="U14" s="20" t="s">
        <v>770</v>
      </c>
      <c r="V14" s="22">
        <v>4</v>
      </c>
      <c r="W14" s="22">
        <v>4</v>
      </c>
      <c r="X14" s="22">
        <v>1</v>
      </c>
      <c r="Y14" s="22">
        <v>1</v>
      </c>
      <c r="Z14" s="22">
        <v>1</v>
      </c>
      <c r="AA14" s="22">
        <v>1</v>
      </c>
      <c r="AB14" s="22">
        <v>1</v>
      </c>
      <c r="AC14" s="34">
        <v>100</v>
      </c>
    </row>
    <row r="15" spans="1:29" ht="15" customHeight="1" x14ac:dyDescent="0.3">
      <c r="A15" s="20" t="s">
        <v>741</v>
      </c>
      <c r="B15" s="20">
        <v>22</v>
      </c>
      <c r="C15" s="20" t="s">
        <v>93</v>
      </c>
      <c r="D15" s="20">
        <v>40010006</v>
      </c>
      <c r="E15" s="20" t="s">
        <v>676</v>
      </c>
      <c r="F15" s="20" t="s">
        <v>679</v>
      </c>
      <c r="G15" s="20" t="s">
        <v>778</v>
      </c>
      <c r="H15" s="29">
        <v>101.0859</v>
      </c>
      <c r="I15" s="30">
        <v>2022</v>
      </c>
      <c r="J15" s="30">
        <v>101</v>
      </c>
      <c r="K15" s="30">
        <v>2201</v>
      </c>
      <c r="L15" s="20" t="s">
        <v>94</v>
      </c>
      <c r="M15" s="30">
        <v>2201028</v>
      </c>
      <c r="N15" s="20" t="s">
        <v>113</v>
      </c>
      <c r="O15" s="20" t="s">
        <v>114</v>
      </c>
      <c r="P15" s="20" t="s">
        <v>115</v>
      </c>
      <c r="Q15" s="30">
        <v>220102800</v>
      </c>
      <c r="R15" s="20" t="s">
        <v>116</v>
      </c>
      <c r="S15" s="20" t="s">
        <v>18</v>
      </c>
      <c r="T15" s="30">
        <v>4.0999999999999996</v>
      </c>
      <c r="U15" s="20" t="s">
        <v>770</v>
      </c>
      <c r="V15" s="22">
        <v>128350</v>
      </c>
      <c r="W15" s="22">
        <v>362800</v>
      </c>
      <c r="X15" s="22">
        <v>85800</v>
      </c>
      <c r="Y15" s="22">
        <v>90000</v>
      </c>
      <c r="Z15" s="22">
        <v>93000</v>
      </c>
      <c r="AA15" s="22">
        <v>94000</v>
      </c>
      <c r="AB15" s="22">
        <v>83349</v>
      </c>
      <c r="AC15" s="34">
        <v>97.143356643356654</v>
      </c>
    </row>
    <row r="16" spans="1:29" ht="15" customHeight="1" x14ac:dyDescent="0.3">
      <c r="A16" s="20" t="s">
        <v>741</v>
      </c>
      <c r="B16" s="20">
        <v>22</v>
      </c>
      <c r="C16" s="20" t="s">
        <v>93</v>
      </c>
      <c r="D16" s="20">
        <v>40010006</v>
      </c>
      <c r="E16" s="20" t="s">
        <v>676</v>
      </c>
      <c r="F16" s="20" t="s">
        <v>679</v>
      </c>
      <c r="G16" s="20" t="s">
        <v>778</v>
      </c>
      <c r="H16" s="29">
        <v>101.0859</v>
      </c>
      <c r="I16" s="30">
        <v>2022</v>
      </c>
      <c r="J16" s="30">
        <v>101</v>
      </c>
      <c r="K16" s="30">
        <v>2201</v>
      </c>
      <c r="L16" s="20" t="s">
        <v>94</v>
      </c>
      <c r="M16" s="30">
        <v>2201029</v>
      </c>
      <c r="N16" s="20" t="s">
        <v>117</v>
      </c>
      <c r="O16" s="20" t="s">
        <v>118</v>
      </c>
      <c r="P16" s="20" t="s">
        <v>119</v>
      </c>
      <c r="Q16" s="30">
        <v>220102900</v>
      </c>
      <c r="R16" s="20" t="s">
        <v>120</v>
      </c>
      <c r="S16" s="20" t="s">
        <v>18</v>
      </c>
      <c r="T16" s="30">
        <v>4.2</v>
      </c>
      <c r="U16" s="20" t="s">
        <v>770</v>
      </c>
      <c r="V16" s="22">
        <v>25</v>
      </c>
      <c r="W16" s="22">
        <v>122</v>
      </c>
      <c r="X16" s="22">
        <v>32</v>
      </c>
      <c r="Y16" s="22">
        <v>30</v>
      </c>
      <c r="Z16" s="22">
        <v>30</v>
      </c>
      <c r="AA16" s="22">
        <v>30</v>
      </c>
      <c r="AB16" s="22">
        <v>144</v>
      </c>
      <c r="AC16" s="34">
        <v>100</v>
      </c>
    </row>
    <row r="17" spans="1:29" ht="15" customHeight="1" x14ac:dyDescent="0.3">
      <c r="A17" s="20" t="s">
        <v>741</v>
      </c>
      <c r="B17" s="20">
        <v>22</v>
      </c>
      <c r="C17" s="20" t="s">
        <v>93</v>
      </c>
      <c r="D17" s="20">
        <v>40010006</v>
      </c>
      <c r="E17" s="20" t="s">
        <v>676</v>
      </c>
      <c r="F17" s="20" t="s">
        <v>679</v>
      </c>
      <c r="G17" s="20" t="s">
        <v>778</v>
      </c>
      <c r="H17" s="29">
        <v>101.0859</v>
      </c>
      <c r="I17" s="30">
        <v>2022</v>
      </c>
      <c r="J17" s="30">
        <v>101</v>
      </c>
      <c r="K17" s="30">
        <v>2201</v>
      </c>
      <c r="L17" s="20" t="s">
        <v>94</v>
      </c>
      <c r="M17" s="30">
        <v>2201034</v>
      </c>
      <c r="N17" s="20" t="s">
        <v>121</v>
      </c>
      <c r="O17" s="20" t="s">
        <v>122</v>
      </c>
      <c r="P17" s="20" t="s">
        <v>123</v>
      </c>
      <c r="Q17" s="30">
        <v>220103400</v>
      </c>
      <c r="R17" s="20" t="s">
        <v>124</v>
      </c>
      <c r="S17" s="20" t="s">
        <v>18</v>
      </c>
      <c r="T17" s="30">
        <v>4.7</v>
      </c>
      <c r="U17" s="20" t="s">
        <v>770</v>
      </c>
      <c r="V17" s="22">
        <v>0</v>
      </c>
      <c r="W17" s="22">
        <v>60</v>
      </c>
      <c r="X17" s="22">
        <v>15</v>
      </c>
      <c r="Y17" s="22">
        <v>15</v>
      </c>
      <c r="Z17" s="22">
        <v>15</v>
      </c>
      <c r="AA17" s="22">
        <v>15</v>
      </c>
      <c r="AB17" s="22">
        <v>50</v>
      </c>
      <c r="AC17" s="34">
        <v>100</v>
      </c>
    </row>
    <row r="18" spans="1:29" ht="15" customHeight="1" x14ac:dyDescent="0.3">
      <c r="A18" s="20" t="s">
        <v>741</v>
      </c>
      <c r="B18" s="20">
        <v>22</v>
      </c>
      <c r="C18" s="20" t="s">
        <v>93</v>
      </c>
      <c r="D18" s="20">
        <v>40010028</v>
      </c>
      <c r="E18" s="20" t="s">
        <v>677</v>
      </c>
      <c r="F18" s="20" t="s">
        <v>428</v>
      </c>
      <c r="G18" s="20" t="s">
        <v>779</v>
      </c>
      <c r="H18" s="29">
        <v>11.1111</v>
      </c>
      <c r="I18" s="30">
        <v>2022</v>
      </c>
      <c r="J18" s="30">
        <v>13</v>
      </c>
      <c r="K18" s="30">
        <v>2202</v>
      </c>
      <c r="L18" s="20" t="s">
        <v>125</v>
      </c>
      <c r="M18" s="30">
        <v>2202005</v>
      </c>
      <c r="N18" s="20" t="s">
        <v>126</v>
      </c>
      <c r="O18" s="20" t="s">
        <v>127</v>
      </c>
      <c r="P18" s="20" t="s">
        <v>119</v>
      </c>
      <c r="Q18" s="30">
        <v>220200500</v>
      </c>
      <c r="R18" s="20" t="s">
        <v>128</v>
      </c>
      <c r="S18" s="20" t="s">
        <v>18</v>
      </c>
      <c r="T18" s="30">
        <v>4.3</v>
      </c>
      <c r="U18" s="20" t="s">
        <v>770</v>
      </c>
      <c r="V18" s="22" t="s">
        <v>636</v>
      </c>
      <c r="W18" s="22">
        <v>75</v>
      </c>
      <c r="X18" s="22">
        <v>10</v>
      </c>
      <c r="Y18" s="22">
        <v>20</v>
      </c>
      <c r="Z18" s="22">
        <v>20</v>
      </c>
      <c r="AA18" s="22">
        <v>25</v>
      </c>
      <c r="AB18" s="22">
        <v>0</v>
      </c>
      <c r="AC18" s="34">
        <v>0</v>
      </c>
    </row>
    <row r="19" spans="1:29" ht="15" customHeight="1" x14ac:dyDescent="0.3">
      <c r="A19" s="20" t="s">
        <v>741</v>
      </c>
      <c r="B19" s="20">
        <v>22</v>
      </c>
      <c r="C19" s="20" t="s">
        <v>93</v>
      </c>
      <c r="D19" s="20">
        <v>40010028</v>
      </c>
      <c r="E19" s="20" t="s">
        <v>677</v>
      </c>
      <c r="F19" s="20" t="s">
        <v>428</v>
      </c>
      <c r="G19" s="20" t="s">
        <v>779</v>
      </c>
      <c r="H19" s="29">
        <v>11.1111</v>
      </c>
      <c r="I19" s="30">
        <v>2022</v>
      </c>
      <c r="J19" s="30">
        <v>13</v>
      </c>
      <c r="K19" s="30">
        <v>2202</v>
      </c>
      <c r="L19" s="20" t="s">
        <v>125</v>
      </c>
      <c r="M19" s="30">
        <v>2202005</v>
      </c>
      <c r="N19" s="20" t="s">
        <v>126</v>
      </c>
      <c r="O19" s="20" t="s">
        <v>127</v>
      </c>
      <c r="P19" s="20" t="s">
        <v>119</v>
      </c>
      <c r="Q19" s="30">
        <v>220200503</v>
      </c>
      <c r="R19" s="20" t="s">
        <v>129</v>
      </c>
      <c r="S19" s="20" t="s">
        <v>18</v>
      </c>
      <c r="T19" s="30">
        <v>4.3</v>
      </c>
      <c r="U19" s="20" t="s">
        <v>770</v>
      </c>
      <c r="V19" s="22" t="s">
        <v>636</v>
      </c>
      <c r="W19" s="22">
        <v>8</v>
      </c>
      <c r="X19" s="22">
        <v>2</v>
      </c>
      <c r="Y19" s="22">
        <v>2</v>
      </c>
      <c r="Z19" s="22">
        <v>2</v>
      </c>
      <c r="AA19" s="22">
        <v>2</v>
      </c>
      <c r="AB19" s="22">
        <v>0</v>
      </c>
      <c r="AC19" s="34">
        <v>0</v>
      </c>
    </row>
    <row r="20" spans="1:29" ht="15" customHeight="1" x14ac:dyDescent="0.3">
      <c r="A20" s="20" t="s">
        <v>741</v>
      </c>
      <c r="B20" s="20">
        <v>43</v>
      </c>
      <c r="C20" s="20" t="s">
        <v>158</v>
      </c>
      <c r="D20" s="20">
        <v>270030003</v>
      </c>
      <c r="E20" s="20" t="s">
        <v>722</v>
      </c>
      <c r="F20" s="20" t="s">
        <v>797</v>
      </c>
      <c r="G20" s="20" t="s">
        <v>798</v>
      </c>
      <c r="H20" s="29" t="s">
        <v>803</v>
      </c>
      <c r="I20" s="30" t="s">
        <v>803</v>
      </c>
      <c r="J20" s="30">
        <v>480</v>
      </c>
      <c r="K20" s="30">
        <v>4301</v>
      </c>
      <c r="L20" s="20" t="s">
        <v>159</v>
      </c>
      <c r="M20" s="30">
        <v>4301001</v>
      </c>
      <c r="N20" s="20" t="s">
        <v>160</v>
      </c>
      <c r="O20" s="20" t="s">
        <v>161</v>
      </c>
      <c r="P20" s="20" t="s">
        <v>40</v>
      </c>
      <c r="Q20" s="30">
        <v>430100100</v>
      </c>
      <c r="R20" s="20" t="s">
        <v>162</v>
      </c>
      <c r="S20" s="20" t="s">
        <v>18</v>
      </c>
      <c r="T20" s="30">
        <v>3.4</v>
      </c>
      <c r="U20" s="20" t="s">
        <v>770</v>
      </c>
      <c r="V20" s="22">
        <v>3420</v>
      </c>
      <c r="W20" s="22">
        <v>5000</v>
      </c>
      <c r="X20" s="22">
        <v>1250</v>
      </c>
      <c r="Y20" s="22">
        <v>1250</v>
      </c>
      <c r="Z20" s="22">
        <v>1250</v>
      </c>
      <c r="AA20" s="22">
        <v>1250</v>
      </c>
      <c r="AB20" s="22">
        <v>1100</v>
      </c>
      <c r="AC20" s="34">
        <v>88</v>
      </c>
    </row>
    <row r="21" spans="1:29" ht="15" customHeight="1" x14ac:dyDescent="0.3">
      <c r="A21" s="20" t="s">
        <v>741</v>
      </c>
      <c r="B21" s="20">
        <v>43</v>
      </c>
      <c r="C21" s="20" t="s">
        <v>158</v>
      </c>
      <c r="D21" s="20">
        <v>270030003</v>
      </c>
      <c r="E21" s="20" t="s">
        <v>722</v>
      </c>
      <c r="F21" s="20" t="s">
        <v>797</v>
      </c>
      <c r="G21" s="20" t="s">
        <v>798</v>
      </c>
      <c r="H21" s="29" t="s">
        <v>803</v>
      </c>
      <c r="I21" s="30" t="s">
        <v>803</v>
      </c>
      <c r="J21" s="30">
        <v>480</v>
      </c>
      <c r="K21" s="30">
        <v>4301</v>
      </c>
      <c r="L21" s="20" t="s">
        <v>159</v>
      </c>
      <c r="M21" s="30">
        <v>4301007</v>
      </c>
      <c r="N21" s="20" t="s">
        <v>167</v>
      </c>
      <c r="O21" s="20" t="s">
        <v>168</v>
      </c>
      <c r="P21" s="20" t="s">
        <v>169</v>
      </c>
      <c r="Q21" s="30">
        <v>430100700</v>
      </c>
      <c r="R21" s="20" t="s">
        <v>170</v>
      </c>
      <c r="S21" s="20" t="s">
        <v>18</v>
      </c>
      <c r="T21" s="30" t="s">
        <v>587</v>
      </c>
      <c r="U21" s="20" t="s">
        <v>770</v>
      </c>
      <c r="V21" s="22">
        <v>780</v>
      </c>
      <c r="W21" s="22">
        <v>1200</v>
      </c>
      <c r="X21" s="22">
        <v>300</v>
      </c>
      <c r="Y21" s="22">
        <v>300</v>
      </c>
      <c r="Z21" s="22">
        <v>300</v>
      </c>
      <c r="AA21" s="22">
        <v>300</v>
      </c>
      <c r="AB21" s="22">
        <v>310</v>
      </c>
      <c r="AC21" s="34">
        <v>100</v>
      </c>
    </row>
    <row r="22" spans="1:29" ht="15" customHeight="1" x14ac:dyDescent="0.3">
      <c r="A22" s="20" t="s">
        <v>741</v>
      </c>
      <c r="B22" s="20">
        <v>41</v>
      </c>
      <c r="C22" s="20" t="s">
        <v>12</v>
      </c>
      <c r="D22" s="20">
        <v>140010051</v>
      </c>
      <c r="E22" s="20" t="s">
        <v>720</v>
      </c>
      <c r="F22" s="20" t="s">
        <v>428</v>
      </c>
      <c r="G22" s="20" t="s">
        <v>774</v>
      </c>
      <c r="H22" s="29">
        <v>77.937399999999997</v>
      </c>
      <c r="I22" s="30">
        <v>2023</v>
      </c>
      <c r="J22" s="30">
        <v>72</v>
      </c>
      <c r="K22" s="30">
        <v>4102</v>
      </c>
      <c r="L22" s="20" t="s">
        <v>13</v>
      </c>
      <c r="M22" s="30">
        <v>4102042</v>
      </c>
      <c r="N22" s="20" t="s">
        <v>345</v>
      </c>
      <c r="O22" s="20" t="s">
        <v>346</v>
      </c>
      <c r="P22" s="20" t="s">
        <v>347</v>
      </c>
      <c r="Q22" s="30">
        <v>410204201</v>
      </c>
      <c r="R22" s="20" t="s">
        <v>348</v>
      </c>
      <c r="S22" s="20" t="s">
        <v>18</v>
      </c>
      <c r="T22" s="30">
        <v>16.7</v>
      </c>
      <c r="U22" s="20" t="s">
        <v>19</v>
      </c>
      <c r="V22" s="22">
        <v>10</v>
      </c>
      <c r="W22" s="22">
        <v>80</v>
      </c>
      <c r="X22" s="22">
        <v>20</v>
      </c>
      <c r="Y22" s="22">
        <v>20</v>
      </c>
      <c r="Z22" s="22">
        <v>20</v>
      </c>
      <c r="AA22" s="22">
        <v>20</v>
      </c>
      <c r="AB22" s="22">
        <v>20</v>
      </c>
      <c r="AC22" s="34">
        <v>100</v>
      </c>
    </row>
    <row r="23" spans="1:29" ht="15" customHeight="1" x14ac:dyDescent="0.3">
      <c r="A23" s="20" t="s">
        <v>741</v>
      </c>
      <c r="B23" s="20">
        <v>41</v>
      </c>
      <c r="C23" s="20" t="s">
        <v>12</v>
      </c>
      <c r="D23" s="20">
        <v>140010051</v>
      </c>
      <c r="E23" s="20" t="s">
        <v>720</v>
      </c>
      <c r="F23" s="20" t="s">
        <v>428</v>
      </c>
      <c r="G23" s="20" t="s">
        <v>774</v>
      </c>
      <c r="H23" s="29">
        <v>77.937399999999997</v>
      </c>
      <c r="I23" s="30">
        <v>2023</v>
      </c>
      <c r="J23" s="30">
        <v>72</v>
      </c>
      <c r="K23" s="30">
        <v>4102</v>
      </c>
      <c r="L23" s="20" t="s">
        <v>13</v>
      </c>
      <c r="M23" s="30">
        <v>4102043</v>
      </c>
      <c r="N23" s="20" t="s">
        <v>349</v>
      </c>
      <c r="O23" s="20" t="s">
        <v>350</v>
      </c>
      <c r="P23" s="20" t="s">
        <v>351</v>
      </c>
      <c r="Q23" s="30">
        <v>410204301</v>
      </c>
      <c r="R23" s="20" t="s">
        <v>352</v>
      </c>
      <c r="S23" s="20" t="s">
        <v>18</v>
      </c>
      <c r="T23" s="30">
        <v>16.3</v>
      </c>
      <c r="U23" s="20" t="s">
        <v>19</v>
      </c>
      <c r="V23" s="22">
        <v>20</v>
      </c>
      <c r="W23" s="22">
        <v>120</v>
      </c>
      <c r="X23" s="22">
        <v>30</v>
      </c>
      <c r="Y23" s="22">
        <v>30</v>
      </c>
      <c r="Z23" s="22">
        <v>30</v>
      </c>
      <c r="AA23" s="22">
        <v>30</v>
      </c>
      <c r="AB23" s="22">
        <v>42</v>
      </c>
      <c r="AC23" s="34">
        <v>100</v>
      </c>
    </row>
    <row r="24" spans="1:29" ht="15" customHeight="1" x14ac:dyDescent="0.3">
      <c r="A24" s="20" t="s">
        <v>741</v>
      </c>
      <c r="B24" s="20">
        <v>43</v>
      </c>
      <c r="C24" s="20" t="s">
        <v>158</v>
      </c>
      <c r="D24" s="20">
        <v>270030003</v>
      </c>
      <c r="E24" s="20" t="s">
        <v>722</v>
      </c>
      <c r="F24" s="20" t="s">
        <v>797</v>
      </c>
      <c r="G24" s="20" t="s">
        <v>798</v>
      </c>
      <c r="H24" s="29" t="s">
        <v>803</v>
      </c>
      <c r="I24" s="30" t="s">
        <v>803</v>
      </c>
      <c r="J24" s="30">
        <v>480</v>
      </c>
      <c r="K24" s="30">
        <v>4301</v>
      </c>
      <c r="L24" s="20" t="s">
        <v>159</v>
      </c>
      <c r="M24" s="30">
        <v>4301037</v>
      </c>
      <c r="N24" s="20" t="s">
        <v>353</v>
      </c>
      <c r="O24" s="20" t="s">
        <v>354</v>
      </c>
      <c r="P24" s="20" t="s">
        <v>40</v>
      </c>
      <c r="Q24" s="30">
        <v>430103700</v>
      </c>
      <c r="R24" s="20" t="s">
        <v>355</v>
      </c>
      <c r="S24" s="20" t="s">
        <v>18</v>
      </c>
      <c r="T24" s="30">
        <v>3.4</v>
      </c>
      <c r="U24" s="20" t="s">
        <v>770</v>
      </c>
      <c r="V24" s="22">
        <v>2145</v>
      </c>
      <c r="W24" s="22">
        <v>3200</v>
      </c>
      <c r="X24" s="22">
        <v>800</v>
      </c>
      <c r="Y24" s="22">
        <v>800</v>
      </c>
      <c r="Z24" s="22">
        <v>800</v>
      </c>
      <c r="AA24" s="22">
        <v>800</v>
      </c>
      <c r="AB24" s="22">
        <v>842</v>
      </c>
      <c r="AC24" s="34">
        <v>100</v>
      </c>
    </row>
    <row r="25" spans="1:29" ht="15" customHeight="1" x14ac:dyDescent="0.3">
      <c r="A25" s="20" t="s">
        <v>741</v>
      </c>
      <c r="B25" s="20">
        <v>22</v>
      </c>
      <c r="C25" s="20" t="s">
        <v>93</v>
      </c>
      <c r="D25" s="20">
        <v>40010006</v>
      </c>
      <c r="E25" s="20" t="s">
        <v>676</v>
      </c>
      <c r="F25" s="20" t="s">
        <v>679</v>
      </c>
      <c r="G25" s="20" t="s">
        <v>778</v>
      </c>
      <c r="H25" s="29">
        <v>101.0859</v>
      </c>
      <c r="I25" s="30">
        <v>2022</v>
      </c>
      <c r="J25" s="30">
        <v>101</v>
      </c>
      <c r="K25" s="30">
        <v>2201</v>
      </c>
      <c r="L25" s="20" t="s">
        <v>94</v>
      </c>
      <c r="M25" s="30">
        <v>2201049</v>
      </c>
      <c r="N25" s="20" t="s">
        <v>186</v>
      </c>
      <c r="O25" s="20" t="s">
        <v>360</v>
      </c>
      <c r="P25" s="20" t="s">
        <v>40</v>
      </c>
      <c r="Q25" s="30">
        <v>220104902</v>
      </c>
      <c r="R25" s="20" t="s">
        <v>361</v>
      </c>
      <c r="S25" s="20" t="s">
        <v>18</v>
      </c>
      <c r="T25" s="30">
        <v>4.7</v>
      </c>
      <c r="U25" s="20" t="s">
        <v>770</v>
      </c>
      <c r="V25" s="22">
        <v>1</v>
      </c>
      <c r="W25" s="22">
        <v>4</v>
      </c>
      <c r="X25" s="22">
        <v>1</v>
      </c>
      <c r="Y25" s="22">
        <v>1</v>
      </c>
      <c r="Z25" s="22">
        <v>1</v>
      </c>
      <c r="AA25" s="22">
        <v>1</v>
      </c>
      <c r="AB25" s="22">
        <v>0</v>
      </c>
      <c r="AC25" s="34">
        <v>0</v>
      </c>
    </row>
    <row r="26" spans="1:29" ht="15" customHeight="1" x14ac:dyDescent="0.3">
      <c r="A26" s="20" t="s">
        <v>741</v>
      </c>
      <c r="B26" s="20">
        <v>33</v>
      </c>
      <c r="C26" s="20" t="s">
        <v>83</v>
      </c>
      <c r="D26" s="20">
        <v>270030002</v>
      </c>
      <c r="E26" s="20" t="s">
        <v>760</v>
      </c>
      <c r="F26" s="20" t="s">
        <v>428</v>
      </c>
      <c r="G26" s="20" t="s">
        <v>798</v>
      </c>
      <c r="H26" s="29" t="s">
        <v>803</v>
      </c>
      <c r="I26" s="30" t="s">
        <v>803</v>
      </c>
      <c r="J26" s="30">
        <v>80</v>
      </c>
      <c r="K26" s="30">
        <v>3301</v>
      </c>
      <c r="L26" s="20" t="s">
        <v>84</v>
      </c>
      <c r="M26" s="30">
        <v>3301085</v>
      </c>
      <c r="N26" s="20" t="s">
        <v>365</v>
      </c>
      <c r="O26" s="20" t="s">
        <v>366</v>
      </c>
      <c r="P26" s="20" t="s">
        <v>367</v>
      </c>
      <c r="Q26" s="30">
        <v>330108500</v>
      </c>
      <c r="R26" s="20" t="s">
        <v>368</v>
      </c>
      <c r="S26" s="20" t="s">
        <v>18</v>
      </c>
      <c r="T26" s="30" t="s">
        <v>590</v>
      </c>
      <c r="U26" s="20" t="s">
        <v>770</v>
      </c>
      <c r="V26" s="22">
        <v>650</v>
      </c>
      <c r="W26" s="22">
        <v>800</v>
      </c>
      <c r="X26" s="22">
        <v>200</v>
      </c>
      <c r="Y26" s="22">
        <v>200</v>
      </c>
      <c r="Z26" s="22">
        <v>200</v>
      </c>
      <c r="AA26" s="22">
        <v>200</v>
      </c>
      <c r="AB26" s="22">
        <v>756</v>
      </c>
      <c r="AC26" s="34">
        <v>100</v>
      </c>
    </row>
    <row r="27" spans="1:29" ht="15" customHeight="1" x14ac:dyDescent="0.3">
      <c r="A27" s="20" t="s">
        <v>741</v>
      </c>
      <c r="B27" s="20">
        <v>22</v>
      </c>
      <c r="C27" s="20" t="s">
        <v>93</v>
      </c>
      <c r="D27" s="20">
        <v>40010006</v>
      </c>
      <c r="E27" s="20" t="s">
        <v>676</v>
      </c>
      <c r="F27" s="20" t="s">
        <v>679</v>
      </c>
      <c r="G27" s="20" t="s">
        <v>778</v>
      </c>
      <c r="H27" s="29">
        <v>101.0859</v>
      </c>
      <c r="I27" s="30">
        <v>2022</v>
      </c>
      <c r="J27" s="30">
        <v>101</v>
      </c>
      <c r="K27" s="30">
        <v>2201</v>
      </c>
      <c r="L27" s="20" t="s">
        <v>94</v>
      </c>
      <c r="M27" s="30">
        <v>2201073</v>
      </c>
      <c r="N27" s="20" t="s">
        <v>370</v>
      </c>
      <c r="O27" s="20" t="s">
        <v>371</v>
      </c>
      <c r="P27" s="20" t="s">
        <v>123</v>
      </c>
      <c r="Q27" s="30">
        <v>220107304</v>
      </c>
      <c r="R27" s="20" t="s">
        <v>372</v>
      </c>
      <c r="S27" s="20" t="s">
        <v>18</v>
      </c>
      <c r="T27" s="30">
        <v>17.18</v>
      </c>
      <c r="U27" s="20" t="s">
        <v>770</v>
      </c>
      <c r="V27" s="22">
        <v>138</v>
      </c>
      <c r="W27" s="22">
        <v>200</v>
      </c>
      <c r="X27" s="22">
        <v>50</v>
      </c>
      <c r="Y27" s="22">
        <v>50</v>
      </c>
      <c r="Z27" s="22">
        <v>50</v>
      </c>
      <c r="AA27" s="22">
        <v>50</v>
      </c>
      <c r="AB27" s="22">
        <v>30</v>
      </c>
      <c r="AC27" s="34">
        <v>60</v>
      </c>
    </row>
    <row r="28" spans="1:29" ht="15" customHeight="1" x14ac:dyDescent="0.3">
      <c r="A28" s="20" t="s">
        <v>741</v>
      </c>
      <c r="B28" s="20">
        <v>33</v>
      </c>
      <c r="C28" s="20" t="s">
        <v>83</v>
      </c>
      <c r="D28" s="20">
        <v>270030002</v>
      </c>
      <c r="E28" s="20" t="s">
        <v>760</v>
      </c>
      <c r="F28" s="20" t="s">
        <v>428</v>
      </c>
      <c r="G28" s="20" t="s">
        <v>798</v>
      </c>
      <c r="H28" s="29" t="s">
        <v>803</v>
      </c>
      <c r="I28" s="30" t="s">
        <v>803</v>
      </c>
      <c r="J28" s="30">
        <v>80</v>
      </c>
      <c r="K28" s="30">
        <v>3301</v>
      </c>
      <c r="L28" s="20" t="s">
        <v>84</v>
      </c>
      <c r="M28" s="30">
        <v>3301053</v>
      </c>
      <c r="N28" s="20" t="s">
        <v>373</v>
      </c>
      <c r="O28" s="20" t="s">
        <v>374</v>
      </c>
      <c r="P28" s="20" t="s">
        <v>375</v>
      </c>
      <c r="Q28" s="30">
        <v>330105300</v>
      </c>
      <c r="R28" s="20" t="s">
        <v>376</v>
      </c>
      <c r="S28" s="20" t="s">
        <v>18</v>
      </c>
      <c r="T28" s="30">
        <v>11.4</v>
      </c>
      <c r="U28" s="20" t="s">
        <v>770</v>
      </c>
      <c r="V28" s="22">
        <v>10</v>
      </c>
      <c r="W28" s="22">
        <v>20</v>
      </c>
      <c r="X28" s="22">
        <v>5</v>
      </c>
      <c r="Y28" s="22">
        <v>5</v>
      </c>
      <c r="Z28" s="22">
        <v>5</v>
      </c>
      <c r="AA28" s="22">
        <v>5</v>
      </c>
      <c r="AB28" s="22">
        <v>15</v>
      </c>
      <c r="AC28" s="34">
        <v>100</v>
      </c>
    </row>
    <row r="29" spans="1:29" ht="15" customHeight="1" x14ac:dyDescent="0.3">
      <c r="A29" s="20" t="s">
        <v>741</v>
      </c>
      <c r="B29" s="20">
        <v>33</v>
      </c>
      <c r="C29" s="20" t="s">
        <v>83</v>
      </c>
      <c r="D29" s="20">
        <v>270030002</v>
      </c>
      <c r="E29" s="20" t="s">
        <v>760</v>
      </c>
      <c r="F29" s="20" t="s">
        <v>428</v>
      </c>
      <c r="G29" s="20" t="s">
        <v>798</v>
      </c>
      <c r="H29" s="29" t="s">
        <v>803</v>
      </c>
      <c r="I29" s="30" t="s">
        <v>803</v>
      </c>
      <c r="J29" s="30">
        <v>80</v>
      </c>
      <c r="K29" s="30">
        <v>3301</v>
      </c>
      <c r="L29" s="20" t="s">
        <v>84</v>
      </c>
      <c r="M29" s="30">
        <v>3301073</v>
      </c>
      <c r="N29" s="20" t="s">
        <v>377</v>
      </c>
      <c r="O29" s="20" t="s">
        <v>378</v>
      </c>
      <c r="P29" s="20" t="s">
        <v>379</v>
      </c>
      <c r="Q29" s="30">
        <v>330107300</v>
      </c>
      <c r="R29" s="20" t="s">
        <v>380</v>
      </c>
      <c r="S29" s="20" t="s">
        <v>18</v>
      </c>
      <c r="T29" s="30">
        <v>11.4</v>
      </c>
      <c r="U29" s="20" t="s">
        <v>770</v>
      </c>
      <c r="V29" s="22">
        <v>7</v>
      </c>
      <c r="W29" s="22">
        <v>12</v>
      </c>
      <c r="X29" s="22">
        <v>3</v>
      </c>
      <c r="Y29" s="22">
        <v>3</v>
      </c>
      <c r="Z29" s="22">
        <v>3</v>
      </c>
      <c r="AA29" s="22">
        <v>3</v>
      </c>
      <c r="AB29" s="22">
        <v>5</v>
      </c>
      <c r="AC29" s="34">
        <v>100</v>
      </c>
    </row>
    <row r="30" spans="1:29" ht="15" customHeight="1" x14ac:dyDescent="0.3">
      <c r="A30" s="20" t="s">
        <v>741</v>
      </c>
      <c r="B30" s="20">
        <v>33</v>
      </c>
      <c r="C30" s="20" t="s">
        <v>83</v>
      </c>
      <c r="D30" s="20">
        <v>270030002</v>
      </c>
      <c r="E30" s="20" t="s">
        <v>760</v>
      </c>
      <c r="F30" s="20" t="s">
        <v>760</v>
      </c>
      <c r="G30" s="20" t="s">
        <v>798</v>
      </c>
      <c r="H30" s="29" t="s">
        <v>803</v>
      </c>
      <c r="I30" s="30" t="s">
        <v>803</v>
      </c>
      <c r="J30" s="30">
        <v>80</v>
      </c>
      <c r="K30" s="30">
        <v>3301</v>
      </c>
      <c r="L30" s="20" t="s">
        <v>84</v>
      </c>
      <c r="M30" s="30">
        <v>3301126</v>
      </c>
      <c r="N30" s="20" t="s">
        <v>381</v>
      </c>
      <c r="O30" s="20" t="s">
        <v>382</v>
      </c>
      <c r="P30" s="20" t="s">
        <v>383</v>
      </c>
      <c r="Q30" s="30">
        <v>330112600</v>
      </c>
      <c r="R30" s="20" t="s">
        <v>384</v>
      </c>
      <c r="S30" s="20" t="s">
        <v>18</v>
      </c>
      <c r="T30" s="30" t="s">
        <v>590</v>
      </c>
      <c r="U30" s="20" t="s">
        <v>770</v>
      </c>
      <c r="V30" s="22">
        <v>3</v>
      </c>
      <c r="W30" s="22">
        <v>16</v>
      </c>
      <c r="X30" s="22">
        <v>4</v>
      </c>
      <c r="Y30" s="22">
        <v>4</v>
      </c>
      <c r="Z30" s="22">
        <v>4</v>
      </c>
      <c r="AA30" s="22">
        <v>4</v>
      </c>
      <c r="AB30" s="22">
        <v>4</v>
      </c>
      <c r="AC30" s="34">
        <v>100</v>
      </c>
    </row>
    <row r="31" spans="1:29" ht="15" customHeight="1" x14ac:dyDescent="0.3">
      <c r="A31" s="20" t="s">
        <v>741</v>
      </c>
      <c r="B31" s="20">
        <v>41</v>
      </c>
      <c r="C31" s="20" t="s">
        <v>12</v>
      </c>
      <c r="D31" s="24">
        <v>20100040</v>
      </c>
      <c r="E31" s="20" t="s">
        <v>763</v>
      </c>
      <c r="F31" s="20" t="s">
        <v>719</v>
      </c>
      <c r="G31" s="20" t="s">
        <v>780</v>
      </c>
      <c r="H31" s="29">
        <v>0</v>
      </c>
      <c r="I31" s="30">
        <v>2021</v>
      </c>
      <c r="J31" s="30">
        <v>0</v>
      </c>
      <c r="K31" s="30">
        <v>4104</v>
      </c>
      <c r="L31" s="20" t="s">
        <v>482</v>
      </c>
      <c r="M31" s="30">
        <v>4104008</v>
      </c>
      <c r="N31" s="20" t="s">
        <v>483</v>
      </c>
      <c r="O31" s="20" t="s">
        <v>484</v>
      </c>
      <c r="P31" s="20" t="s">
        <v>485</v>
      </c>
      <c r="Q31" s="30">
        <v>410400800</v>
      </c>
      <c r="R31" s="20" t="s">
        <v>486</v>
      </c>
      <c r="S31" s="20" t="s">
        <v>18</v>
      </c>
      <c r="T31" s="30">
        <v>1.3</v>
      </c>
      <c r="U31" s="20" t="s">
        <v>770</v>
      </c>
      <c r="V31" s="22">
        <v>700</v>
      </c>
      <c r="W31" s="22">
        <v>720</v>
      </c>
      <c r="X31" s="22">
        <v>180</v>
      </c>
      <c r="Y31" s="22">
        <v>180</v>
      </c>
      <c r="Z31" s="22">
        <v>180</v>
      </c>
      <c r="AA31" s="22">
        <v>180</v>
      </c>
      <c r="AB31" s="22">
        <v>200</v>
      </c>
      <c r="AC31" s="34">
        <v>100</v>
      </c>
    </row>
    <row r="32" spans="1:29" ht="15" customHeight="1" x14ac:dyDescent="0.3">
      <c r="A32" s="20" t="s">
        <v>741</v>
      </c>
      <c r="B32" s="20">
        <v>41</v>
      </c>
      <c r="C32" s="20" t="s">
        <v>12</v>
      </c>
      <c r="D32" s="24">
        <v>20100040</v>
      </c>
      <c r="E32" s="20" t="s">
        <v>763</v>
      </c>
      <c r="F32" s="20" t="s">
        <v>719</v>
      </c>
      <c r="G32" s="20" t="s">
        <v>780</v>
      </c>
      <c r="H32" s="29">
        <v>0</v>
      </c>
      <c r="I32" s="30">
        <v>2021</v>
      </c>
      <c r="J32" s="30">
        <v>0</v>
      </c>
      <c r="K32" s="30">
        <v>4104</v>
      </c>
      <c r="L32" s="20" t="s">
        <v>482</v>
      </c>
      <c r="M32" s="30">
        <v>4104020</v>
      </c>
      <c r="N32" s="20" t="s">
        <v>491</v>
      </c>
      <c r="O32" s="20" t="s">
        <v>492</v>
      </c>
      <c r="P32" s="20" t="s">
        <v>40</v>
      </c>
      <c r="Q32" s="30">
        <v>410402000</v>
      </c>
      <c r="R32" s="20" t="s">
        <v>493</v>
      </c>
      <c r="S32" s="20" t="s">
        <v>18</v>
      </c>
      <c r="T32" s="30">
        <v>1.3</v>
      </c>
      <c r="U32" s="20" t="s">
        <v>770</v>
      </c>
      <c r="V32" s="22" t="s">
        <v>636</v>
      </c>
      <c r="W32" s="22">
        <v>100</v>
      </c>
      <c r="X32" s="22">
        <v>25</v>
      </c>
      <c r="Y32" s="22">
        <v>25</v>
      </c>
      <c r="Z32" s="22">
        <v>25</v>
      </c>
      <c r="AA32" s="22">
        <v>25</v>
      </c>
      <c r="AB32" s="22">
        <v>30</v>
      </c>
      <c r="AC32" s="34">
        <v>100</v>
      </c>
    </row>
    <row r="33" spans="1:29" ht="15" customHeight="1" x14ac:dyDescent="0.3">
      <c r="A33" s="20" t="s">
        <v>741</v>
      </c>
      <c r="B33" s="20">
        <v>41</v>
      </c>
      <c r="C33" s="20" t="s">
        <v>12</v>
      </c>
      <c r="D33" s="20">
        <v>140010004</v>
      </c>
      <c r="E33" s="20" t="s">
        <v>709</v>
      </c>
      <c r="F33" s="20" t="s">
        <v>679</v>
      </c>
      <c r="G33" s="20" t="s">
        <v>774</v>
      </c>
      <c r="H33" s="29">
        <v>30.7</v>
      </c>
      <c r="I33" s="30">
        <v>2018</v>
      </c>
      <c r="J33" s="30">
        <v>35</v>
      </c>
      <c r="K33" s="30">
        <v>4104</v>
      </c>
      <c r="L33" s="20" t="s">
        <v>482</v>
      </c>
      <c r="M33" s="30">
        <v>4104027</v>
      </c>
      <c r="N33" s="20" t="s">
        <v>494</v>
      </c>
      <c r="O33" s="20" t="s">
        <v>495</v>
      </c>
      <c r="P33" s="20" t="s">
        <v>40</v>
      </c>
      <c r="Q33" s="30">
        <v>410402700</v>
      </c>
      <c r="R33" s="20" t="s">
        <v>496</v>
      </c>
      <c r="S33" s="20" t="s">
        <v>18</v>
      </c>
      <c r="T33" s="30">
        <v>1.3</v>
      </c>
      <c r="U33" s="20" t="s">
        <v>19</v>
      </c>
      <c r="V33" s="22">
        <v>5</v>
      </c>
      <c r="W33" s="22">
        <v>20</v>
      </c>
      <c r="X33" s="22">
        <v>5</v>
      </c>
      <c r="Y33" s="22">
        <v>5</v>
      </c>
      <c r="Z33" s="22">
        <v>5</v>
      </c>
      <c r="AA33" s="22">
        <v>5</v>
      </c>
      <c r="AB33" s="22">
        <v>1</v>
      </c>
      <c r="AC33" s="34">
        <v>20</v>
      </c>
    </row>
    <row r="34" spans="1:29" ht="14.4" customHeight="1" x14ac:dyDescent="0.3">
      <c r="A34" s="20" t="s">
        <v>741</v>
      </c>
      <c r="B34" s="20">
        <v>19</v>
      </c>
      <c r="C34" s="20" t="s">
        <v>47</v>
      </c>
      <c r="D34" s="20">
        <v>80030002</v>
      </c>
      <c r="E34" s="20" t="s">
        <v>752</v>
      </c>
      <c r="F34" s="20" t="s">
        <v>719</v>
      </c>
      <c r="G34" s="20" t="s">
        <v>777</v>
      </c>
      <c r="H34" s="29">
        <v>75.596100000000007</v>
      </c>
      <c r="I34" s="30">
        <v>2022</v>
      </c>
      <c r="J34" s="30">
        <v>85</v>
      </c>
      <c r="K34" s="30">
        <v>1905</v>
      </c>
      <c r="L34" s="20" t="s">
        <v>497</v>
      </c>
      <c r="M34" s="30">
        <v>1905015</v>
      </c>
      <c r="N34" s="20" t="s">
        <v>95</v>
      </c>
      <c r="O34" s="20" t="s">
        <v>356</v>
      </c>
      <c r="P34" s="20" t="s">
        <v>26</v>
      </c>
      <c r="Q34" s="30">
        <v>190501500</v>
      </c>
      <c r="R34" s="20" t="s">
        <v>338</v>
      </c>
      <c r="S34" s="20" t="s">
        <v>18</v>
      </c>
      <c r="T34" s="30" t="s">
        <v>594</v>
      </c>
      <c r="U34" s="20" t="s">
        <v>770</v>
      </c>
      <c r="V34" s="22">
        <v>1</v>
      </c>
      <c r="W34" s="22">
        <v>4</v>
      </c>
      <c r="X34" s="22">
        <v>1</v>
      </c>
      <c r="Y34" s="22">
        <v>1</v>
      </c>
      <c r="Z34" s="22">
        <v>1</v>
      </c>
      <c r="AA34" s="22">
        <v>1</v>
      </c>
      <c r="AB34" s="22">
        <v>2</v>
      </c>
      <c r="AC34" s="34">
        <v>100</v>
      </c>
    </row>
    <row r="35" spans="1:29" ht="14.4" customHeight="1" x14ac:dyDescent="0.3">
      <c r="A35" s="20" t="s">
        <v>741</v>
      </c>
      <c r="B35" s="20">
        <v>19</v>
      </c>
      <c r="C35" s="20" t="s">
        <v>47</v>
      </c>
      <c r="D35" s="20">
        <v>50020001</v>
      </c>
      <c r="E35" s="20" t="s">
        <v>753</v>
      </c>
      <c r="F35" s="20" t="s">
        <v>754</v>
      </c>
      <c r="G35" s="20" t="s">
        <v>781</v>
      </c>
      <c r="H35" s="29">
        <v>4.6224999999999996</v>
      </c>
      <c r="I35" s="30">
        <v>2020</v>
      </c>
      <c r="J35" s="30">
        <v>2</v>
      </c>
      <c r="K35" s="30">
        <v>1905</v>
      </c>
      <c r="L35" s="20" t="s">
        <v>497</v>
      </c>
      <c r="M35" s="30">
        <v>1905020</v>
      </c>
      <c r="N35" s="20" t="s">
        <v>501</v>
      </c>
      <c r="O35" s="20" t="s">
        <v>502</v>
      </c>
      <c r="P35" s="20" t="s">
        <v>229</v>
      </c>
      <c r="Q35" s="30">
        <v>190502000</v>
      </c>
      <c r="R35" s="20" t="s">
        <v>503</v>
      </c>
      <c r="S35" s="20" t="s">
        <v>504</v>
      </c>
      <c r="T35" s="30">
        <v>3.5</v>
      </c>
      <c r="U35" s="20" t="s">
        <v>770</v>
      </c>
      <c r="V35" s="22">
        <v>1</v>
      </c>
      <c r="W35" s="22">
        <v>4</v>
      </c>
      <c r="X35" s="22">
        <v>1</v>
      </c>
      <c r="Y35" s="22">
        <v>1</v>
      </c>
      <c r="Z35" s="22">
        <v>1</v>
      </c>
      <c r="AA35" s="22">
        <v>1</v>
      </c>
      <c r="AB35" s="22">
        <v>1</v>
      </c>
      <c r="AC35" s="34">
        <v>100</v>
      </c>
    </row>
    <row r="36" spans="1:29" ht="14.4" customHeight="1" x14ac:dyDescent="0.3">
      <c r="A36" s="20" t="s">
        <v>741</v>
      </c>
      <c r="B36" s="20">
        <v>19</v>
      </c>
      <c r="C36" s="20" t="s">
        <v>47</v>
      </c>
      <c r="D36" s="20">
        <v>50020043</v>
      </c>
      <c r="E36" s="20" t="s">
        <v>748</v>
      </c>
      <c r="F36" s="20" t="s">
        <v>749</v>
      </c>
      <c r="G36" s="20" t="s">
        <v>782</v>
      </c>
      <c r="H36" s="29">
        <v>47.413800000000002</v>
      </c>
      <c r="I36" s="30">
        <v>2021</v>
      </c>
      <c r="J36" s="30">
        <v>15</v>
      </c>
      <c r="K36" s="30">
        <v>1905</v>
      </c>
      <c r="L36" s="20" t="s">
        <v>497</v>
      </c>
      <c r="M36" s="30">
        <v>1905021</v>
      </c>
      <c r="N36" s="20" t="s">
        <v>505</v>
      </c>
      <c r="O36" s="20" t="s">
        <v>506</v>
      </c>
      <c r="P36" s="20" t="s">
        <v>229</v>
      </c>
      <c r="Q36" s="30">
        <v>190502100</v>
      </c>
      <c r="R36" s="20" t="s">
        <v>507</v>
      </c>
      <c r="S36" s="20" t="s">
        <v>18</v>
      </c>
      <c r="T36" s="30">
        <v>3.7</v>
      </c>
      <c r="U36" s="20" t="s">
        <v>770</v>
      </c>
      <c r="V36" s="22">
        <v>1</v>
      </c>
      <c r="W36" s="22">
        <v>4</v>
      </c>
      <c r="X36" s="22">
        <v>1</v>
      </c>
      <c r="Y36" s="22">
        <v>1</v>
      </c>
      <c r="Z36" s="22">
        <v>1</v>
      </c>
      <c r="AA36" s="22">
        <v>1</v>
      </c>
      <c r="AB36" s="22">
        <v>1</v>
      </c>
      <c r="AC36" s="34">
        <v>100</v>
      </c>
    </row>
    <row r="37" spans="1:29" ht="14.4" customHeight="1" x14ac:dyDescent="0.3">
      <c r="A37" s="20" t="s">
        <v>741</v>
      </c>
      <c r="B37" s="20">
        <v>19</v>
      </c>
      <c r="C37" s="20" t="s">
        <v>47</v>
      </c>
      <c r="D37" s="20">
        <v>50020030</v>
      </c>
      <c r="E37" s="20" t="s">
        <v>750</v>
      </c>
      <c r="F37" s="20" t="s">
        <v>751</v>
      </c>
      <c r="G37" s="20" t="s">
        <v>782</v>
      </c>
      <c r="H37" s="29">
        <v>0</v>
      </c>
      <c r="I37" s="30">
        <v>2020</v>
      </c>
      <c r="J37" s="30">
        <v>0</v>
      </c>
      <c r="K37" s="30">
        <v>1905</v>
      </c>
      <c r="L37" s="20" t="s">
        <v>497</v>
      </c>
      <c r="M37" s="30">
        <v>1905022</v>
      </c>
      <c r="N37" s="20" t="s">
        <v>508</v>
      </c>
      <c r="O37" s="20" t="s">
        <v>509</v>
      </c>
      <c r="P37" s="20" t="s">
        <v>229</v>
      </c>
      <c r="Q37" s="30">
        <v>190502200</v>
      </c>
      <c r="R37" s="20" t="s">
        <v>510</v>
      </c>
      <c r="S37" s="20" t="s">
        <v>18</v>
      </c>
      <c r="T37" s="30">
        <v>3.4</v>
      </c>
      <c r="U37" s="20" t="s">
        <v>770</v>
      </c>
      <c r="V37" s="22">
        <v>1</v>
      </c>
      <c r="W37" s="22">
        <v>4</v>
      </c>
      <c r="X37" s="22">
        <v>1</v>
      </c>
      <c r="Y37" s="22">
        <v>1</v>
      </c>
      <c r="Z37" s="22">
        <v>1</v>
      </c>
      <c r="AA37" s="22">
        <v>1</v>
      </c>
      <c r="AB37" s="22">
        <v>1</v>
      </c>
      <c r="AC37" s="34">
        <v>100</v>
      </c>
    </row>
    <row r="38" spans="1:29" ht="14.4" customHeight="1" x14ac:dyDescent="0.3">
      <c r="A38" s="20" t="s">
        <v>741</v>
      </c>
      <c r="B38" s="20">
        <v>19</v>
      </c>
      <c r="C38" s="20" t="s">
        <v>47</v>
      </c>
      <c r="D38" s="20">
        <v>50020001</v>
      </c>
      <c r="E38" s="20" t="s">
        <v>753</v>
      </c>
      <c r="F38" s="20" t="s">
        <v>754</v>
      </c>
      <c r="G38" s="20" t="s">
        <v>781</v>
      </c>
      <c r="H38" s="29">
        <v>4.6224999999999996</v>
      </c>
      <c r="I38" s="30">
        <v>2020</v>
      </c>
      <c r="J38" s="30">
        <v>2</v>
      </c>
      <c r="K38" s="30">
        <v>1905</v>
      </c>
      <c r="L38" s="20" t="s">
        <v>497</v>
      </c>
      <c r="M38" s="30">
        <v>1905023</v>
      </c>
      <c r="N38" s="20" t="s">
        <v>511</v>
      </c>
      <c r="O38" s="20" t="s">
        <v>512</v>
      </c>
      <c r="P38" s="20" t="s">
        <v>229</v>
      </c>
      <c r="Q38" s="30">
        <v>190502300</v>
      </c>
      <c r="R38" s="20" t="s">
        <v>513</v>
      </c>
      <c r="S38" s="20" t="s">
        <v>18</v>
      </c>
      <c r="T38" s="30">
        <v>3.4</v>
      </c>
      <c r="U38" s="20" t="s">
        <v>770</v>
      </c>
      <c r="V38" s="22">
        <v>1</v>
      </c>
      <c r="W38" s="22">
        <v>4</v>
      </c>
      <c r="X38" s="22">
        <v>1</v>
      </c>
      <c r="Y38" s="22">
        <v>1</v>
      </c>
      <c r="Z38" s="22">
        <v>1</v>
      </c>
      <c r="AA38" s="22">
        <v>1</v>
      </c>
      <c r="AB38" s="22">
        <v>1</v>
      </c>
      <c r="AC38" s="34">
        <v>100</v>
      </c>
    </row>
    <row r="39" spans="1:29" ht="14.4" customHeight="1" x14ac:dyDescent="0.3">
      <c r="A39" s="20" t="s">
        <v>741</v>
      </c>
      <c r="B39" s="20">
        <v>19</v>
      </c>
      <c r="C39" s="20" t="s">
        <v>47</v>
      </c>
      <c r="D39" s="20">
        <v>50020001</v>
      </c>
      <c r="E39" s="20" t="s">
        <v>753</v>
      </c>
      <c r="F39" s="20" t="s">
        <v>754</v>
      </c>
      <c r="G39" s="20" t="s">
        <v>781</v>
      </c>
      <c r="H39" s="29">
        <v>4.6224999999999996</v>
      </c>
      <c r="I39" s="30">
        <v>2020</v>
      </c>
      <c r="J39" s="30">
        <v>2</v>
      </c>
      <c r="K39" s="30">
        <v>1905</v>
      </c>
      <c r="L39" s="20" t="s">
        <v>497</v>
      </c>
      <c r="M39" s="30">
        <v>1905024</v>
      </c>
      <c r="N39" s="20" t="s">
        <v>514</v>
      </c>
      <c r="O39" s="20" t="s">
        <v>515</v>
      </c>
      <c r="P39" s="20" t="s">
        <v>229</v>
      </c>
      <c r="Q39" s="30">
        <v>190502400</v>
      </c>
      <c r="R39" s="20" t="s">
        <v>805</v>
      </c>
      <c r="S39" s="20" t="s">
        <v>18</v>
      </c>
      <c r="T39" s="30">
        <v>3.3</v>
      </c>
      <c r="U39" s="20" t="s">
        <v>770</v>
      </c>
      <c r="V39" s="22">
        <v>1</v>
      </c>
      <c r="W39" s="22">
        <v>4</v>
      </c>
      <c r="X39" s="22">
        <v>1</v>
      </c>
      <c r="Y39" s="22">
        <v>1</v>
      </c>
      <c r="Z39" s="22">
        <v>1</v>
      </c>
      <c r="AA39" s="22">
        <v>1</v>
      </c>
      <c r="AB39" s="22">
        <v>1</v>
      </c>
      <c r="AC39" s="34">
        <v>100</v>
      </c>
    </row>
    <row r="40" spans="1:29" ht="14.4" customHeight="1" x14ac:dyDescent="0.3">
      <c r="A40" s="20" t="s">
        <v>741</v>
      </c>
      <c r="B40" s="20">
        <v>19</v>
      </c>
      <c r="C40" s="20" t="s">
        <v>47</v>
      </c>
      <c r="D40" s="20">
        <v>50020001</v>
      </c>
      <c r="E40" s="20" t="s">
        <v>753</v>
      </c>
      <c r="F40" s="20" t="s">
        <v>754</v>
      </c>
      <c r="G40" s="20" t="s">
        <v>781</v>
      </c>
      <c r="H40" s="29">
        <v>4.6224999999999996</v>
      </c>
      <c r="I40" s="30">
        <v>2020</v>
      </c>
      <c r="J40" s="30">
        <v>2</v>
      </c>
      <c r="K40" s="30">
        <v>1905</v>
      </c>
      <c r="L40" s="20" t="s">
        <v>497</v>
      </c>
      <c r="M40" s="30">
        <v>1905025</v>
      </c>
      <c r="N40" s="20" t="s">
        <v>516</v>
      </c>
      <c r="O40" s="20" t="s">
        <v>517</v>
      </c>
      <c r="P40" s="20" t="s">
        <v>229</v>
      </c>
      <c r="Q40" s="30">
        <v>190502500</v>
      </c>
      <c r="R40" s="20" t="s">
        <v>518</v>
      </c>
      <c r="S40" s="20" t="s">
        <v>18</v>
      </c>
      <c r="T40" s="30">
        <v>8.8000000000000007</v>
      </c>
      <c r="U40" s="20" t="s">
        <v>770</v>
      </c>
      <c r="V40" s="22">
        <v>1</v>
      </c>
      <c r="W40" s="22">
        <v>4</v>
      </c>
      <c r="X40" s="22">
        <v>1</v>
      </c>
      <c r="Y40" s="22">
        <v>1</v>
      </c>
      <c r="Z40" s="22">
        <v>1</v>
      </c>
      <c r="AA40" s="22">
        <v>1</v>
      </c>
      <c r="AB40" s="22">
        <v>1</v>
      </c>
      <c r="AC40" s="34">
        <v>100</v>
      </c>
    </row>
    <row r="41" spans="1:29" ht="14.4" customHeight="1" x14ac:dyDescent="0.3">
      <c r="A41" s="20" t="s">
        <v>741</v>
      </c>
      <c r="B41" s="20">
        <v>19</v>
      </c>
      <c r="C41" s="20" t="s">
        <v>47</v>
      </c>
      <c r="D41" s="20">
        <v>50020001</v>
      </c>
      <c r="E41" s="20" t="s">
        <v>753</v>
      </c>
      <c r="F41" s="20" t="s">
        <v>754</v>
      </c>
      <c r="G41" s="20" t="s">
        <v>781</v>
      </c>
      <c r="H41" s="29">
        <v>4.6224999999999996</v>
      </c>
      <c r="I41" s="30">
        <v>2020</v>
      </c>
      <c r="J41" s="30">
        <v>2</v>
      </c>
      <c r="K41" s="30">
        <v>1905</v>
      </c>
      <c r="L41" s="20" t="s">
        <v>497</v>
      </c>
      <c r="M41" s="30">
        <v>1905027</v>
      </c>
      <c r="N41" s="20" t="s">
        <v>519</v>
      </c>
      <c r="O41" s="20" t="s">
        <v>520</v>
      </c>
      <c r="P41" s="20" t="s">
        <v>229</v>
      </c>
      <c r="Q41" s="30">
        <v>190502700</v>
      </c>
      <c r="R41" s="20" t="s">
        <v>521</v>
      </c>
      <c r="S41" s="20" t="s">
        <v>18</v>
      </c>
      <c r="T41" s="30">
        <v>3.8</v>
      </c>
      <c r="U41" s="20" t="s">
        <v>770</v>
      </c>
      <c r="V41" s="22">
        <v>1</v>
      </c>
      <c r="W41" s="22">
        <v>4</v>
      </c>
      <c r="X41" s="22">
        <v>1</v>
      </c>
      <c r="Y41" s="22">
        <v>1</v>
      </c>
      <c r="Z41" s="22">
        <v>1</v>
      </c>
      <c r="AA41" s="22">
        <v>1</v>
      </c>
      <c r="AB41" s="22">
        <v>1</v>
      </c>
      <c r="AC41" s="34">
        <v>100</v>
      </c>
    </row>
    <row r="42" spans="1:29" ht="14.4" customHeight="1" x14ac:dyDescent="0.3">
      <c r="A42" s="20" t="s">
        <v>741</v>
      </c>
      <c r="B42" s="20">
        <v>19</v>
      </c>
      <c r="C42" s="20" t="s">
        <v>47</v>
      </c>
      <c r="D42" s="20">
        <v>50020001</v>
      </c>
      <c r="E42" s="20" t="s">
        <v>753</v>
      </c>
      <c r="F42" s="20" t="s">
        <v>754</v>
      </c>
      <c r="G42" s="20" t="s">
        <v>781</v>
      </c>
      <c r="H42" s="29">
        <v>4.6224999999999996</v>
      </c>
      <c r="I42" s="30">
        <v>2020</v>
      </c>
      <c r="J42" s="30">
        <v>2</v>
      </c>
      <c r="K42" s="30">
        <v>1905</v>
      </c>
      <c r="L42" s="20" t="s">
        <v>497</v>
      </c>
      <c r="M42" s="30">
        <v>1905031</v>
      </c>
      <c r="N42" s="20" t="s">
        <v>525</v>
      </c>
      <c r="O42" s="20" t="s">
        <v>526</v>
      </c>
      <c r="P42" s="20" t="s">
        <v>229</v>
      </c>
      <c r="Q42" s="30">
        <v>190503100</v>
      </c>
      <c r="R42" s="20" t="s">
        <v>527</v>
      </c>
      <c r="S42" s="20" t="s">
        <v>18</v>
      </c>
      <c r="T42" s="30">
        <v>3.4</v>
      </c>
      <c r="U42" s="20" t="s">
        <v>770</v>
      </c>
      <c r="V42" s="22">
        <v>1</v>
      </c>
      <c r="W42" s="22">
        <v>4</v>
      </c>
      <c r="X42" s="22">
        <v>1</v>
      </c>
      <c r="Y42" s="22">
        <v>1</v>
      </c>
      <c r="Z42" s="22">
        <v>1</v>
      </c>
      <c r="AA42" s="22">
        <v>1</v>
      </c>
      <c r="AB42" s="22">
        <v>1</v>
      </c>
      <c r="AC42" s="34">
        <v>100</v>
      </c>
    </row>
    <row r="43" spans="1:29" ht="15" customHeight="1" x14ac:dyDescent="0.3">
      <c r="A43" s="20" t="s">
        <v>741</v>
      </c>
      <c r="B43" s="20">
        <v>41</v>
      </c>
      <c r="C43" s="20" t="s">
        <v>12</v>
      </c>
      <c r="D43" s="20">
        <v>260020010</v>
      </c>
      <c r="E43" s="20" t="s">
        <v>711</v>
      </c>
      <c r="F43" s="20" t="s">
        <v>797</v>
      </c>
      <c r="G43" s="20" t="s">
        <v>804</v>
      </c>
      <c r="H43" s="29" t="s">
        <v>803</v>
      </c>
      <c r="I43" s="30" t="s">
        <v>803</v>
      </c>
      <c r="J43" s="30">
        <v>20</v>
      </c>
      <c r="K43" s="30">
        <v>4101</v>
      </c>
      <c r="L43" s="20" t="s">
        <v>28</v>
      </c>
      <c r="M43" s="30">
        <v>4101091</v>
      </c>
      <c r="N43" s="20" t="s">
        <v>541</v>
      </c>
      <c r="O43" s="20" t="s">
        <v>542</v>
      </c>
      <c r="P43" s="20" t="s">
        <v>33</v>
      </c>
      <c r="Q43" s="30">
        <v>410109100</v>
      </c>
      <c r="R43" s="20" t="s">
        <v>543</v>
      </c>
      <c r="S43" s="20" t="s">
        <v>18</v>
      </c>
      <c r="T43" s="30">
        <v>16.3</v>
      </c>
      <c r="U43" s="20" t="s">
        <v>19</v>
      </c>
      <c r="V43" s="22" t="s">
        <v>636</v>
      </c>
      <c r="W43" s="22">
        <v>20</v>
      </c>
      <c r="X43" s="22">
        <v>5</v>
      </c>
      <c r="Y43" s="22">
        <v>5</v>
      </c>
      <c r="Z43" s="22">
        <v>5</v>
      </c>
      <c r="AA43" s="22">
        <v>5</v>
      </c>
      <c r="AB43" s="22">
        <v>5</v>
      </c>
      <c r="AC43" s="34">
        <v>100</v>
      </c>
    </row>
    <row r="44" spans="1:29" ht="15" customHeight="1" x14ac:dyDescent="0.3">
      <c r="A44" s="20" t="s">
        <v>741</v>
      </c>
      <c r="B44" s="20">
        <v>41</v>
      </c>
      <c r="C44" s="20" t="s">
        <v>12</v>
      </c>
      <c r="D44" s="20">
        <v>260020010</v>
      </c>
      <c r="E44" s="20" t="s">
        <v>711</v>
      </c>
      <c r="F44" s="20" t="s">
        <v>797</v>
      </c>
      <c r="G44" s="20" t="s">
        <v>804</v>
      </c>
      <c r="H44" s="29" t="s">
        <v>803</v>
      </c>
      <c r="I44" s="30" t="s">
        <v>803</v>
      </c>
      <c r="J44" s="30">
        <v>20</v>
      </c>
      <c r="K44" s="30">
        <v>4101</v>
      </c>
      <c r="L44" s="20" t="s">
        <v>28</v>
      </c>
      <c r="M44" s="30">
        <v>4101101</v>
      </c>
      <c r="N44" s="20" t="s">
        <v>544</v>
      </c>
      <c r="O44" s="20" t="s">
        <v>545</v>
      </c>
      <c r="P44" s="20" t="s">
        <v>546</v>
      </c>
      <c r="Q44" s="30">
        <v>410110100</v>
      </c>
      <c r="R44" s="20" t="s">
        <v>547</v>
      </c>
      <c r="S44" s="20" t="s">
        <v>18</v>
      </c>
      <c r="T44" s="30">
        <v>16.3</v>
      </c>
      <c r="U44" s="20" t="s">
        <v>770</v>
      </c>
      <c r="V44" s="22">
        <v>3</v>
      </c>
      <c r="W44" s="22">
        <v>16</v>
      </c>
      <c r="X44" s="22">
        <v>4</v>
      </c>
      <c r="Y44" s="22">
        <v>4</v>
      </c>
      <c r="Z44" s="22">
        <v>4</v>
      </c>
      <c r="AA44" s="22">
        <v>4</v>
      </c>
      <c r="AB44" s="22">
        <v>20</v>
      </c>
      <c r="AC44" s="34">
        <v>100</v>
      </c>
    </row>
    <row r="45" spans="1:29" ht="15" customHeight="1" x14ac:dyDescent="0.3">
      <c r="A45" s="20" t="s">
        <v>741</v>
      </c>
      <c r="B45" s="20">
        <v>41</v>
      </c>
      <c r="C45" s="20" t="s">
        <v>12</v>
      </c>
      <c r="D45" s="20">
        <v>260020004</v>
      </c>
      <c r="E45" s="20" t="s">
        <v>710</v>
      </c>
      <c r="F45" s="20" t="s">
        <v>18</v>
      </c>
      <c r="G45" s="20" t="s">
        <v>775</v>
      </c>
      <c r="H45" s="29">
        <v>0</v>
      </c>
      <c r="I45" s="30">
        <v>2022</v>
      </c>
      <c r="J45" s="30">
        <v>4</v>
      </c>
      <c r="K45" s="30">
        <v>4101</v>
      </c>
      <c r="L45" s="20" t="s">
        <v>28</v>
      </c>
      <c r="M45" s="30">
        <v>4101103</v>
      </c>
      <c r="N45" s="20" t="s">
        <v>95</v>
      </c>
      <c r="O45" s="20" t="s">
        <v>548</v>
      </c>
      <c r="P45" s="20" t="s">
        <v>26</v>
      </c>
      <c r="Q45" s="30">
        <v>410110300</v>
      </c>
      <c r="R45" s="20" t="s">
        <v>338</v>
      </c>
      <c r="S45" s="20" t="s">
        <v>18</v>
      </c>
      <c r="T45" s="30">
        <v>16.600000000000001</v>
      </c>
      <c r="U45" s="20" t="s">
        <v>19</v>
      </c>
      <c r="V45" s="22">
        <v>4</v>
      </c>
      <c r="W45" s="22">
        <v>10</v>
      </c>
      <c r="X45" s="22">
        <v>4</v>
      </c>
      <c r="Y45" s="22">
        <v>2</v>
      </c>
      <c r="Z45" s="22">
        <v>2</v>
      </c>
      <c r="AA45" s="22">
        <v>2</v>
      </c>
      <c r="AB45" s="22">
        <v>2</v>
      </c>
      <c r="AC45" s="34">
        <v>50</v>
      </c>
    </row>
    <row r="46" spans="1:29" x14ac:dyDescent="0.3">
      <c r="A46" s="20" t="s">
        <v>741</v>
      </c>
      <c r="B46" s="20">
        <v>19</v>
      </c>
      <c r="C46" s="20" t="s">
        <v>47</v>
      </c>
      <c r="D46" s="20">
        <v>50020001</v>
      </c>
      <c r="E46" s="20" t="s">
        <v>753</v>
      </c>
      <c r="F46" s="20" t="s">
        <v>754</v>
      </c>
      <c r="G46" s="20" t="s">
        <v>781</v>
      </c>
      <c r="H46" s="29">
        <v>4.6224999999999996</v>
      </c>
      <c r="I46" s="30">
        <v>2020</v>
      </c>
      <c r="J46" s="30">
        <v>2</v>
      </c>
      <c r="K46" s="30">
        <v>1905</v>
      </c>
      <c r="L46" s="20" t="s">
        <v>497</v>
      </c>
      <c r="M46" s="30">
        <v>1905049</v>
      </c>
      <c r="N46" s="20" t="s">
        <v>553</v>
      </c>
      <c r="O46" s="20" t="s">
        <v>554</v>
      </c>
      <c r="P46" s="20" t="s">
        <v>555</v>
      </c>
      <c r="Q46" s="30">
        <v>190504900</v>
      </c>
      <c r="R46" s="20" t="s">
        <v>556</v>
      </c>
      <c r="S46" s="20" t="s">
        <v>18</v>
      </c>
      <c r="T46" s="30">
        <v>3.8</v>
      </c>
      <c r="U46" s="20" t="s">
        <v>770</v>
      </c>
      <c r="V46" s="22">
        <v>1</v>
      </c>
      <c r="W46" s="22">
        <v>4</v>
      </c>
      <c r="X46" s="22">
        <v>1</v>
      </c>
      <c r="Y46" s="22">
        <v>1</v>
      </c>
      <c r="Z46" s="22">
        <v>1</v>
      </c>
      <c r="AA46" s="22">
        <v>1</v>
      </c>
      <c r="AB46" s="22">
        <v>1</v>
      </c>
      <c r="AC46" s="34">
        <v>100</v>
      </c>
    </row>
    <row r="47" spans="1:29" x14ac:dyDescent="0.3">
      <c r="A47" s="20" t="s">
        <v>741</v>
      </c>
      <c r="B47" s="20">
        <v>19</v>
      </c>
      <c r="C47" s="20" t="s">
        <v>47</v>
      </c>
      <c r="D47" s="20">
        <v>50010004</v>
      </c>
      <c r="E47" s="20" t="s">
        <v>708</v>
      </c>
      <c r="F47" s="20" t="s">
        <v>679</v>
      </c>
      <c r="G47" s="20" t="s">
        <v>781</v>
      </c>
      <c r="H47" s="29">
        <v>99.391400000000004</v>
      </c>
      <c r="I47" s="30">
        <v>2021</v>
      </c>
      <c r="J47" s="30">
        <v>100</v>
      </c>
      <c r="K47" s="30">
        <v>1906</v>
      </c>
      <c r="L47" s="20" t="s">
        <v>479</v>
      </c>
      <c r="M47" s="30">
        <v>1906035</v>
      </c>
      <c r="N47" s="20" t="s">
        <v>557</v>
      </c>
      <c r="O47" s="20" t="s">
        <v>558</v>
      </c>
      <c r="P47" s="20" t="s">
        <v>559</v>
      </c>
      <c r="Q47" s="30">
        <v>190603500</v>
      </c>
      <c r="R47" s="20" t="s">
        <v>560</v>
      </c>
      <c r="S47" s="20" t="s">
        <v>18</v>
      </c>
      <c r="T47" s="30">
        <v>3.8</v>
      </c>
      <c r="U47" s="20" t="s">
        <v>770</v>
      </c>
      <c r="V47" s="22">
        <v>1</v>
      </c>
      <c r="W47" s="22">
        <v>4</v>
      </c>
      <c r="X47" s="22">
        <v>1</v>
      </c>
      <c r="Y47" s="22">
        <v>1</v>
      </c>
      <c r="Z47" s="22">
        <v>1</v>
      </c>
      <c r="AA47" s="22">
        <v>1</v>
      </c>
      <c r="AB47" s="22">
        <v>1</v>
      </c>
      <c r="AC47" s="34">
        <v>100</v>
      </c>
    </row>
    <row r="48" spans="1:29" x14ac:dyDescent="0.3">
      <c r="A48" s="20" t="s">
        <v>741</v>
      </c>
      <c r="B48" s="20">
        <v>19</v>
      </c>
      <c r="C48" s="20" t="s">
        <v>47</v>
      </c>
      <c r="D48" s="20">
        <v>50010004</v>
      </c>
      <c r="E48" s="20" t="s">
        <v>708</v>
      </c>
      <c r="F48" s="20" t="s">
        <v>679</v>
      </c>
      <c r="G48" s="20" t="s">
        <v>781</v>
      </c>
      <c r="H48" s="29">
        <v>99.391400000000004</v>
      </c>
      <c r="I48" s="30">
        <v>2021</v>
      </c>
      <c r="J48" s="30">
        <v>100</v>
      </c>
      <c r="K48" s="30">
        <v>1906</v>
      </c>
      <c r="L48" s="20" t="s">
        <v>479</v>
      </c>
      <c r="M48" s="30">
        <v>1906042</v>
      </c>
      <c r="N48" s="20" t="s">
        <v>561</v>
      </c>
      <c r="O48" s="20" t="s">
        <v>562</v>
      </c>
      <c r="P48" s="20" t="s">
        <v>442</v>
      </c>
      <c r="Q48" s="30">
        <v>190604200</v>
      </c>
      <c r="R48" s="20" t="s">
        <v>563</v>
      </c>
      <c r="S48" s="20" t="s">
        <v>18</v>
      </c>
      <c r="T48" s="30" t="s">
        <v>594</v>
      </c>
      <c r="U48" s="20" t="s">
        <v>770</v>
      </c>
      <c r="V48" s="22">
        <v>1</v>
      </c>
      <c r="W48" s="22">
        <v>4</v>
      </c>
      <c r="X48" s="22">
        <v>1</v>
      </c>
      <c r="Y48" s="22">
        <v>1</v>
      </c>
      <c r="Z48" s="22">
        <v>1</v>
      </c>
      <c r="AA48" s="22">
        <v>1</v>
      </c>
      <c r="AB48" s="22">
        <v>1</v>
      </c>
      <c r="AC48" s="34">
        <v>100</v>
      </c>
    </row>
    <row r="49" spans="1:29" x14ac:dyDescent="0.3">
      <c r="A49" s="20" t="s">
        <v>741</v>
      </c>
      <c r="B49" s="20">
        <v>19</v>
      </c>
      <c r="C49" s="20" t="s">
        <v>47</v>
      </c>
      <c r="D49" s="20">
        <v>50010004</v>
      </c>
      <c r="E49" s="20" t="s">
        <v>708</v>
      </c>
      <c r="F49" s="20" t="s">
        <v>679</v>
      </c>
      <c r="G49" s="20" t="s">
        <v>781</v>
      </c>
      <c r="H49" s="29">
        <v>99.391400000000004</v>
      </c>
      <c r="I49" s="30">
        <v>2021</v>
      </c>
      <c r="J49" s="30">
        <v>100</v>
      </c>
      <c r="K49" s="30">
        <v>1906</v>
      </c>
      <c r="L49" s="20" t="s">
        <v>479</v>
      </c>
      <c r="M49" s="30">
        <v>1906044</v>
      </c>
      <c r="N49" s="20" t="s">
        <v>564</v>
      </c>
      <c r="O49" s="20" t="s">
        <v>565</v>
      </c>
      <c r="P49" s="20" t="s">
        <v>40</v>
      </c>
      <c r="Q49" s="30">
        <v>190604400</v>
      </c>
      <c r="R49" s="20" t="s">
        <v>566</v>
      </c>
      <c r="S49" s="20" t="s">
        <v>18</v>
      </c>
      <c r="T49" s="30" t="s">
        <v>594</v>
      </c>
      <c r="U49" s="20" t="s">
        <v>770</v>
      </c>
      <c r="V49" s="22">
        <v>2391</v>
      </c>
      <c r="W49" s="22">
        <v>2419</v>
      </c>
      <c r="X49" s="22">
        <v>2419</v>
      </c>
      <c r="Y49" s="22">
        <v>2419</v>
      </c>
      <c r="Z49" s="22">
        <v>2419</v>
      </c>
      <c r="AA49" s="22">
        <v>2419</v>
      </c>
      <c r="AB49" s="22">
        <v>2419</v>
      </c>
      <c r="AC49" s="34">
        <v>100</v>
      </c>
    </row>
    <row r="50" spans="1:29" ht="15" customHeight="1" x14ac:dyDescent="0.3">
      <c r="A50" s="20" t="s">
        <v>741</v>
      </c>
      <c r="B50" s="20">
        <v>41</v>
      </c>
      <c r="C50" s="20" t="s">
        <v>12</v>
      </c>
      <c r="D50" s="20">
        <v>140010051</v>
      </c>
      <c r="E50" s="20" t="s">
        <v>720</v>
      </c>
      <c r="F50" s="20" t="s">
        <v>428</v>
      </c>
      <c r="G50" s="20" t="s">
        <v>774</v>
      </c>
      <c r="H50" s="29">
        <v>77.937399999999997</v>
      </c>
      <c r="I50" s="30">
        <v>2023</v>
      </c>
      <c r="J50" s="30">
        <v>72</v>
      </c>
      <c r="K50" s="30">
        <v>4102</v>
      </c>
      <c r="L50" s="20" t="s">
        <v>13</v>
      </c>
      <c r="M50" s="30">
        <v>4102052</v>
      </c>
      <c r="N50" s="20" t="s">
        <v>571</v>
      </c>
      <c r="O50" s="20" t="s">
        <v>572</v>
      </c>
      <c r="P50" s="20" t="s">
        <v>169</v>
      </c>
      <c r="Q50" s="30">
        <v>410205200</v>
      </c>
      <c r="R50" s="20" t="s">
        <v>573</v>
      </c>
      <c r="S50" s="20" t="s">
        <v>18</v>
      </c>
      <c r="T50" s="30">
        <v>16.2</v>
      </c>
      <c r="U50" s="20" t="s">
        <v>19</v>
      </c>
      <c r="V50" s="22">
        <v>90</v>
      </c>
      <c r="W50" s="22">
        <v>140</v>
      </c>
      <c r="X50" s="22">
        <v>35</v>
      </c>
      <c r="Y50" s="22">
        <v>35</v>
      </c>
      <c r="Z50" s="22">
        <v>35</v>
      </c>
      <c r="AA50" s="22">
        <v>35</v>
      </c>
      <c r="AB50" s="22">
        <v>39</v>
      </c>
      <c r="AC50" s="34">
        <v>100</v>
      </c>
    </row>
    <row r="51" spans="1:29" ht="15" hidden="1" customHeight="1" x14ac:dyDescent="0.3">
      <c r="A51" s="35" t="s">
        <v>742</v>
      </c>
      <c r="B51" s="20">
        <v>21</v>
      </c>
      <c r="C51" s="20" t="s">
        <v>64</v>
      </c>
      <c r="D51" s="20">
        <v>110150001</v>
      </c>
      <c r="E51" s="20" t="s">
        <v>718</v>
      </c>
      <c r="F51" s="20" t="s">
        <v>719</v>
      </c>
      <c r="G51" s="20" t="s">
        <v>783</v>
      </c>
      <c r="H51" s="29">
        <v>19.034400000000002</v>
      </c>
      <c r="I51" s="30">
        <v>2017</v>
      </c>
      <c r="J51" s="30">
        <v>17</v>
      </c>
      <c r="K51" s="30">
        <v>2104</v>
      </c>
      <c r="L51" s="20" t="s">
        <v>72</v>
      </c>
      <c r="M51" s="30">
        <v>2104012</v>
      </c>
      <c r="N51" s="20" t="s">
        <v>73</v>
      </c>
      <c r="O51" s="20" t="s">
        <v>74</v>
      </c>
      <c r="P51" s="20" t="s">
        <v>75</v>
      </c>
      <c r="Q51" s="30">
        <v>210401200</v>
      </c>
      <c r="R51" s="20" t="s">
        <v>76</v>
      </c>
      <c r="S51" s="20" t="s">
        <v>18</v>
      </c>
      <c r="T51" s="30">
        <v>16.600000000000001</v>
      </c>
      <c r="U51" s="20" t="s">
        <v>19</v>
      </c>
      <c r="V51" s="22">
        <v>0</v>
      </c>
      <c r="W51" s="22">
        <v>12</v>
      </c>
      <c r="X51" s="22">
        <v>3</v>
      </c>
      <c r="Y51" s="22">
        <v>3</v>
      </c>
      <c r="Z51" s="22">
        <v>3</v>
      </c>
      <c r="AA51" s="22">
        <v>3</v>
      </c>
      <c r="AB51" s="22">
        <v>25</v>
      </c>
      <c r="AC51" s="34">
        <v>100</v>
      </c>
    </row>
    <row r="52" spans="1:29" ht="15" hidden="1" customHeight="1" x14ac:dyDescent="0.3">
      <c r="A52" s="20" t="s">
        <v>742</v>
      </c>
      <c r="B52" s="20">
        <v>21</v>
      </c>
      <c r="C52" s="20" t="s">
        <v>64</v>
      </c>
      <c r="D52" s="20">
        <v>110150001</v>
      </c>
      <c r="E52" s="20" t="s">
        <v>718</v>
      </c>
      <c r="F52" s="20" t="s">
        <v>719</v>
      </c>
      <c r="G52" s="20" t="s">
        <v>783</v>
      </c>
      <c r="H52" s="29">
        <v>19.034400000000002</v>
      </c>
      <c r="I52" s="30">
        <v>2017</v>
      </c>
      <c r="J52" s="30">
        <v>17</v>
      </c>
      <c r="K52" s="30">
        <v>2104</v>
      </c>
      <c r="L52" s="20" t="s">
        <v>72</v>
      </c>
      <c r="M52" s="30">
        <v>2104010</v>
      </c>
      <c r="N52" s="20" t="s">
        <v>77</v>
      </c>
      <c r="O52" s="20" t="s">
        <v>78</v>
      </c>
      <c r="P52" s="20" t="s">
        <v>40</v>
      </c>
      <c r="Q52" s="30">
        <v>210401001</v>
      </c>
      <c r="R52" s="20" t="s">
        <v>79</v>
      </c>
      <c r="S52" s="20" t="s">
        <v>18</v>
      </c>
      <c r="T52" s="30">
        <v>4.4000000000000004</v>
      </c>
      <c r="U52" s="20" t="s">
        <v>19</v>
      </c>
      <c r="V52" s="22" t="s">
        <v>636</v>
      </c>
      <c r="W52" s="22">
        <v>6</v>
      </c>
      <c r="X52" s="22">
        <v>0</v>
      </c>
      <c r="Y52" s="22">
        <v>2</v>
      </c>
      <c r="Z52" s="22">
        <v>2</v>
      </c>
      <c r="AA52" s="22">
        <v>2</v>
      </c>
      <c r="AB52" s="22">
        <v>3</v>
      </c>
      <c r="AC52" s="34"/>
    </row>
    <row r="53" spans="1:29" ht="15" hidden="1" customHeight="1" x14ac:dyDescent="0.3">
      <c r="A53" s="20" t="s">
        <v>742</v>
      </c>
      <c r="B53" s="20">
        <v>21</v>
      </c>
      <c r="C53" s="20" t="s">
        <v>64</v>
      </c>
      <c r="D53" s="20">
        <v>110150001</v>
      </c>
      <c r="E53" s="20" t="s">
        <v>718</v>
      </c>
      <c r="F53" s="20" t="s">
        <v>719</v>
      </c>
      <c r="G53" s="20" t="s">
        <v>783</v>
      </c>
      <c r="H53" s="29">
        <v>19.034400000000002</v>
      </c>
      <c r="I53" s="30">
        <v>2017</v>
      </c>
      <c r="J53" s="30">
        <v>17</v>
      </c>
      <c r="K53" s="30">
        <v>2104</v>
      </c>
      <c r="L53" s="20" t="s">
        <v>72</v>
      </c>
      <c r="M53" s="30">
        <v>2104004</v>
      </c>
      <c r="N53" s="20" t="s">
        <v>80</v>
      </c>
      <c r="O53" s="20" t="s">
        <v>81</v>
      </c>
      <c r="P53" s="20" t="s">
        <v>75</v>
      </c>
      <c r="Q53" s="30">
        <v>210400400</v>
      </c>
      <c r="R53" s="20" t="s">
        <v>82</v>
      </c>
      <c r="S53" s="20" t="s">
        <v>18</v>
      </c>
      <c r="T53" s="30">
        <v>8.3000000000000007</v>
      </c>
      <c r="U53" s="20" t="s">
        <v>19</v>
      </c>
      <c r="V53" s="22" t="s">
        <v>636</v>
      </c>
      <c r="W53" s="22">
        <v>9</v>
      </c>
      <c r="X53" s="22">
        <v>0</v>
      </c>
      <c r="Y53" s="22">
        <v>3</v>
      </c>
      <c r="Z53" s="22">
        <v>3</v>
      </c>
      <c r="AA53" s="22">
        <v>3</v>
      </c>
      <c r="AB53" s="22">
        <v>25</v>
      </c>
      <c r="AC53" s="34"/>
    </row>
    <row r="54" spans="1:29" ht="15" hidden="1" customHeight="1" x14ac:dyDescent="0.3">
      <c r="A54" s="20" t="s">
        <v>742</v>
      </c>
      <c r="B54" s="20">
        <v>36</v>
      </c>
      <c r="C54" s="20" t="s">
        <v>154</v>
      </c>
      <c r="D54" s="20">
        <v>160020005</v>
      </c>
      <c r="E54" s="20" t="s">
        <v>717</v>
      </c>
      <c r="F54" s="20" t="s">
        <v>799</v>
      </c>
      <c r="G54" s="20" t="s">
        <v>774</v>
      </c>
      <c r="H54" s="29" t="s">
        <v>800</v>
      </c>
      <c r="I54" s="30" t="s">
        <v>800</v>
      </c>
      <c r="J54" s="30">
        <v>0</v>
      </c>
      <c r="K54" s="30">
        <v>3604</v>
      </c>
      <c r="L54" s="20" t="s">
        <v>155</v>
      </c>
      <c r="M54" s="30">
        <v>3604004</v>
      </c>
      <c r="N54" s="20" t="s">
        <v>156</v>
      </c>
      <c r="O54" s="20" t="s">
        <v>157</v>
      </c>
      <c r="P54" s="20" t="s">
        <v>40</v>
      </c>
      <c r="Q54" s="30">
        <v>360400400</v>
      </c>
      <c r="R54" s="20" t="s">
        <v>100</v>
      </c>
      <c r="S54" s="20" t="s">
        <v>18</v>
      </c>
      <c r="T54" s="30">
        <v>16.100000000000001</v>
      </c>
      <c r="U54" s="20" t="s">
        <v>19</v>
      </c>
      <c r="V54" s="22" t="s">
        <v>636</v>
      </c>
      <c r="W54" s="22">
        <v>80</v>
      </c>
      <c r="X54" s="22">
        <v>20</v>
      </c>
      <c r="Y54" s="22">
        <v>20</v>
      </c>
      <c r="Z54" s="22">
        <v>20</v>
      </c>
      <c r="AA54" s="22">
        <v>20</v>
      </c>
      <c r="AB54" s="22">
        <v>20</v>
      </c>
      <c r="AC54" s="34">
        <v>100</v>
      </c>
    </row>
    <row r="55" spans="1:29" ht="15" hidden="1" customHeight="1" x14ac:dyDescent="0.3">
      <c r="A55" s="20" t="s">
        <v>742</v>
      </c>
      <c r="B55" s="20">
        <v>35</v>
      </c>
      <c r="C55" s="20" t="s">
        <v>243</v>
      </c>
      <c r="D55" s="20">
        <v>160090004</v>
      </c>
      <c r="E55" s="20" t="s">
        <v>737</v>
      </c>
      <c r="F55" s="20" t="s">
        <v>797</v>
      </c>
      <c r="G55" s="20" t="s">
        <v>798</v>
      </c>
      <c r="H55" s="29">
        <v>0</v>
      </c>
      <c r="I55" s="30">
        <v>2021</v>
      </c>
      <c r="J55" s="30">
        <v>4</v>
      </c>
      <c r="K55" s="30">
        <v>3502</v>
      </c>
      <c r="L55" s="20" t="s">
        <v>244</v>
      </c>
      <c r="M55" s="30">
        <v>3502045</v>
      </c>
      <c r="N55" s="20" t="s">
        <v>268</v>
      </c>
      <c r="O55" s="20" t="s">
        <v>269</v>
      </c>
      <c r="P55" s="20" t="s">
        <v>40</v>
      </c>
      <c r="Q55" s="30">
        <v>350204500</v>
      </c>
      <c r="R55" s="20" t="s">
        <v>100</v>
      </c>
      <c r="S55" s="20" t="s">
        <v>18</v>
      </c>
      <c r="T55" s="30">
        <v>4.4000000000000004</v>
      </c>
      <c r="U55" s="20" t="s">
        <v>210</v>
      </c>
      <c r="V55" s="22" t="s">
        <v>636</v>
      </c>
      <c r="W55" s="22">
        <v>60</v>
      </c>
      <c r="X55" s="22">
        <v>15</v>
      </c>
      <c r="Y55" s="22">
        <v>15</v>
      </c>
      <c r="Z55" s="22">
        <v>15</v>
      </c>
      <c r="AA55" s="22">
        <v>15</v>
      </c>
      <c r="AB55" s="22">
        <v>16</v>
      </c>
      <c r="AC55" s="34">
        <v>100</v>
      </c>
    </row>
    <row r="56" spans="1:29" ht="15" hidden="1" customHeight="1" x14ac:dyDescent="0.3">
      <c r="A56" s="20" t="s">
        <v>742</v>
      </c>
      <c r="B56" s="20">
        <v>35</v>
      </c>
      <c r="C56" s="20" t="s">
        <v>243</v>
      </c>
      <c r="D56" s="20">
        <v>160090004</v>
      </c>
      <c r="E56" s="20" t="s">
        <v>737</v>
      </c>
      <c r="F56" s="20" t="s">
        <v>797</v>
      </c>
      <c r="G56" s="20" t="s">
        <v>798</v>
      </c>
      <c r="H56" s="29">
        <v>0</v>
      </c>
      <c r="I56" s="30">
        <v>2021</v>
      </c>
      <c r="J56" s="30">
        <v>4</v>
      </c>
      <c r="K56" s="30">
        <v>3502</v>
      </c>
      <c r="L56" s="20" t="s">
        <v>244</v>
      </c>
      <c r="M56" s="30">
        <v>3502046</v>
      </c>
      <c r="N56" s="20" t="s">
        <v>270</v>
      </c>
      <c r="O56" s="20" t="s">
        <v>271</v>
      </c>
      <c r="P56" s="20" t="s">
        <v>229</v>
      </c>
      <c r="Q56" s="30">
        <v>350204600</v>
      </c>
      <c r="R56" s="20" t="s">
        <v>272</v>
      </c>
      <c r="S56" s="20" t="s">
        <v>18</v>
      </c>
      <c r="T56" s="30">
        <v>8.9</v>
      </c>
      <c r="U56" s="20" t="s">
        <v>210</v>
      </c>
      <c r="V56" s="22">
        <v>1</v>
      </c>
      <c r="W56" s="22">
        <v>7</v>
      </c>
      <c r="X56" s="22">
        <v>1</v>
      </c>
      <c r="Y56" s="22">
        <v>2</v>
      </c>
      <c r="Z56" s="22">
        <v>2</v>
      </c>
      <c r="AA56" s="22">
        <v>2</v>
      </c>
      <c r="AB56" s="22">
        <v>4</v>
      </c>
      <c r="AC56" s="34">
        <v>100</v>
      </c>
    </row>
    <row r="57" spans="1:29" ht="15" hidden="1" customHeight="1" x14ac:dyDescent="0.3">
      <c r="A57" s="20" t="s">
        <v>742</v>
      </c>
      <c r="B57" s="20">
        <v>36</v>
      </c>
      <c r="C57" s="20" t="s">
        <v>154</v>
      </c>
      <c r="D57" s="20">
        <v>160090003</v>
      </c>
      <c r="E57" s="20" t="s">
        <v>730</v>
      </c>
      <c r="F57" s="20" t="s">
        <v>797</v>
      </c>
      <c r="G57" s="20" t="s">
        <v>798</v>
      </c>
      <c r="H57" s="29">
        <v>3</v>
      </c>
      <c r="I57" s="30">
        <v>2023</v>
      </c>
      <c r="J57" s="30">
        <v>3</v>
      </c>
      <c r="K57" s="30">
        <v>3602</v>
      </c>
      <c r="L57" s="20" t="s">
        <v>304</v>
      </c>
      <c r="M57" s="30">
        <v>3602017</v>
      </c>
      <c r="N57" s="20" t="s">
        <v>305</v>
      </c>
      <c r="O57" s="20" t="s">
        <v>306</v>
      </c>
      <c r="P57" s="20" t="s">
        <v>307</v>
      </c>
      <c r="Q57" s="30">
        <v>360201701</v>
      </c>
      <c r="R57" s="20" t="s">
        <v>308</v>
      </c>
      <c r="S57" s="20" t="s">
        <v>18</v>
      </c>
      <c r="T57" s="30">
        <v>8.3000000000000007</v>
      </c>
      <c r="U57" s="20" t="s">
        <v>210</v>
      </c>
      <c r="V57" s="22">
        <v>0</v>
      </c>
      <c r="W57" s="22">
        <v>70</v>
      </c>
      <c r="X57" s="22">
        <v>40</v>
      </c>
      <c r="Y57" s="22">
        <v>10</v>
      </c>
      <c r="Z57" s="22">
        <v>10</v>
      </c>
      <c r="AA57" s="22">
        <v>10</v>
      </c>
      <c r="AB57" s="22">
        <v>40</v>
      </c>
      <c r="AC57" s="34">
        <v>100</v>
      </c>
    </row>
    <row r="58" spans="1:29" ht="15" hidden="1" customHeight="1" x14ac:dyDescent="0.3">
      <c r="A58" s="20" t="s">
        <v>742</v>
      </c>
      <c r="B58" s="20">
        <v>36</v>
      </c>
      <c r="C58" s="20" t="s">
        <v>154</v>
      </c>
      <c r="D58" s="20">
        <v>160090003</v>
      </c>
      <c r="E58" s="20" t="s">
        <v>730</v>
      </c>
      <c r="F58" s="20" t="s">
        <v>797</v>
      </c>
      <c r="G58" s="20" t="s">
        <v>798</v>
      </c>
      <c r="H58" s="29">
        <v>3</v>
      </c>
      <c r="I58" s="30">
        <v>2023</v>
      </c>
      <c r="J58" s="30">
        <v>3</v>
      </c>
      <c r="K58" s="30">
        <v>3602</v>
      </c>
      <c r="L58" s="20" t="s">
        <v>304</v>
      </c>
      <c r="M58" s="30">
        <v>3602006</v>
      </c>
      <c r="N58" s="20" t="s">
        <v>315</v>
      </c>
      <c r="O58" s="20" t="s">
        <v>316</v>
      </c>
      <c r="P58" s="20" t="s">
        <v>40</v>
      </c>
      <c r="Q58" s="30">
        <v>360200603</v>
      </c>
      <c r="R58" s="20" t="s">
        <v>317</v>
      </c>
      <c r="S58" s="20" t="s">
        <v>18</v>
      </c>
      <c r="T58" s="30">
        <v>8.5</v>
      </c>
      <c r="U58" s="20" t="s">
        <v>19</v>
      </c>
      <c r="V58" s="22">
        <v>1</v>
      </c>
      <c r="W58" s="22">
        <v>4</v>
      </c>
      <c r="X58" s="22">
        <v>1</v>
      </c>
      <c r="Y58" s="22">
        <v>1</v>
      </c>
      <c r="Z58" s="22">
        <v>1</v>
      </c>
      <c r="AA58" s="22">
        <v>1</v>
      </c>
      <c r="AB58" s="22">
        <v>2</v>
      </c>
      <c r="AC58" s="34">
        <v>100</v>
      </c>
    </row>
    <row r="59" spans="1:29" ht="15" hidden="1" customHeight="1" x14ac:dyDescent="0.3">
      <c r="A59" s="20" t="s">
        <v>742</v>
      </c>
      <c r="B59" s="20">
        <v>36</v>
      </c>
      <c r="C59" s="20" t="s">
        <v>154</v>
      </c>
      <c r="D59" s="20">
        <v>160020005</v>
      </c>
      <c r="E59" s="20" t="s">
        <v>717</v>
      </c>
      <c r="F59" s="20" t="s">
        <v>799</v>
      </c>
      <c r="G59" s="20" t="s">
        <v>712</v>
      </c>
      <c r="H59" s="29" t="s">
        <v>800</v>
      </c>
      <c r="I59" s="30" t="s">
        <v>800</v>
      </c>
      <c r="J59" s="30">
        <v>0</v>
      </c>
      <c r="K59" s="30">
        <v>3604</v>
      </c>
      <c r="L59" s="20" t="s">
        <v>155</v>
      </c>
      <c r="M59" s="30">
        <v>3604020</v>
      </c>
      <c r="N59" s="20" t="s">
        <v>326</v>
      </c>
      <c r="O59" s="20" t="s">
        <v>327</v>
      </c>
      <c r="P59" s="20" t="s">
        <v>40</v>
      </c>
      <c r="Q59" s="30">
        <v>360402000</v>
      </c>
      <c r="R59" s="20" t="s">
        <v>100</v>
      </c>
      <c r="S59" s="20" t="s">
        <v>18</v>
      </c>
      <c r="T59" s="30">
        <v>8.6999999999999993</v>
      </c>
      <c r="U59" s="20" t="s">
        <v>19</v>
      </c>
      <c r="V59" s="22">
        <v>200</v>
      </c>
      <c r="W59" s="22">
        <v>400</v>
      </c>
      <c r="X59" s="22">
        <v>100</v>
      </c>
      <c r="Y59" s="22">
        <v>100</v>
      </c>
      <c r="Z59" s="22">
        <v>100</v>
      </c>
      <c r="AA59" s="22">
        <v>100</v>
      </c>
      <c r="AB59" s="22">
        <v>136</v>
      </c>
      <c r="AC59" s="34">
        <v>100</v>
      </c>
    </row>
    <row r="60" spans="1:29" ht="15" hidden="1" customHeight="1" x14ac:dyDescent="0.3">
      <c r="A60" s="20" t="s">
        <v>742</v>
      </c>
      <c r="B60" s="20">
        <v>36</v>
      </c>
      <c r="C60" s="20" t="s">
        <v>154</v>
      </c>
      <c r="D60" s="24">
        <v>20100040</v>
      </c>
      <c r="E60" s="20" t="s">
        <v>763</v>
      </c>
      <c r="F60" s="20" t="s">
        <v>719</v>
      </c>
      <c r="G60" s="20" t="s">
        <v>780</v>
      </c>
      <c r="H60" s="29">
        <v>0</v>
      </c>
      <c r="I60" s="30">
        <v>2021</v>
      </c>
      <c r="J60" s="30">
        <v>0</v>
      </c>
      <c r="K60" s="30">
        <v>3601</v>
      </c>
      <c r="L60" s="20" t="s">
        <v>328</v>
      </c>
      <c r="M60" s="30">
        <v>3601012</v>
      </c>
      <c r="N60" s="20" t="s">
        <v>329</v>
      </c>
      <c r="O60" s="20" t="s">
        <v>330</v>
      </c>
      <c r="P60" s="20" t="s">
        <v>331</v>
      </c>
      <c r="Q60" s="30">
        <v>360101200</v>
      </c>
      <c r="R60" s="20" t="s">
        <v>332</v>
      </c>
      <c r="S60" s="20" t="s">
        <v>18</v>
      </c>
      <c r="T60" s="30">
        <v>1.3</v>
      </c>
      <c r="U60" s="20" t="s">
        <v>770</v>
      </c>
      <c r="V60" s="22">
        <v>1500</v>
      </c>
      <c r="W60" s="22">
        <v>1600</v>
      </c>
      <c r="X60" s="22">
        <v>400</v>
      </c>
      <c r="Y60" s="22">
        <v>400</v>
      </c>
      <c r="Z60" s="22">
        <v>400</v>
      </c>
      <c r="AA60" s="22">
        <v>400</v>
      </c>
      <c r="AB60" s="22">
        <v>416</v>
      </c>
      <c r="AC60" s="34">
        <v>100</v>
      </c>
    </row>
    <row r="61" spans="1:29" ht="15" hidden="1" customHeight="1" x14ac:dyDescent="0.3">
      <c r="A61" s="20" t="s">
        <v>742</v>
      </c>
      <c r="B61" s="20">
        <v>21</v>
      </c>
      <c r="C61" s="20" t="s">
        <v>64</v>
      </c>
      <c r="D61" s="20">
        <v>110150001</v>
      </c>
      <c r="E61" s="20" t="s">
        <v>718</v>
      </c>
      <c r="F61" s="20" t="s">
        <v>719</v>
      </c>
      <c r="G61" s="20" t="s">
        <v>783</v>
      </c>
      <c r="H61" s="29">
        <v>19.034400000000002</v>
      </c>
      <c r="I61" s="30">
        <v>2017</v>
      </c>
      <c r="J61" s="30">
        <v>17</v>
      </c>
      <c r="K61" s="30">
        <v>2105</v>
      </c>
      <c r="L61" s="20" t="s">
        <v>333</v>
      </c>
      <c r="M61" s="30">
        <v>2105019</v>
      </c>
      <c r="N61" s="20" t="s">
        <v>334</v>
      </c>
      <c r="O61" s="20" t="s">
        <v>335</v>
      </c>
      <c r="P61" s="20" t="s">
        <v>40</v>
      </c>
      <c r="Q61" s="30">
        <v>210501900</v>
      </c>
      <c r="R61" s="20" t="s">
        <v>336</v>
      </c>
      <c r="S61" s="20" t="s">
        <v>18</v>
      </c>
      <c r="T61" s="30">
        <v>12.2</v>
      </c>
      <c r="U61" s="20" t="s">
        <v>19</v>
      </c>
      <c r="V61" s="22" t="s">
        <v>636</v>
      </c>
      <c r="W61" s="22">
        <v>450</v>
      </c>
      <c r="X61" s="22">
        <v>50</v>
      </c>
      <c r="Y61" s="22">
        <v>100</v>
      </c>
      <c r="Z61" s="22">
        <v>150</v>
      </c>
      <c r="AA61" s="22">
        <v>150</v>
      </c>
      <c r="AB61" s="22">
        <v>54</v>
      </c>
      <c r="AC61" s="34">
        <v>100</v>
      </c>
    </row>
    <row r="62" spans="1:29" ht="15" hidden="1" customHeight="1" x14ac:dyDescent="0.3">
      <c r="A62" s="20" t="s">
        <v>742</v>
      </c>
      <c r="B62" s="20">
        <v>35</v>
      </c>
      <c r="C62" s="20" t="s">
        <v>243</v>
      </c>
      <c r="D62" s="20">
        <v>160090004</v>
      </c>
      <c r="E62" s="20" t="s">
        <v>737</v>
      </c>
      <c r="F62" s="20" t="s">
        <v>797</v>
      </c>
      <c r="G62" s="20" t="s">
        <v>798</v>
      </c>
      <c r="H62" s="29">
        <v>0</v>
      </c>
      <c r="I62" s="30">
        <v>2021</v>
      </c>
      <c r="J62" s="30">
        <v>4</v>
      </c>
      <c r="K62" s="30">
        <v>3502</v>
      </c>
      <c r="L62" s="20" t="s">
        <v>244</v>
      </c>
      <c r="M62" s="30">
        <v>3502047</v>
      </c>
      <c r="N62" s="20" t="s">
        <v>95</v>
      </c>
      <c r="O62" s="20" t="s">
        <v>337</v>
      </c>
      <c r="P62" s="20" t="s">
        <v>26</v>
      </c>
      <c r="Q62" s="30">
        <v>350204700</v>
      </c>
      <c r="R62" s="20" t="s">
        <v>338</v>
      </c>
      <c r="S62" s="20" t="s">
        <v>18</v>
      </c>
      <c r="T62" s="30">
        <v>8.1999999999999993</v>
      </c>
      <c r="U62" s="20" t="s">
        <v>210</v>
      </c>
      <c r="V62" s="22">
        <v>0</v>
      </c>
      <c r="W62" s="22">
        <v>1</v>
      </c>
      <c r="X62" s="22">
        <v>0</v>
      </c>
      <c r="Y62" s="22">
        <v>1</v>
      </c>
      <c r="Z62" s="22">
        <v>0</v>
      </c>
      <c r="AA62" s="22">
        <v>0</v>
      </c>
      <c r="AB62" s="22">
        <v>1</v>
      </c>
      <c r="AC62" s="34"/>
    </row>
    <row r="63" spans="1:29" ht="15" hidden="1" customHeight="1" x14ac:dyDescent="0.3">
      <c r="A63" s="35" t="s">
        <v>742</v>
      </c>
      <c r="B63" s="20">
        <v>21</v>
      </c>
      <c r="C63" s="20" t="s">
        <v>64</v>
      </c>
      <c r="D63" s="20">
        <v>110150001</v>
      </c>
      <c r="E63" s="20" t="s">
        <v>718</v>
      </c>
      <c r="F63" s="20" t="s">
        <v>719</v>
      </c>
      <c r="G63" s="20" t="s">
        <v>783</v>
      </c>
      <c r="H63" s="29">
        <v>19.034400000000002</v>
      </c>
      <c r="I63" s="30">
        <v>2017</v>
      </c>
      <c r="J63" s="30">
        <v>17</v>
      </c>
      <c r="K63" s="30">
        <v>2104</v>
      </c>
      <c r="L63" s="20" t="s">
        <v>72</v>
      </c>
      <c r="M63" s="30">
        <v>2104024</v>
      </c>
      <c r="N63" s="20" t="s">
        <v>343</v>
      </c>
      <c r="O63" s="20" t="s">
        <v>344</v>
      </c>
      <c r="P63" s="20" t="s">
        <v>40</v>
      </c>
      <c r="Q63" s="30">
        <v>210402400</v>
      </c>
      <c r="R63" s="20" t="s">
        <v>100</v>
      </c>
      <c r="S63" s="20" t="s">
        <v>18</v>
      </c>
      <c r="T63" s="30">
        <v>4.4000000000000004</v>
      </c>
      <c r="U63" s="20" t="s">
        <v>19</v>
      </c>
      <c r="V63" s="22" t="s">
        <v>636</v>
      </c>
      <c r="W63" s="22">
        <v>90</v>
      </c>
      <c r="X63" s="22">
        <v>0</v>
      </c>
      <c r="Y63" s="22">
        <v>30</v>
      </c>
      <c r="Z63" s="22">
        <v>30</v>
      </c>
      <c r="AA63" s="22">
        <v>30</v>
      </c>
      <c r="AB63" s="22">
        <v>28</v>
      </c>
      <c r="AC63" s="34"/>
    </row>
    <row r="64" spans="1:29" ht="15" hidden="1" customHeight="1" x14ac:dyDescent="0.3">
      <c r="A64" s="20" t="s">
        <v>743</v>
      </c>
      <c r="B64" s="20">
        <v>17</v>
      </c>
      <c r="C64" s="20" t="s">
        <v>208</v>
      </c>
      <c r="D64" s="20">
        <v>120060005</v>
      </c>
      <c r="E64" s="20" t="s">
        <v>678</v>
      </c>
      <c r="F64" s="20" t="s">
        <v>679</v>
      </c>
      <c r="G64" s="20" t="s">
        <v>784</v>
      </c>
      <c r="H64" s="29">
        <v>22.276399999999999</v>
      </c>
      <c r="I64" s="30">
        <v>2014</v>
      </c>
      <c r="J64" s="30">
        <v>50</v>
      </c>
      <c r="K64" s="30">
        <v>1707</v>
      </c>
      <c r="L64" s="20" t="s">
        <v>211</v>
      </c>
      <c r="M64" s="30">
        <v>1707024</v>
      </c>
      <c r="N64" s="20" t="s">
        <v>212</v>
      </c>
      <c r="O64" s="20" t="s">
        <v>213</v>
      </c>
      <c r="P64" s="20" t="s">
        <v>214</v>
      </c>
      <c r="Q64" s="30">
        <v>170702400</v>
      </c>
      <c r="R64" s="20" t="s">
        <v>215</v>
      </c>
      <c r="S64" s="20" t="s">
        <v>18</v>
      </c>
      <c r="T64" s="30" t="s">
        <v>594</v>
      </c>
      <c r="U64" s="20" t="s">
        <v>210</v>
      </c>
      <c r="V64" s="22">
        <v>500</v>
      </c>
      <c r="W64" s="22">
        <v>560</v>
      </c>
      <c r="X64" s="22">
        <v>140</v>
      </c>
      <c r="Y64" s="22">
        <v>140</v>
      </c>
      <c r="Z64" s="22">
        <v>140</v>
      </c>
      <c r="AA64" s="22">
        <v>140</v>
      </c>
      <c r="AB64" s="22">
        <v>71</v>
      </c>
      <c r="AC64" s="36">
        <v>50.714285714285708</v>
      </c>
    </row>
    <row r="65" spans="1:29" ht="15" hidden="1" customHeight="1" x14ac:dyDescent="0.3">
      <c r="A65" s="20" t="s">
        <v>743</v>
      </c>
      <c r="B65" s="20">
        <v>32</v>
      </c>
      <c r="C65" s="20" t="s">
        <v>216</v>
      </c>
      <c r="D65" s="20">
        <v>110070013</v>
      </c>
      <c r="E65" s="20" t="s">
        <v>714</v>
      </c>
      <c r="F65" s="20" t="s">
        <v>715</v>
      </c>
      <c r="G65" s="20" t="s">
        <v>785</v>
      </c>
      <c r="H65" s="29" t="s">
        <v>803</v>
      </c>
      <c r="I65" s="30" t="s">
        <v>803</v>
      </c>
      <c r="J65" s="30">
        <v>1</v>
      </c>
      <c r="K65" s="30">
        <v>3202</v>
      </c>
      <c r="L65" s="20" t="s">
        <v>217</v>
      </c>
      <c r="M65" s="30">
        <v>3202014</v>
      </c>
      <c r="N65" s="20" t="s">
        <v>218</v>
      </c>
      <c r="O65" s="20" t="s">
        <v>219</v>
      </c>
      <c r="P65" s="20" t="s">
        <v>40</v>
      </c>
      <c r="Q65" s="30">
        <v>320201402</v>
      </c>
      <c r="R65" s="20" t="s">
        <v>220</v>
      </c>
      <c r="S65" s="20" t="s">
        <v>18</v>
      </c>
      <c r="T65" s="30">
        <v>12.8</v>
      </c>
      <c r="U65" s="20" t="s">
        <v>210</v>
      </c>
      <c r="V65" s="22">
        <v>8</v>
      </c>
      <c r="W65" s="22">
        <v>8</v>
      </c>
      <c r="X65" s="22">
        <v>2</v>
      </c>
      <c r="Y65" s="22">
        <v>2</v>
      </c>
      <c r="Z65" s="22">
        <v>2</v>
      </c>
      <c r="AA65" s="22">
        <v>2</v>
      </c>
      <c r="AB65" s="22">
        <v>2</v>
      </c>
      <c r="AC65" s="36">
        <v>100</v>
      </c>
    </row>
    <row r="66" spans="1:29" ht="15" hidden="1" customHeight="1" x14ac:dyDescent="0.3">
      <c r="A66" s="20" t="s">
        <v>743</v>
      </c>
      <c r="B66" s="20">
        <v>17</v>
      </c>
      <c r="C66" s="20" t="s">
        <v>208</v>
      </c>
      <c r="D66" s="20">
        <v>120060005</v>
      </c>
      <c r="E66" s="20" t="s">
        <v>678</v>
      </c>
      <c r="F66" s="20" t="s">
        <v>679</v>
      </c>
      <c r="G66" s="20" t="s">
        <v>784</v>
      </c>
      <c r="H66" s="29">
        <v>22.276399999999999</v>
      </c>
      <c r="I66" s="30">
        <v>2014</v>
      </c>
      <c r="J66" s="30">
        <v>50</v>
      </c>
      <c r="K66" s="30">
        <v>1708</v>
      </c>
      <c r="L66" s="20" t="s">
        <v>231</v>
      </c>
      <c r="M66" s="30">
        <v>1708041</v>
      </c>
      <c r="N66" s="20" t="s">
        <v>232</v>
      </c>
      <c r="O66" s="20" t="s">
        <v>233</v>
      </c>
      <c r="P66" s="20" t="s">
        <v>234</v>
      </c>
      <c r="Q66" s="30">
        <v>170804100</v>
      </c>
      <c r="R66" s="20" t="s">
        <v>235</v>
      </c>
      <c r="S66" s="20" t="s">
        <v>18</v>
      </c>
      <c r="T66" s="30" t="s">
        <v>588</v>
      </c>
      <c r="U66" s="20" t="s">
        <v>210</v>
      </c>
      <c r="V66" s="22">
        <v>200</v>
      </c>
      <c r="W66" s="22">
        <v>400</v>
      </c>
      <c r="X66" s="22">
        <v>100</v>
      </c>
      <c r="Y66" s="22">
        <v>100</v>
      </c>
      <c r="Z66" s="22">
        <v>100</v>
      </c>
      <c r="AA66" s="22">
        <v>100</v>
      </c>
      <c r="AB66" s="22">
        <v>70</v>
      </c>
      <c r="AC66" s="36">
        <v>70</v>
      </c>
    </row>
    <row r="67" spans="1:29" ht="15" hidden="1" customHeight="1" x14ac:dyDescent="0.3">
      <c r="A67" s="20" t="s">
        <v>743</v>
      </c>
      <c r="B67" s="20">
        <v>17</v>
      </c>
      <c r="C67" s="20" t="s">
        <v>208</v>
      </c>
      <c r="D67" s="20">
        <v>120040010</v>
      </c>
      <c r="E67" s="20" t="s">
        <v>680</v>
      </c>
      <c r="F67" s="20" t="s">
        <v>18</v>
      </c>
      <c r="G67" s="20" t="s">
        <v>784</v>
      </c>
      <c r="H67" s="29">
        <v>615</v>
      </c>
      <c r="I67" s="30">
        <v>2014</v>
      </c>
      <c r="J67" s="30">
        <v>680</v>
      </c>
      <c r="K67" s="30">
        <v>1702</v>
      </c>
      <c r="L67" s="20" t="s">
        <v>209</v>
      </c>
      <c r="M67" s="30">
        <v>1702011</v>
      </c>
      <c r="N67" s="20" t="s">
        <v>261</v>
      </c>
      <c r="O67" s="20" t="s">
        <v>262</v>
      </c>
      <c r="P67" s="20" t="s">
        <v>263</v>
      </c>
      <c r="Q67" s="30">
        <v>170201100</v>
      </c>
      <c r="R67" s="20" t="s">
        <v>264</v>
      </c>
      <c r="S67" s="20" t="s">
        <v>18</v>
      </c>
      <c r="T67" s="30">
        <v>2.2999999999999998</v>
      </c>
      <c r="U67" s="20" t="s">
        <v>210</v>
      </c>
      <c r="V67" s="22">
        <v>1</v>
      </c>
      <c r="W67" s="22">
        <v>4</v>
      </c>
      <c r="X67" s="22">
        <v>1</v>
      </c>
      <c r="Y67" s="22">
        <v>1</v>
      </c>
      <c r="Z67" s="22">
        <v>1</v>
      </c>
      <c r="AA67" s="22">
        <v>1</v>
      </c>
      <c r="AB67" s="22">
        <v>2</v>
      </c>
      <c r="AC67" s="34">
        <v>100</v>
      </c>
    </row>
    <row r="68" spans="1:29" ht="15" hidden="1" customHeight="1" x14ac:dyDescent="0.3">
      <c r="A68" s="20" t="s">
        <v>743</v>
      </c>
      <c r="B68" s="20">
        <v>17</v>
      </c>
      <c r="C68" s="20" t="s">
        <v>208</v>
      </c>
      <c r="D68" s="20">
        <v>120060005</v>
      </c>
      <c r="E68" s="20" t="s">
        <v>678</v>
      </c>
      <c r="F68" s="20" t="s">
        <v>679</v>
      </c>
      <c r="G68" s="20" t="s">
        <v>784</v>
      </c>
      <c r="H68" s="29">
        <v>22.276399999999999</v>
      </c>
      <c r="I68" s="30">
        <v>2014</v>
      </c>
      <c r="J68" s="30">
        <v>50</v>
      </c>
      <c r="K68" s="30">
        <v>1707</v>
      </c>
      <c r="L68" s="20" t="s">
        <v>211</v>
      </c>
      <c r="M68" s="30">
        <v>1707042</v>
      </c>
      <c r="N68" s="20" t="s">
        <v>276</v>
      </c>
      <c r="O68" s="20" t="s">
        <v>277</v>
      </c>
      <c r="P68" s="20" t="s">
        <v>278</v>
      </c>
      <c r="Q68" s="30">
        <v>170704200</v>
      </c>
      <c r="R68" s="20" t="s">
        <v>279</v>
      </c>
      <c r="S68" s="20" t="s">
        <v>18</v>
      </c>
      <c r="T68" s="30" t="s">
        <v>594</v>
      </c>
      <c r="U68" s="20" t="s">
        <v>210</v>
      </c>
      <c r="V68" s="22">
        <v>5000</v>
      </c>
      <c r="W68" s="22">
        <v>14400</v>
      </c>
      <c r="X68" s="22">
        <v>3600</v>
      </c>
      <c r="Y68" s="22">
        <v>3600</v>
      </c>
      <c r="Z68" s="22">
        <v>3600</v>
      </c>
      <c r="AA68" s="22">
        <v>3600</v>
      </c>
      <c r="AB68" s="22">
        <v>3600</v>
      </c>
      <c r="AC68" s="36">
        <v>100</v>
      </c>
    </row>
    <row r="69" spans="1:29" ht="15" hidden="1" customHeight="1" x14ac:dyDescent="0.3">
      <c r="A69" s="20" t="s">
        <v>743</v>
      </c>
      <c r="B69" s="20">
        <v>32</v>
      </c>
      <c r="C69" s="20" t="s">
        <v>216</v>
      </c>
      <c r="D69" s="20">
        <v>110130003</v>
      </c>
      <c r="E69" s="20" t="s">
        <v>731</v>
      </c>
      <c r="F69" s="20" t="s">
        <v>732</v>
      </c>
      <c r="G69" s="20" t="s">
        <v>786</v>
      </c>
      <c r="H69" s="29">
        <v>27626016</v>
      </c>
      <c r="I69" s="30">
        <v>2020</v>
      </c>
      <c r="J69" s="30">
        <v>812000000</v>
      </c>
      <c r="K69" s="30">
        <v>3203</v>
      </c>
      <c r="L69" s="20" t="s">
        <v>286</v>
      </c>
      <c r="M69" s="31">
        <v>3203036</v>
      </c>
      <c r="N69" s="20" t="s">
        <v>668</v>
      </c>
      <c r="O69" s="20" t="s">
        <v>670</v>
      </c>
      <c r="P69" s="20" t="s">
        <v>31</v>
      </c>
      <c r="Q69" s="31">
        <v>320303600</v>
      </c>
      <c r="R69" s="20" t="s">
        <v>669</v>
      </c>
      <c r="S69" s="20" t="s">
        <v>18</v>
      </c>
      <c r="T69" s="30">
        <v>6.2</v>
      </c>
      <c r="U69" s="20" t="s">
        <v>207</v>
      </c>
      <c r="V69" s="22">
        <v>0</v>
      </c>
      <c r="W69" s="22">
        <v>14</v>
      </c>
      <c r="X69" s="22">
        <v>2</v>
      </c>
      <c r="Y69" s="22">
        <v>4</v>
      </c>
      <c r="Z69" s="22">
        <v>4</v>
      </c>
      <c r="AA69" s="22">
        <v>4</v>
      </c>
      <c r="AB69" s="22">
        <v>2</v>
      </c>
      <c r="AC69" s="36">
        <v>100</v>
      </c>
    </row>
    <row r="70" spans="1:29" ht="15" hidden="1" customHeight="1" x14ac:dyDescent="0.3">
      <c r="A70" s="20" t="s">
        <v>743</v>
      </c>
      <c r="B70" s="20">
        <v>32</v>
      </c>
      <c r="C70" s="20" t="s">
        <v>216</v>
      </c>
      <c r="D70" s="20">
        <v>110070013</v>
      </c>
      <c r="E70" s="20" t="s">
        <v>714</v>
      </c>
      <c r="F70" s="20" t="s">
        <v>715</v>
      </c>
      <c r="G70" s="20" t="s">
        <v>785</v>
      </c>
      <c r="H70" s="29" t="s">
        <v>803</v>
      </c>
      <c r="I70" s="30" t="s">
        <v>803</v>
      </c>
      <c r="J70" s="30">
        <v>1</v>
      </c>
      <c r="K70" s="30">
        <v>3202</v>
      </c>
      <c r="L70" s="20" t="s">
        <v>217</v>
      </c>
      <c r="M70" s="30">
        <v>3202037</v>
      </c>
      <c r="N70" s="20" t="s">
        <v>295</v>
      </c>
      <c r="O70" s="20" t="s">
        <v>296</v>
      </c>
      <c r="P70" s="20" t="s">
        <v>297</v>
      </c>
      <c r="Q70" s="30">
        <v>320203700</v>
      </c>
      <c r="R70" s="20" t="s">
        <v>298</v>
      </c>
      <c r="S70" s="20" t="s">
        <v>299</v>
      </c>
      <c r="T70" s="30">
        <v>6.6</v>
      </c>
      <c r="U70" s="20" t="s">
        <v>210</v>
      </c>
      <c r="V70" s="22">
        <v>1</v>
      </c>
      <c r="W70" s="22">
        <v>5</v>
      </c>
      <c r="X70" s="22">
        <v>0</v>
      </c>
      <c r="Y70" s="22">
        <v>5</v>
      </c>
      <c r="Z70" s="22">
        <v>0</v>
      </c>
      <c r="AA70" s="22">
        <v>0</v>
      </c>
      <c r="AB70" s="22">
        <v>1</v>
      </c>
      <c r="AC70" s="36"/>
    </row>
    <row r="71" spans="1:29" ht="15" hidden="1" customHeight="1" x14ac:dyDescent="0.3">
      <c r="A71" s="20" t="s">
        <v>743</v>
      </c>
      <c r="B71" s="20">
        <v>32</v>
      </c>
      <c r="C71" s="20" t="s">
        <v>216</v>
      </c>
      <c r="D71" s="20">
        <v>110070013</v>
      </c>
      <c r="E71" s="20" t="s">
        <v>714</v>
      </c>
      <c r="F71" s="20" t="s">
        <v>715</v>
      </c>
      <c r="G71" s="20" t="s">
        <v>785</v>
      </c>
      <c r="H71" s="29" t="s">
        <v>803</v>
      </c>
      <c r="I71" s="30" t="s">
        <v>803</v>
      </c>
      <c r="J71" s="30">
        <v>1</v>
      </c>
      <c r="K71" s="30">
        <v>3208</v>
      </c>
      <c r="L71" s="20" t="s">
        <v>385</v>
      </c>
      <c r="M71" s="30">
        <v>3208010</v>
      </c>
      <c r="N71" s="20" t="s">
        <v>386</v>
      </c>
      <c r="O71" s="20" t="s">
        <v>387</v>
      </c>
      <c r="P71" s="20" t="s">
        <v>40</v>
      </c>
      <c r="Q71" s="30">
        <v>320801000</v>
      </c>
      <c r="R71" s="20" t="s">
        <v>100</v>
      </c>
      <c r="S71" s="20" t="s">
        <v>18</v>
      </c>
      <c r="T71" s="30">
        <v>12.8</v>
      </c>
      <c r="U71" s="20" t="s">
        <v>210</v>
      </c>
      <c r="V71" s="22" t="s">
        <v>636</v>
      </c>
      <c r="W71" s="22">
        <v>600</v>
      </c>
      <c r="X71" s="22">
        <v>150</v>
      </c>
      <c r="Y71" s="22">
        <v>150</v>
      </c>
      <c r="Z71" s="22">
        <v>150</v>
      </c>
      <c r="AA71" s="22">
        <v>150</v>
      </c>
      <c r="AB71" s="22">
        <v>160</v>
      </c>
      <c r="AC71" s="34">
        <v>100</v>
      </c>
    </row>
    <row r="72" spans="1:29" ht="15" hidden="1" customHeight="1" x14ac:dyDescent="0.3">
      <c r="A72" s="20" t="s">
        <v>743</v>
      </c>
      <c r="B72" s="20">
        <v>17</v>
      </c>
      <c r="C72" s="20" t="s">
        <v>208</v>
      </c>
      <c r="D72" s="20">
        <v>120060005</v>
      </c>
      <c r="E72" s="20" t="s">
        <v>678</v>
      </c>
      <c r="F72" s="20" t="s">
        <v>679</v>
      </c>
      <c r="G72" s="20" t="s">
        <v>784</v>
      </c>
      <c r="H72" s="29">
        <v>22.276399999999999</v>
      </c>
      <c r="I72" s="30">
        <v>2014</v>
      </c>
      <c r="J72" s="30">
        <v>50</v>
      </c>
      <c r="K72" s="30">
        <v>1702</v>
      </c>
      <c r="L72" s="20" t="s">
        <v>209</v>
      </c>
      <c r="M72" s="30">
        <v>1702038</v>
      </c>
      <c r="N72" s="20" t="s">
        <v>457</v>
      </c>
      <c r="O72" s="20" t="s">
        <v>458</v>
      </c>
      <c r="P72" s="20" t="s">
        <v>459</v>
      </c>
      <c r="Q72" s="30">
        <v>170203805</v>
      </c>
      <c r="R72" s="20" t="s">
        <v>460</v>
      </c>
      <c r="S72" s="20" t="s">
        <v>18</v>
      </c>
      <c r="T72" s="30" t="s">
        <v>596</v>
      </c>
      <c r="U72" s="20" t="s">
        <v>210</v>
      </c>
      <c r="V72" s="22">
        <v>15</v>
      </c>
      <c r="W72" s="22">
        <v>39</v>
      </c>
      <c r="X72" s="22">
        <v>6</v>
      </c>
      <c r="Y72" s="22">
        <v>11</v>
      </c>
      <c r="Z72" s="22">
        <v>11</v>
      </c>
      <c r="AA72" s="22">
        <v>11</v>
      </c>
      <c r="AB72" s="22">
        <v>7</v>
      </c>
      <c r="AC72" s="34">
        <v>100</v>
      </c>
    </row>
    <row r="73" spans="1:29" ht="15" hidden="1" customHeight="1" x14ac:dyDescent="0.3">
      <c r="A73" s="20" t="s">
        <v>743</v>
      </c>
      <c r="B73" s="20">
        <v>32</v>
      </c>
      <c r="C73" s="20" t="s">
        <v>216</v>
      </c>
      <c r="D73" s="20">
        <v>110070013</v>
      </c>
      <c r="E73" s="20" t="s">
        <v>714</v>
      </c>
      <c r="F73" s="20" t="s">
        <v>715</v>
      </c>
      <c r="G73" s="20" t="s">
        <v>785</v>
      </c>
      <c r="H73" s="29" t="s">
        <v>803</v>
      </c>
      <c r="I73" s="30" t="s">
        <v>803</v>
      </c>
      <c r="J73" s="30">
        <v>1</v>
      </c>
      <c r="K73" s="30">
        <v>3208</v>
      </c>
      <c r="L73" s="20" t="s">
        <v>385</v>
      </c>
      <c r="M73" s="30">
        <v>3208008</v>
      </c>
      <c r="N73" s="20" t="s">
        <v>538</v>
      </c>
      <c r="O73" s="20" t="s">
        <v>539</v>
      </c>
      <c r="P73" s="20" t="s">
        <v>229</v>
      </c>
      <c r="Q73" s="30">
        <v>320800803</v>
      </c>
      <c r="R73" s="20" t="s">
        <v>540</v>
      </c>
      <c r="S73" s="20" t="s">
        <v>18</v>
      </c>
      <c r="T73" s="30">
        <v>12.8</v>
      </c>
      <c r="U73" s="20" t="s">
        <v>210</v>
      </c>
      <c r="V73" s="22">
        <v>0</v>
      </c>
      <c r="W73" s="22">
        <v>4</v>
      </c>
      <c r="X73" s="22">
        <v>1</v>
      </c>
      <c r="Y73" s="22">
        <v>1</v>
      </c>
      <c r="Z73" s="22">
        <v>1</v>
      </c>
      <c r="AA73" s="22">
        <v>1</v>
      </c>
      <c r="AB73" s="22">
        <v>2</v>
      </c>
      <c r="AC73" s="34">
        <v>100</v>
      </c>
    </row>
    <row r="74" spans="1:29" ht="15" hidden="1" customHeight="1" x14ac:dyDescent="0.3">
      <c r="A74" s="20" t="s">
        <v>743</v>
      </c>
      <c r="B74" s="20">
        <v>17</v>
      </c>
      <c r="C74" s="20" t="s">
        <v>208</v>
      </c>
      <c r="D74" s="20">
        <v>120060005</v>
      </c>
      <c r="E74" s="20" t="s">
        <v>678</v>
      </c>
      <c r="F74" s="20" t="s">
        <v>679</v>
      </c>
      <c r="G74" s="20" t="s">
        <v>784</v>
      </c>
      <c r="H74" s="29">
        <v>22.276399999999999</v>
      </c>
      <c r="I74" s="30">
        <v>2014</v>
      </c>
      <c r="J74" s="30">
        <v>50</v>
      </c>
      <c r="K74" s="30">
        <v>1702</v>
      </c>
      <c r="L74" s="25" t="s">
        <v>681</v>
      </c>
      <c r="M74" s="32">
        <v>1702017</v>
      </c>
      <c r="N74" s="25" t="s">
        <v>682</v>
      </c>
      <c r="O74" s="25" t="s">
        <v>683</v>
      </c>
      <c r="P74" s="25" t="s">
        <v>684</v>
      </c>
      <c r="Q74" s="32">
        <v>170201700</v>
      </c>
      <c r="R74" s="25" t="s">
        <v>597</v>
      </c>
      <c r="S74" s="25" t="s">
        <v>18</v>
      </c>
      <c r="T74" s="30">
        <v>2.2999999999999998</v>
      </c>
      <c r="U74" s="20" t="s">
        <v>210</v>
      </c>
      <c r="V74" s="22">
        <v>0</v>
      </c>
      <c r="W74" s="22">
        <v>200</v>
      </c>
      <c r="X74" s="22">
        <v>50</v>
      </c>
      <c r="Y74" s="22">
        <v>50</v>
      </c>
      <c r="Z74" s="22">
        <v>50</v>
      </c>
      <c r="AA74" s="22">
        <v>50</v>
      </c>
      <c r="AB74" s="22">
        <v>99</v>
      </c>
      <c r="AC74" s="34">
        <v>100</v>
      </c>
    </row>
    <row r="75" spans="1:29" ht="15" hidden="1" customHeight="1" x14ac:dyDescent="0.3">
      <c r="A75" s="20" t="s">
        <v>744</v>
      </c>
      <c r="B75" s="20">
        <v>40</v>
      </c>
      <c r="C75" s="20" t="s">
        <v>194</v>
      </c>
      <c r="D75" s="20">
        <v>30010019</v>
      </c>
      <c r="E75" s="20" t="s">
        <v>675</v>
      </c>
      <c r="F75" s="20" t="s">
        <v>428</v>
      </c>
      <c r="G75" s="20" t="s">
        <v>774</v>
      </c>
      <c r="H75" s="29">
        <v>80.885800000000003</v>
      </c>
      <c r="I75" s="30">
        <v>2018</v>
      </c>
      <c r="J75" s="30">
        <v>91</v>
      </c>
      <c r="K75" s="30">
        <v>4003</v>
      </c>
      <c r="L75" s="20" t="s">
        <v>202</v>
      </c>
      <c r="M75" s="30">
        <v>4003010</v>
      </c>
      <c r="N75" s="20" t="s">
        <v>203</v>
      </c>
      <c r="O75" s="20" t="s">
        <v>204</v>
      </c>
      <c r="P75" s="20" t="s">
        <v>205</v>
      </c>
      <c r="Q75" s="30">
        <v>400301000</v>
      </c>
      <c r="R75" s="20" t="s">
        <v>206</v>
      </c>
      <c r="S75" s="20" t="s">
        <v>18</v>
      </c>
      <c r="T75" s="30">
        <v>6.2</v>
      </c>
      <c r="U75" s="20" t="s">
        <v>207</v>
      </c>
      <c r="V75" s="22">
        <v>1490</v>
      </c>
      <c r="W75" s="22">
        <v>6120</v>
      </c>
      <c r="X75" s="22">
        <v>1500</v>
      </c>
      <c r="Y75" s="22">
        <v>1520</v>
      </c>
      <c r="Z75" s="22">
        <v>1540</v>
      </c>
      <c r="AA75" s="22">
        <v>1560</v>
      </c>
      <c r="AB75" s="22">
        <v>1562</v>
      </c>
      <c r="AC75" s="34">
        <v>100</v>
      </c>
    </row>
    <row r="76" spans="1:29" ht="15" hidden="1" customHeight="1" x14ac:dyDescent="0.3">
      <c r="A76" s="20" t="s">
        <v>744</v>
      </c>
      <c r="B76" s="20">
        <v>40</v>
      </c>
      <c r="C76" s="20" t="s">
        <v>194</v>
      </c>
      <c r="D76" s="20">
        <v>30010006</v>
      </c>
      <c r="E76" s="20" t="s">
        <v>672</v>
      </c>
      <c r="F76" s="20" t="s">
        <v>679</v>
      </c>
      <c r="G76" s="20" t="s">
        <v>774</v>
      </c>
      <c r="H76" s="29">
        <v>64.2774</v>
      </c>
      <c r="I76" s="30">
        <v>2018</v>
      </c>
      <c r="J76" s="30">
        <v>75</v>
      </c>
      <c r="K76" s="30">
        <v>4003</v>
      </c>
      <c r="L76" s="20" t="s">
        <v>202</v>
      </c>
      <c r="M76" s="30">
        <v>4003022</v>
      </c>
      <c r="N76" s="20" t="s">
        <v>658</v>
      </c>
      <c r="O76" s="20" t="s">
        <v>659</v>
      </c>
      <c r="P76" s="20" t="s">
        <v>307</v>
      </c>
      <c r="Q76" s="30">
        <v>400302200</v>
      </c>
      <c r="R76" s="20" t="s">
        <v>608</v>
      </c>
      <c r="S76" s="20" t="s">
        <v>18</v>
      </c>
      <c r="T76" s="30">
        <v>11.6</v>
      </c>
      <c r="U76" s="20" t="s">
        <v>207</v>
      </c>
      <c r="V76" s="22">
        <v>1</v>
      </c>
      <c r="W76" s="22">
        <v>4</v>
      </c>
      <c r="X76" s="22">
        <v>1</v>
      </c>
      <c r="Y76" s="22">
        <v>1</v>
      </c>
      <c r="Z76" s="22">
        <v>1</v>
      </c>
      <c r="AA76" s="22">
        <v>1</v>
      </c>
      <c r="AB76" s="22">
        <v>1</v>
      </c>
      <c r="AC76" s="36">
        <v>100</v>
      </c>
    </row>
    <row r="77" spans="1:29" ht="15" hidden="1" customHeight="1" x14ac:dyDescent="0.3">
      <c r="A77" s="20" t="s">
        <v>744</v>
      </c>
      <c r="B77" s="20">
        <v>43</v>
      </c>
      <c r="C77" s="20" t="s">
        <v>158</v>
      </c>
      <c r="D77" s="20">
        <v>270030003</v>
      </c>
      <c r="E77" s="20" t="s">
        <v>722</v>
      </c>
      <c r="F77" s="20" t="s">
        <v>797</v>
      </c>
      <c r="G77" s="20" t="s">
        <v>798</v>
      </c>
      <c r="H77" s="29" t="s">
        <v>803</v>
      </c>
      <c r="I77" s="30" t="s">
        <v>803</v>
      </c>
      <c r="J77" s="30">
        <v>480</v>
      </c>
      <c r="K77" s="30">
        <v>4301</v>
      </c>
      <c r="L77" s="20" t="s">
        <v>159</v>
      </c>
      <c r="M77" s="30">
        <v>4301004</v>
      </c>
      <c r="N77" s="20" t="s">
        <v>163</v>
      </c>
      <c r="O77" s="20" t="s">
        <v>164</v>
      </c>
      <c r="P77" s="20" t="s">
        <v>165</v>
      </c>
      <c r="Q77" s="30">
        <v>430100400</v>
      </c>
      <c r="R77" s="20" t="s">
        <v>166</v>
      </c>
      <c r="S77" s="20" t="s">
        <v>18</v>
      </c>
      <c r="T77" s="30">
        <v>11.7</v>
      </c>
      <c r="U77" s="20" t="s">
        <v>23</v>
      </c>
      <c r="V77" s="22">
        <v>11</v>
      </c>
      <c r="W77" s="22">
        <v>11</v>
      </c>
      <c r="X77" s="22">
        <v>2</v>
      </c>
      <c r="Y77" s="22">
        <v>3</v>
      </c>
      <c r="Z77" s="22">
        <v>3</v>
      </c>
      <c r="AA77" s="22">
        <v>3</v>
      </c>
      <c r="AB77" s="22">
        <v>2</v>
      </c>
      <c r="AC77" s="36">
        <v>100</v>
      </c>
    </row>
    <row r="78" spans="1:29" ht="15" hidden="1" customHeight="1" x14ac:dyDescent="0.3">
      <c r="A78" s="20" t="s">
        <v>744</v>
      </c>
      <c r="B78" s="20">
        <v>43</v>
      </c>
      <c r="C78" s="20" t="s">
        <v>158</v>
      </c>
      <c r="D78" s="20">
        <v>270030003</v>
      </c>
      <c r="E78" s="20" t="s">
        <v>722</v>
      </c>
      <c r="F78" s="20" t="s">
        <v>797</v>
      </c>
      <c r="G78" s="20" t="s">
        <v>798</v>
      </c>
      <c r="H78" s="29" t="s">
        <v>803</v>
      </c>
      <c r="I78" s="30" t="s">
        <v>803</v>
      </c>
      <c r="J78" s="30">
        <v>480</v>
      </c>
      <c r="K78" s="30">
        <v>4302</v>
      </c>
      <c r="L78" s="20" t="s">
        <v>183</v>
      </c>
      <c r="M78" s="30">
        <v>4302058</v>
      </c>
      <c r="N78" s="20" t="s">
        <v>184</v>
      </c>
      <c r="O78" s="20" t="s">
        <v>185</v>
      </c>
      <c r="P78" s="20" t="s">
        <v>181</v>
      </c>
      <c r="Q78" s="30">
        <v>430205800</v>
      </c>
      <c r="R78" s="20" t="s">
        <v>184</v>
      </c>
      <c r="S78" s="20" t="s">
        <v>18</v>
      </c>
      <c r="T78" s="30">
        <v>11.7</v>
      </c>
      <c r="U78" s="20" t="s">
        <v>23</v>
      </c>
      <c r="V78" s="22">
        <v>4</v>
      </c>
      <c r="W78" s="22">
        <v>4</v>
      </c>
      <c r="X78" s="22">
        <v>1</v>
      </c>
      <c r="Y78" s="22">
        <v>1</v>
      </c>
      <c r="Z78" s="22">
        <v>1</v>
      </c>
      <c r="AA78" s="22">
        <v>1</v>
      </c>
      <c r="AB78" s="22">
        <v>1</v>
      </c>
      <c r="AC78" s="36">
        <v>100</v>
      </c>
    </row>
    <row r="79" spans="1:29" ht="15" hidden="1" customHeight="1" x14ac:dyDescent="0.3">
      <c r="A79" s="20" t="s">
        <v>744</v>
      </c>
      <c r="B79" s="20">
        <v>22</v>
      </c>
      <c r="C79" s="20" t="s">
        <v>93</v>
      </c>
      <c r="D79" s="20">
        <v>40010006</v>
      </c>
      <c r="E79" s="20" t="s">
        <v>676</v>
      </c>
      <c r="F79" s="20" t="s">
        <v>679</v>
      </c>
      <c r="G79" s="20" t="s">
        <v>778</v>
      </c>
      <c r="H79" s="29">
        <v>101.0859</v>
      </c>
      <c r="I79" s="30">
        <v>2022</v>
      </c>
      <c r="J79" s="30">
        <v>101</v>
      </c>
      <c r="K79" s="30">
        <v>2201</v>
      </c>
      <c r="L79" s="20" t="s">
        <v>94</v>
      </c>
      <c r="M79" s="30">
        <v>2201052</v>
      </c>
      <c r="N79" s="20" t="s">
        <v>320</v>
      </c>
      <c r="O79" s="20" t="s">
        <v>321</v>
      </c>
      <c r="P79" s="20" t="s">
        <v>318</v>
      </c>
      <c r="Q79" s="30">
        <v>220105200</v>
      </c>
      <c r="R79" s="20" t="s">
        <v>602</v>
      </c>
      <c r="S79" s="20" t="s">
        <v>18</v>
      </c>
      <c r="T79" s="30" t="s">
        <v>590</v>
      </c>
      <c r="U79" s="20" t="s">
        <v>23</v>
      </c>
      <c r="V79" s="22">
        <v>9</v>
      </c>
      <c r="W79" s="22">
        <v>7</v>
      </c>
      <c r="X79" s="22">
        <v>7</v>
      </c>
      <c r="Y79" s="22">
        <v>7</v>
      </c>
      <c r="Z79" s="22">
        <v>7</v>
      </c>
      <c r="AA79" s="22">
        <v>7</v>
      </c>
      <c r="AB79" s="22">
        <v>3</v>
      </c>
      <c r="AC79" s="36">
        <v>42.857142857142854</v>
      </c>
    </row>
    <row r="80" spans="1:29" ht="15" hidden="1" customHeight="1" x14ac:dyDescent="0.3">
      <c r="A80" s="20" t="s">
        <v>744</v>
      </c>
      <c r="B80" s="20">
        <v>24</v>
      </c>
      <c r="C80" s="20" t="s">
        <v>130</v>
      </c>
      <c r="D80" s="20">
        <v>120040010</v>
      </c>
      <c r="E80" s="20" t="s">
        <v>680</v>
      </c>
      <c r="F80" s="20" t="s">
        <v>18</v>
      </c>
      <c r="G80" s="20" t="s">
        <v>784</v>
      </c>
      <c r="H80" s="29">
        <v>615</v>
      </c>
      <c r="I80" s="30">
        <v>2014</v>
      </c>
      <c r="J80" s="30">
        <v>680</v>
      </c>
      <c r="K80" s="30">
        <v>2402</v>
      </c>
      <c r="L80" s="20" t="s">
        <v>131</v>
      </c>
      <c r="M80" s="30">
        <v>2402041</v>
      </c>
      <c r="N80" s="20" t="s">
        <v>137</v>
      </c>
      <c r="O80" s="20" t="s">
        <v>138</v>
      </c>
      <c r="P80" s="20" t="s">
        <v>134</v>
      </c>
      <c r="Q80" s="30">
        <v>240204100</v>
      </c>
      <c r="R80" s="20" t="s">
        <v>137</v>
      </c>
      <c r="S80" s="20" t="s">
        <v>136</v>
      </c>
      <c r="T80" s="30">
        <v>9.1</v>
      </c>
      <c r="U80" s="20" t="s">
        <v>23</v>
      </c>
      <c r="V80" s="22">
        <v>41.3</v>
      </c>
      <c r="W80" s="22">
        <v>10</v>
      </c>
      <c r="X80" s="22">
        <v>2.5</v>
      </c>
      <c r="Y80" s="22">
        <v>2.5</v>
      </c>
      <c r="Z80" s="22">
        <v>2.5</v>
      </c>
      <c r="AA80" s="22">
        <v>2.5</v>
      </c>
      <c r="AB80" s="22">
        <v>10</v>
      </c>
      <c r="AC80" s="34">
        <v>100</v>
      </c>
    </row>
    <row r="81" spans="1:29" ht="15" hidden="1" customHeight="1" x14ac:dyDescent="0.3">
      <c r="A81" s="20" t="s">
        <v>744</v>
      </c>
      <c r="B81" s="20">
        <v>24</v>
      </c>
      <c r="C81" s="20" t="s">
        <v>130</v>
      </c>
      <c r="D81" s="20">
        <v>120040010</v>
      </c>
      <c r="E81" s="20" t="s">
        <v>680</v>
      </c>
      <c r="F81" s="20" t="s">
        <v>18</v>
      </c>
      <c r="G81" s="20" t="s">
        <v>784</v>
      </c>
      <c r="H81" s="29">
        <v>615</v>
      </c>
      <c r="I81" s="30">
        <v>2014</v>
      </c>
      <c r="J81" s="30">
        <v>680</v>
      </c>
      <c r="K81" s="30">
        <v>2402</v>
      </c>
      <c r="L81" s="20" t="s">
        <v>131</v>
      </c>
      <c r="M81" s="30">
        <v>2402042</v>
      </c>
      <c r="N81" s="20" t="s">
        <v>139</v>
      </c>
      <c r="O81" s="20" t="s">
        <v>140</v>
      </c>
      <c r="P81" s="20" t="s">
        <v>141</v>
      </c>
      <c r="Q81" s="30">
        <v>240204200</v>
      </c>
      <c r="R81" s="20" t="s">
        <v>137</v>
      </c>
      <c r="S81" s="20" t="s">
        <v>142</v>
      </c>
      <c r="T81" s="30">
        <v>9.1</v>
      </c>
      <c r="U81" s="20" t="s">
        <v>23</v>
      </c>
      <c r="V81" s="22">
        <v>41.3</v>
      </c>
      <c r="W81" s="22">
        <v>5000</v>
      </c>
      <c r="X81" s="22">
        <v>1000</v>
      </c>
      <c r="Y81" s="22">
        <v>1000</v>
      </c>
      <c r="Z81" s="22">
        <v>2000</v>
      </c>
      <c r="AA81" s="22">
        <v>1000</v>
      </c>
      <c r="AB81" s="22">
        <v>0</v>
      </c>
      <c r="AC81" s="36">
        <v>0</v>
      </c>
    </row>
    <row r="82" spans="1:29" ht="15" hidden="1" customHeight="1" x14ac:dyDescent="0.3">
      <c r="A82" s="20" t="s">
        <v>744</v>
      </c>
      <c r="B82" s="20">
        <v>40</v>
      </c>
      <c r="C82" s="20" t="s">
        <v>194</v>
      </c>
      <c r="D82" s="20">
        <v>30010004</v>
      </c>
      <c r="E82" s="20" t="s">
        <v>671</v>
      </c>
      <c r="F82" s="20" t="s">
        <v>679</v>
      </c>
      <c r="G82" s="20" t="s">
        <v>774</v>
      </c>
      <c r="H82" s="29">
        <v>88.578100000000006</v>
      </c>
      <c r="I82" s="30">
        <v>2018</v>
      </c>
      <c r="J82" s="30">
        <v>91</v>
      </c>
      <c r="K82" s="30">
        <v>4003</v>
      </c>
      <c r="L82" s="20" t="s">
        <v>202</v>
      </c>
      <c r="M82" s="30">
        <v>4003047</v>
      </c>
      <c r="N82" s="20" t="s">
        <v>357</v>
      </c>
      <c r="O82" s="20" t="s">
        <v>358</v>
      </c>
      <c r="P82" s="20" t="s">
        <v>205</v>
      </c>
      <c r="Q82" s="30">
        <v>400304700</v>
      </c>
      <c r="R82" s="20" t="s">
        <v>359</v>
      </c>
      <c r="S82" s="20" t="s">
        <v>18</v>
      </c>
      <c r="T82" s="30">
        <v>6.4</v>
      </c>
      <c r="U82" s="20" t="s">
        <v>207</v>
      </c>
      <c r="V82" s="22">
        <v>1490</v>
      </c>
      <c r="W82" s="22">
        <v>6120</v>
      </c>
      <c r="X82" s="22">
        <v>1500</v>
      </c>
      <c r="Y82" s="22">
        <v>1520</v>
      </c>
      <c r="Z82" s="22">
        <v>1540</v>
      </c>
      <c r="AA82" s="22">
        <v>1560</v>
      </c>
      <c r="AB82" s="22">
        <v>1562</v>
      </c>
      <c r="AC82" s="34">
        <v>100</v>
      </c>
    </row>
    <row r="83" spans="1:29" ht="15" hidden="1" customHeight="1" x14ac:dyDescent="0.3">
      <c r="A83" s="20" t="s">
        <v>744</v>
      </c>
      <c r="B83" s="20">
        <v>45</v>
      </c>
      <c r="C83" s="20" t="s">
        <v>393</v>
      </c>
      <c r="D83" s="20">
        <v>80010008</v>
      </c>
      <c r="E83" s="20" t="s">
        <v>723</v>
      </c>
      <c r="F83" s="20" t="s">
        <v>719</v>
      </c>
      <c r="G83" s="20" t="s">
        <v>777</v>
      </c>
      <c r="H83" s="29">
        <v>55.990099999999998</v>
      </c>
      <c r="I83" s="30">
        <v>2022</v>
      </c>
      <c r="J83" s="30">
        <v>75</v>
      </c>
      <c r="K83" s="30">
        <v>4599</v>
      </c>
      <c r="L83" s="20" t="s">
        <v>427</v>
      </c>
      <c r="M83" s="30">
        <v>4599011</v>
      </c>
      <c r="N83" s="16" t="s">
        <v>434</v>
      </c>
      <c r="O83" s="20" t="s">
        <v>435</v>
      </c>
      <c r="P83" s="20" t="s">
        <v>318</v>
      </c>
      <c r="Q83" s="30">
        <v>459901100</v>
      </c>
      <c r="R83" s="20" t="s">
        <v>434</v>
      </c>
      <c r="S83" s="20" t="s">
        <v>18</v>
      </c>
      <c r="T83" s="30">
        <v>16.600000000000001</v>
      </c>
      <c r="U83" s="20" t="s">
        <v>23</v>
      </c>
      <c r="V83" s="22">
        <v>1</v>
      </c>
      <c r="W83" s="22">
        <v>1</v>
      </c>
      <c r="X83" s="22">
        <v>1</v>
      </c>
      <c r="Y83" s="22">
        <v>0</v>
      </c>
      <c r="Z83" s="22">
        <v>0</v>
      </c>
      <c r="AA83" s="22">
        <v>0</v>
      </c>
      <c r="AB83" s="22">
        <v>1</v>
      </c>
      <c r="AC83" s="36">
        <v>100</v>
      </c>
    </row>
    <row r="84" spans="1:29" ht="15" hidden="1" customHeight="1" x14ac:dyDescent="0.3">
      <c r="A84" s="20" t="s">
        <v>744</v>
      </c>
      <c r="B84" s="20">
        <v>40</v>
      </c>
      <c r="C84" s="20" t="s">
        <v>194</v>
      </c>
      <c r="D84" s="20">
        <v>30010006</v>
      </c>
      <c r="E84" s="20" t="s">
        <v>672</v>
      </c>
      <c r="F84" s="20" t="s">
        <v>679</v>
      </c>
      <c r="G84" s="20" t="s">
        <v>774</v>
      </c>
      <c r="H84" s="29">
        <v>64.2774</v>
      </c>
      <c r="I84" s="30">
        <v>2018</v>
      </c>
      <c r="J84" s="30">
        <v>75</v>
      </c>
      <c r="K84" s="30">
        <v>4003</v>
      </c>
      <c r="L84" s="20" t="s">
        <v>202</v>
      </c>
      <c r="M84" s="30">
        <v>4003020</v>
      </c>
      <c r="N84" s="20" t="s">
        <v>605</v>
      </c>
      <c r="O84" s="20" t="s">
        <v>656</v>
      </c>
      <c r="P84" s="20" t="s">
        <v>254</v>
      </c>
      <c r="Q84" s="30">
        <v>400302002</v>
      </c>
      <c r="R84" s="20" t="s">
        <v>657</v>
      </c>
      <c r="S84" s="20" t="s">
        <v>18</v>
      </c>
      <c r="T84" s="30">
        <v>6.2</v>
      </c>
      <c r="U84" s="20" t="s">
        <v>23</v>
      </c>
      <c r="V84" s="22">
        <v>6</v>
      </c>
      <c r="W84" s="22">
        <v>12</v>
      </c>
      <c r="X84" s="22">
        <v>3</v>
      </c>
      <c r="Y84" s="22">
        <v>3</v>
      </c>
      <c r="Z84" s="22">
        <v>3</v>
      </c>
      <c r="AA84" s="22">
        <v>3</v>
      </c>
      <c r="AB84" s="22">
        <v>0</v>
      </c>
      <c r="AC84" s="36">
        <v>0</v>
      </c>
    </row>
    <row r="85" spans="1:29" ht="15" hidden="1" customHeight="1" x14ac:dyDescent="0.3">
      <c r="A85" s="20" t="s">
        <v>744</v>
      </c>
      <c r="B85" s="20">
        <v>45</v>
      </c>
      <c r="C85" s="20" t="s">
        <v>393</v>
      </c>
      <c r="D85" s="20">
        <v>60010003</v>
      </c>
      <c r="E85" s="20" t="s">
        <v>724</v>
      </c>
      <c r="F85" s="20" t="s">
        <v>725</v>
      </c>
      <c r="G85" s="20" t="s">
        <v>792</v>
      </c>
      <c r="H85" s="29">
        <v>49.81</v>
      </c>
      <c r="I85" s="30">
        <v>2022</v>
      </c>
      <c r="J85" s="30">
        <v>30</v>
      </c>
      <c r="K85" s="30">
        <v>4501</v>
      </c>
      <c r="L85" s="25" t="s">
        <v>704</v>
      </c>
      <c r="M85" s="32">
        <v>4501067</v>
      </c>
      <c r="N85" s="25" t="s">
        <v>592</v>
      </c>
      <c r="O85" s="25" t="s">
        <v>705</v>
      </c>
      <c r="P85" s="25" t="s">
        <v>569</v>
      </c>
      <c r="Q85" s="32">
        <v>450106700</v>
      </c>
      <c r="R85" s="25" t="s">
        <v>592</v>
      </c>
      <c r="S85" s="25" t="s">
        <v>18</v>
      </c>
      <c r="T85" s="30">
        <v>16.600000000000001</v>
      </c>
      <c r="U85" s="20" t="s">
        <v>23</v>
      </c>
      <c r="V85" s="22">
        <v>0</v>
      </c>
      <c r="W85" s="22">
        <v>1</v>
      </c>
      <c r="X85" s="22">
        <v>0</v>
      </c>
      <c r="Y85" s="22">
        <v>0</v>
      </c>
      <c r="Z85" s="22">
        <v>0</v>
      </c>
      <c r="AA85" s="22">
        <v>1</v>
      </c>
      <c r="AB85" s="22">
        <v>1</v>
      </c>
      <c r="AC85" s="36"/>
    </row>
    <row r="86" spans="1:29" ht="15" hidden="1" customHeight="1" x14ac:dyDescent="0.3">
      <c r="A86" s="20" t="s">
        <v>745</v>
      </c>
      <c r="B86" s="20">
        <v>23</v>
      </c>
      <c r="C86" s="20" t="s">
        <v>238</v>
      </c>
      <c r="D86" s="20">
        <v>290030001</v>
      </c>
      <c r="E86" s="20" t="s">
        <v>721</v>
      </c>
      <c r="F86" s="20" t="s">
        <v>606</v>
      </c>
      <c r="G86" s="20" t="s">
        <v>793</v>
      </c>
      <c r="H86" s="29">
        <v>54.529000000000003</v>
      </c>
      <c r="I86" s="30">
        <v>2021</v>
      </c>
      <c r="J86" s="30">
        <v>70</v>
      </c>
      <c r="K86" s="30">
        <v>2301</v>
      </c>
      <c r="L86" s="20" t="s">
        <v>239</v>
      </c>
      <c r="M86" s="30">
        <v>2301030</v>
      </c>
      <c r="N86" s="20" t="s">
        <v>240</v>
      </c>
      <c r="O86" s="20" t="s">
        <v>241</v>
      </c>
      <c r="P86" s="20" t="s">
        <v>40</v>
      </c>
      <c r="Q86" s="30">
        <v>230103000</v>
      </c>
      <c r="R86" s="20" t="s">
        <v>242</v>
      </c>
      <c r="S86" s="20" t="s">
        <v>18</v>
      </c>
      <c r="T86" s="30" t="s">
        <v>589</v>
      </c>
      <c r="U86" s="20" t="s">
        <v>19</v>
      </c>
      <c r="V86" s="22">
        <v>100</v>
      </c>
      <c r="W86" s="22">
        <v>300</v>
      </c>
      <c r="X86" s="22">
        <v>75</v>
      </c>
      <c r="Y86" s="22">
        <v>75</v>
      </c>
      <c r="Z86" s="22">
        <v>75</v>
      </c>
      <c r="AA86" s="22">
        <v>75</v>
      </c>
      <c r="AB86" s="22">
        <v>100</v>
      </c>
      <c r="AC86" s="34">
        <v>100</v>
      </c>
    </row>
    <row r="87" spans="1:29" ht="15" hidden="1" customHeight="1" x14ac:dyDescent="0.3">
      <c r="A87" s="20" t="s">
        <v>745</v>
      </c>
      <c r="B87" s="20">
        <v>23</v>
      </c>
      <c r="C87" s="20" t="s">
        <v>238</v>
      </c>
      <c r="D87" s="20">
        <v>290030001</v>
      </c>
      <c r="E87" s="20" t="s">
        <v>721</v>
      </c>
      <c r="F87" s="20" t="s">
        <v>606</v>
      </c>
      <c r="G87" s="20" t="s">
        <v>793</v>
      </c>
      <c r="H87" s="29">
        <v>54.529000000000003</v>
      </c>
      <c r="I87" s="30">
        <v>2021</v>
      </c>
      <c r="J87" s="30">
        <v>70</v>
      </c>
      <c r="K87" s="30">
        <v>2301</v>
      </c>
      <c r="L87" s="20" t="s">
        <v>239</v>
      </c>
      <c r="M87" s="30">
        <v>2301062</v>
      </c>
      <c r="N87" s="20" t="s">
        <v>312</v>
      </c>
      <c r="O87" s="20" t="s">
        <v>313</v>
      </c>
      <c r="P87" s="20" t="s">
        <v>123</v>
      </c>
      <c r="Q87" s="30">
        <v>230106206</v>
      </c>
      <c r="R87" s="20" t="s">
        <v>369</v>
      </c>
      <c r="S87" s="20" t="s">
        <v>18</v>
      </c>
      <c r="T87" s="30">
        <v>4.0999999999999996</v>
      </c>
      <c r="U87" s="20" t="s">
        <v>770</v>
      </c>
      <c r="V87" s="22">
        <v>6</v>
      </c>
      <c r="W87" s="22">
        <v>28</v>
      </c>
      <c r="X87" s="22">
        <v>7</v>
      </c>
      <c r="Y87" s="22">
        <v>7</v>
      </c>
      <c r="Z87" s="22">
        <v>7</v>
      </c>
      <c r="AA87" s="22">
        <v>7</v>
      </c>
      <c r="AB87" s="22">
        <v>7</v>
      </c>
      <c r="AC87" s="36">
        <v>100</v>
      </c>
    </row>
    <row r="88" spans="1:29" ht="15" hidden="1" customHeight="1" x14ac:dyDescent="0.3">
      <c r="A88" s="20" t="s">
        <v>745</v>
      </c>
      <c r="B88" s="20">
        <v>45</v>
      </c>
      <c r="C88" s="20" t="s">
        <v>393</v>
      </c>
      <c r="D88" s="20">
        <v>60010001</v>
      </c>
      <c r="E88" s="20" t="s">
        <v>727</v>
      </c>
      <c r="F88" s="20" t="s">
        <v>725</v>
      </c>
      <c r="G88" s="20" t="s">
        <v>792</v>
      </c>
      <c r="H88" s="29">
        <v>132.82419999999999</v>
      </c>
      <c r="I88" s="30">
        <v>2022</v>
      </c>
      <c r="J88" s="30">
        <v>90</v>
      </c>
      <c r="K88" s="30">
        <v>4501</v>
      </c>
      <c r="L88" s="20" t="s">
        <v>394</v>
      </c>
      <c r="M88" s="30">
        <v>4501028</v>
      </c>
      <c r="N88" s="20" t="s">
        <v>395</v>
      </c>
      <c r="O88" s="20" t="s">
        <v>396</v>
      </c>
      <c r="P88" s="20" t="s">
        <v>397</v>
      </c>
      <c r="Q88" s="30">
        <v>450102800</v>
      </c>
      <c r="R88" s="20" t="s">
        <v>398</v>
      </c>
      <c r="S88" s="20" t="s">
        <v>18</v>
      </c>
      <c r="T88" s="30" t="s">
        <v>589</v>
      </c>
      <c r="U88" s="20" t="s">
        <v>19</v>
      </c>
      <c r="V88" s="22">
        <v>0</v>
      </c>
      <c r="W88" s="22">
        <v>4</v>
      </c>
      <c r="X88" s="22">
        <v>0</v>
      </c>
      <c r="Y88" s="22">
        <v>4</v>
      </c>
      <c r="Z88" s="22">
        <v>0</v>
      </c>
      <c r="AA88" s="22">
        <v>0</v>
      </c>
      <c r="AB88" s="22">
        <v>5</v>
      </c>
      <c r="AC88" s="36"/>
    </row>
    <row r="89" spans="1:29" ht="15" hidden="1" customHeight="1" x14ac:dyDescent="0.3">
      <c r="A89" s="20" t="s">
        <v>745</v>
      </c>
      <c r="B89" s="20">
        <v>45</v>
      </c>
      <c r="C89" s="20" t="s">
        <v>393</v>
      </c>
      <c r="D89" s="24">
        <v>20100040</v>
      </c>
      <c r="E89" s="20" t="s">
        <v>763</v>
      </c>
      <c r="F89" s="20" t="s">
        <v>719</v>
      </c>
      <c r="G89" s="20" t="s">
        <v>780</v>
      </c>
      <c r="H89" s="29">
        <v>0</v>
      </c>
      <c r="I89" s="30">
        <v>2021</v>
      </c>
      <c r="J89" s="30">
        <v>0</v>
      </c>
      <c r="K89" s="30">
        <v>4502</v>
      </c>
      <c r="L89" s="20" t="s">
        <v>399</v>
      </c>
      <c r="M89" s="30">
        <v>4502001</v>
      </c>
      <c r="N89" s="20" t="s">
        <v>400</v>
      </c>
      <c r="O89" s="20" t="s">
        <v>401</v>
      </c>
      <c r="P89" s="20" t="s">
        <v>31</v>
      </c>
      <c r="Q89" s="30">
        <v>450200101</v>
      </c>
      <c r="R89" s="20" t="s">
        <v>402</v>
      </c>
      <c r="S89" s="20" t="s">
        <v>18</v>
      </c>
      <c r="T89" s="30">
        <v>16.7</v>
      </c>
      <c r="U89" s="20" t="s">
        <v>19</v>
      </c>
      <c r="V89" s="22">
        <v>1</v>
      </c>
      <c r="W89" s="22">
        <v>4</v>
      </c>
      <c r="X89" s="22">
        <v>1</v>
      </c>
      <c r="Y89" s="22">
        <v>1</v>
      </c>
      <c r="Z89" s="22">
        <v>1</v>
      </c>
      <c r="AA89" s="22">
        <v>1</v>
      </c>
      <c r="AB89" s="22">
        <v>1</v>
      </c>
      <c r="AC89" s="36">
        <v>100</v>
      </c>
    </row>
    <row r="90" spans="1:29" ht="15" hidden="1" customHeight="1" x14ac:dyDescent="0.3">
      <c r="A90" s="20" t="s">
        <v>745</v>
      </c>
      <c r="B90" s="20">
        <v>45</v>
      </c>
      <c r="C90" s="20" t="s">
        <v>393</v>
      </c>
      <c r="D90" s="20">
        <v>110070002</v>
      </c>
      <c r="E90" s="20" t="s">
        <v>733</v>
      </c>
      <c r="F90" s="20" t="s">
        <v>734</v>
      </c>
      <c r="G90" s="20" t="s">
        <v>791</v>
      </c>
      <c r="H90" s="29">
        <v>0</v>
      </c>
      <c r="I90" s="30">
        <v>2020</v>
      </c>
      <c r="J90" s="30">
        <v>88000</v>
      </c>
      <c r="K90" s="30">
        <v>4503</v>
      </c>
      <c r="L90" s="20" t="s">
        <v>413</v>
      </c>
      <c r="M90" s="30">
        <v>4503004</v>
      </c>
      <c r="N90" s="20" t="s">
        <v>414</v>
      </c>
      <c r="O90" s="20" t="s">
        <v>415</v>
      </c>
      <c r="P90" s="20" t="s">
        <v>416</v>
      </c>
      <c r="Q90" s="30">
        <v>450300400</v>
      </c>
      <c r="R90" s="20" t="s">
        <v>417</v>
      </c>
      <c r="S90" s="20" t="s">
        <v>18</v>
      </c>
      <c r="T90" s="30" t="s">
        <v>586</v>
      </c>
      <c r="U90" s="20" t="s">
        <v>23</v>
      </c>
      <c r="V90" s="22">
        <v>8</v>
      </c>
      <c r="W90" s="22">
        <v>20</v>
      </c>
      <c r="X90" s="22">
        <v>5</v>
      </c>
      <c r="Y90" s="22">
        <v>5</v>
      </c>
      <c r="Z90" s="22">
        <v>5</v>
      </c>
      <c r="AA90" s="22">
        <v>5</v>
      </c>
      <c r="AB90" s="22">
        <v>6</v>
      </c>
      <c r="AC90" s="34">
        <v>100</v>
      </c>
    </row>
    <row r="91" spans="1:29" ht="15" hidden="1" customHeight="1" x14ac:dyDescent="0.3">
      <c r="A91" s="20" t="s">
        <v>745</v>
      </c>
      <c r="B91" s="20">
        <v>45</v>
      </c>
      <c r="C91" s="20" t="s">
        <v>393</v>
      </c>
      <c r="D91" s="20">
        <v>110070002</v>
      </c>
      <c r="E91" s="20" t="s">
        <v>733</v>
      </c>
      <c r="F91" s="20" t="s">
        <v>734</v>
      </c>
      <c r="G91" s="20" t="s">
        <v>791</v>
      </c>
      <c r="H91" s="29">
        <v>0</v>
      </c>
      <c r="I91" s="30">
        <v>2020</v>
      </c>
      <c r="J91" s="30">
        <v>88000</v>
      </c>
      <c r="K91" s="30">
        <v>4503</v>
      </c>
      <c r="L91" s="20" t="s">
        <v>413</v>
      </c>
      <c r="M91" s="30">
        <v>4503023</v>
      </c>
      <c r="N91" s="20" t="s">
        <v>95</v>
      </c>
      <c r="O91" s="20" t="s">
        <v>200</v>
      </c>
      <c r="P91" s="20" t="s">
        <v>26</v>
      </c>
      <c r="Q91" s="30">
        <v>450302301</v>
      </c>
      <c r="R91" s="20" t="s">
        <v>426</v>
      </c>
      <c r="S91" s="20" t="s">
        <v>18</v>
      </c>
      <c r="T91" s="30" t="s">
        <v>586</v>
      </c>
      <c r="U91" s="20" t="s">
        <v>23</v>
      </c>
      <c r="V91" s="22">
        <v>1</v>
      </c>
      <c r="W91" s="22">
        <v>4</v>
      </c>
      <c r="X91" s="22">
        <v>1</v>
      </c>
      <c r="Y91" s="22">
        <v>1</v>
      </c>
      <c r="Z91" s="22">
        <v>1</v>
      </c>
      <c r="AA91" s="22">
        <v>1</v>
      </c>
      <c r="AB91" s="22">
        <v>1</v>
      </c>
      <c r="AC91" s="36">
        <v>100</v>
      </c>
    </row>
    <row r="92" spans="1:29" ht="15" hidden="1" customHeight="1" x14ac:dyDescent="0.3">
      <c r="A92" s="20" t="s">
        <v>745</v>
      </c>
      <c r="B92" s="20">
        <v>45</v>
      </c>
      <c r="C92" s="20" t="s">
        <v>393</v>
      </c>
      <c r="D92" s="20">
        <v>80010008</v>
      </c>
      <c r="E92" s="20" t="s">
        <v>723</v>
      </c>
      <c r="F92" s="20" t="s">
        <v>719</v>
      </c>
      <c r="G92" s="20" t="s">
        <v>777</v>
      </c>
      <c r="H92" s="29">
        <v>55.990099999999998</v>
      </c>
      <c r="I92" s="30">
        <v>2022</v>
      </c>
      <c r="J92" s="30">
        <v>75</v>
      </c>
      <c r="K92" s="30">
        <v>4599</v>
      </c>
      <c r="L92" s="20" t="s">
        <v>427</v>
      </c>
      <c r="M92" s="30">
        <v>4599005</v>
      </c>
      <c r="N92" s="20" t="s">
        <v>429</v>
      </c>
      <c r="O92" s="20" t="s">
        <v>430</v>
      </c>
      <c r="P92" s="20" t="s">
        <v>26</v>
      </c>
      <c r="Q92" s="30">
        <v>459900500</v>
      </c>
      <c r="R92" s="20" t="s">
        <v>431</v>
      </c>
      <c r="S92" s="20" t="s">
        <v>18</v>
      </c>
      <c r="T92" s="30">
        <v>17.7</v>
      </c>
      <c r="U92" s="20" t="s">
        <v>19</v>
      </c>
      <c r="V92" s="22">
        <v>1</v>
      </c>
      <c r="W92" s="22">
        <v>8</v>
      </c>
      <c r="X92" s="22">
        <v>2</v>
      </c>
      <c r="Y92" s="22">
        <v>2</v>
      </c>
      <c r="Z92" s="22">
        <v>2</v>
      </c>
      <c r="AA92" s="22">
        <v>2</v>
      </c>
      <c r="AB92" s="22">
        <v>2</v>
      </c>
      <c r="AC92" s="36">
        <v>100</v>
      </c>
    </row>
    <row r="93" spans="1:29" ht="15" hidden="1" customHeight="1" x14ac:dyDescent="0.3">
      <c r="A93" s="20" t="s">
        <v>745</v>
      </c>
      <c r="B93" s="20">
        <v>45</v>
      </c>
      <c r="C93" s="20" t="s">
        <v>393</v>
      </c>
      <c r="D93" s="20">
        <v>80010008</v>
      </c>
      <c r="E93" s="20" t="s">
        <v>723</v>
      </c>
      <c r="F93" s="20" t="s">
        <v>719</v>
      </c>
      <c r="G93" s="20" t="s">
        <v>777</v>
      </c>
      <c r="H93" s="29">
        <v>55.990099999999998</v>
      </c>
      <c r="I93" s="30">
        <v>2022</v>
      </c>
      <c r="J93" s="30">
        <v>75</v>
      </c>
      <c r="K93" s="30">
        <v>4599</v>
      </c>
      <c r="L93" s="20" t="s">
        <v>427</v>
      </c>
      <c r="M93" s="30">
        <v>4599023</v>
      </c>
      <c r="N93" s="20" t="s">
        <v>439</v>
      </c>
      <c r="O93" s="20" t="s">
        <v>440</v>
      </c>
      <c r="P93" s="20" t="s">
        <v>420</v>
      </c>
      <c r="Q93" s="30">
        <v>459902300</v>
      </c>
      <c r="R93" s="20" t="s">
        <v>441</v>
      </c>
      <c r="S93" s="20" t="s">
        <v>18</v>
      </c>
      <c r="T93" s="30">
        <v>16.600000000000001</v>
      </c>
      <c r="U93" s="20" t="s">
        <v>23</v>
      </c>
      <c r="V93" s="22">
        <v>1</v>
      </c>
      <c r="W93" s="22">
        <v>1</v>
      </c>
      <c r="X93" s="22">
        <v>1</v>
      </c>
      <c r="Y93" s="22">
        <v>1</v>
      </c>
      <c r="Z93" s="22">
        <v>1</v>
      </c>
      <c r="AA93" s="22">
        <v>1</v>
      </c>
      <c r="AB93" s="22">
        <v>1</v>
      </c>
      <c r="AC93" s="36">
        <v>100</v>
      </c>
    </row>
    <row r="94" spans="1:29" ht="15" hidden="1" customHeight="1" x14ac:dyDescent="0.3">
      <c r="A94" s="20" t="s">
        <v>745</v>
      </c>
      <c r="B94" s="20">
        <v>45</v>
      </c>
      <c r="C94" s="20" t="s">
        <v>393</v>
      </c>
      <c r="D94" s="20">
        <v>110070002</v>
      </c>
      <c r="E94" s="20" t="s">
        <v>733</v>
      </c>
      <c r="F94" s="20" t="s">
        <v>734</v>
      </c>
      <c r="G94" s="20" t="s">
        <v>791</v>
      </c>
      <c r="H94" s="29">
        <v>0</v>
      </c>
      <c r="I94" s="30">
        <v>2020</v>
      </c>
      <c r="J94" s="30">
        <v>88000</v>
      </c>
      <c r="K94" s="30">
        <v>4503</v>
      </c>
      <c r="L94" s="20" t="s">
        <v>413</v>
      </c>
      <c r="M94" s="30">
        <v>4503028</v>
      </c>
      <c r="N94" s="20" t="s">
        <v>443</v>
      </c>
      <c r="O94" s="20" t="s">
        <v>444</v>
      </c>
      <c r="P94" s="20" t="s">
        <v>40</v>
      </c>
      <c r="Q94" s="30">
        <v>450302800</v>
      </c>
      <c r="R94" s="20" t="s">
        <v>445</v>
      </c>
      <c r="S94" s="20" t="s">
        <v>18</v>
      </c>
      <c r="T94" s="30">
        <v>1.5</v>
      </c>
      <c r="U94" s="20" t="s">
        <v>23</v>
      </c>
      <c r="V94" s="22">
        <v>0</v>
      </c>
      <c r="W94" s="22">
        <v>20</v>
      </c>
      <c r="X94" s="22">
        <v>5</v>
      </c>
      <c r="Y94" s="22">
        <v>5</v>
      </c>
      <c r="Z94" s="22">
        <v>5</v>
      </c>
      <c r="AA94" s="22">
        <v>5</v>
      </c>
      <c r="AB94" s="22">
        <v>5</v>
      </c>
      <c r="AC94" s="36">
        <v>100</v>
      </c>
    </row>
    <row r="95" spans="1:29" ht="15" hidden="1" customHeight="1" x14ac:dyDescent="0.3">
      <c r="A95" s="20" t="s">
        <v>745</v>
      </c>
      <c r="B95" s="20">
        <v>45</v>
      </c>
      <c r="C95" s="20" t="s">
        <v>393</v>
      </c>
      <c r="D95" s="20">
        <v>60010001</v>
      </c>
      <c r="E95" s="20" t="s">
        <v>727</v>
      </c>
      <c r="F95" s="20" t="s">
        <v>725</v>
      </c>
      <c r="G95" s="20" t="s">
        <v>792</v>
      </c>
      <c r="H95" s="29">
        <v>132.82419999999999</v>
      </c>
      <c r="I95" s="30">
        <v>2022</v>
      </c>
      <c r="J95" s="30">
        <v>90</v>
      </c>
      <c r="K95" s="30">
        <v>4501</v>
      </c>
      <c r="L95" s="20" t="s">
        <v>394</v>
      </c>
      <c r="M95" s="30">
        <v>4501048</v>
      </c>
      <c r="N95" s="20" t="s">
        <v>446</v>
      </c>
      <c r="O95" s="20" t="s">
        <v>447</v>
      </c>
      <c r="P95" s="20" t="s">
        <v>448</v>
      </c>
      <c r="Q95" s="30">
        <v>450104800</v>
      </c>
      <c r="R95" s="20" t="s">
        <v>449</v>
      </c>
      <c r="S95" s="20" t="s">
        <v>18</v>
      </c>
      <c r="T95" s="30">
        <v>16.3</v>
      </c>
      <c r="U95" s="20" t="s">
        <v>19</v>
      </c>
      <c r="V95" s="22">
        <v>0</v>
      </c>
      <c r="W95" s="22">
        <v>4</v>
      </c>
      <c r="X95" s="22">
        <v>1</v>
      </c>
      <c r="Y95" s="22">
        <v>1</v>
      </c>
      <c r="Z95" s="22">
        <v>1</v>
      </c>
      <c r="AA95" s="22">
        <v>1</v>
      </c>
      <c r="AB95" s="22">
        <v>1</v>
      </c>
      <c r="AC95" s="36">
        <v>100</v>
      </c>
    </row>
    <row r="96" spans="1:29" ht="15" hidden="1" customHeight="1" x14ac:dyDescent="0.3">
      <c r="A96" s="20" t="s">
        <v>745</v>
      </c>
      <c r="B96" s="20">
        <v>45</v>
      </c>
      <c r="C96" s="20" t="s">
        <v>393</v>
      </c>
      <c r="D96" s="20">
        <v>80010008</v>
      </c>
      <c r="E96" s="20" t="s">
        <v>723</v>
      </c>
      <c r="F96" s="20" t="s">
        <v>719</v>
      </c>
      <c r="G96" s="20" t="s">
        <v>777</v>
      </c>
      <c r="H96" s="29">
        <v>55.990099999999998</v>
      </c>
      <c r="I96" s="30">
        <v>2022</v>
      </c>
      <c r="J96" s="30">
        <v>75</v>
      </c>
      <c r="K96" s="30">
        <v>4599</v>
      </c>
      <c r="L96" s="20" t="s">
        <v>427</v>
      </c>
      <c r="M96" s="30">
        <v>4599029</v>
      </c>
      <c r="N96" s="20" t="s">
        <v>450</v>
      </c>
      <c r="O96" s="20" t="s">
        <v>451</v>
      </c>
      <c r="P96" s="20" t="s">
        <v>452</v>
      </c>
      <c r="Q96" s="30">
        <v>459902900</v>
      </c>
      <c r="R96" s="20" t="s">
        <v>453</v>
      </c>
      <c r="S96" s="20" t="s">
        <v>18</v>
      </c>
      <c r="T96" s="30">
        <v>16.600000000000001</v>
      </c>
      <c r="U96" s="20" t="s">
        <v>19</v>
      </c>
      <c r="V96" s="22">
        <v>2</v>
      </c>
      <c r="W96" s="22">
        <v>4</v>
      </c>
      <c r="X96" s="22">
        <v>1</v>
      </c>
      <c r="Y96" s="22">
        <v>1</v>
      </c>
      <c r="Z96" s="22">
        <v>1</v>
      </c>
      <c r="AA96" s="22">
        <v>1</v>
      </c>
      <c r="AB96" s="22">
        <v>2</v>
      </c>
      <c r="AC96" s="34">
        <v>100</v>
      </c>
    </row>
    <row r="97" spans="1:29" ht="15" hidden="1" customHeight="1" x14ac:dyDescent="0.3">
      <c r="A97" s="20" t="s">
        <v>745</v>
      </c>
      <c r="B97" s="20">
        <v>45</v>
      </c>
      <c r="C97" s="20" t="s">
        <v>393</v>
      </c>
      <c r="D97" s="20">
        <v>80010008</v>
      </c>
      <c r="E97" s="20" t="s">
        <v>723</v>
      </c>
      <c r="F97" s="20" t="s">
        <v>719</v>
      </c>
      <c r="G97" s="20" t="s">
        <v>777</v>
      </c>
      <c r="H97" s="29">
        <v>55.990099999999998</v>
      </c>
      <c r="I97" s="30">
        <v>2022</v>
      </c>
      <c r="J97" s="30">
        <v>75</v>
      </c>
      <c r="K97" s="30">
        <v>4599</v>
      </c>
      <c r="L97" s="20" t="s">
        <v>427</v>
      </c>
      <c r="M97" s="30">
        <v>4599033</v>
      </c>
      <c r="N97" s="20" t="s">
        <v>454</v>
      </c>
      <c r="O97" s="20" t="s">
        <v>455</v>
      </c>
      <c r="P97" s="20" t="s">
        <v>42</v>
      </c>
      <c r="Q97" s="30">
        <v>459903300</v>
      </c>
      <c r="R97" s="20" t="s">
        <v>456</v>
      </c>
      <c r="S97" s="20" t="s">
        <v>18</v>
      </c>
      <c r="T97" s="30">
        <v>17.7</v>
      </c>
      <c r="U97" s="20" t="s">
        <v>770</v>
      </c>
      <c r="V97" s="22" t="s">
        <v>636</v>
      </c>
      <c r="W97" s="22">
        <v>120</v>
      </c>
      <c r="X97" s="22">
        <v>30</v>
      </c>
      <c r="Y97" s="22">
        <v>30</v>
      </c>
      <c r="Z97" s="22">
        <v>30</v>
      </c>
      <c r="AA97" s="22">
        <v>30</v>
      </c>
      <c r="AB97" s="22">
        <v>75</v>
      </c>
      <c r="AC97" s="34">
        <v>100</v>
      </c>
    </row>
    <row r="98" spans="1:29" ht="15" hidden="1" customHeight="1" x14ac:dyDescent="0.3">
      <c r="A98" s="20" t="s">
        <v>745</v>
      </c>
      <c r="B98" s="20">
        <v>45</v>
      </c>
      <c r="C98" s="20" t="s">
        <v>393</v>
      </c>
      <c r="D98" s="20">
        <v>60010005</v>
      </c>
      <c r="E98" s="20" t="s">
        <v>726</v>
      </c>
      <c r="F98" s="20" t="s">
        <v>725</v>
      </c>
      <c r="G98" s="20" t="s">
        <v>792</v>
      </c>
      <c r="H98" s="29">
        <v>0</v>
      </c>
      <c r="I98" s="30">
        <v>2021</v>
      </c>
      <c r="J98" s="30">
        <v>0</v>
      </c>
      <c r="K98" s="30">
        <v>4501</v>
      </c>
      <c r="L98" s="20" t="s">
        <v>394</v>
      </c>
      <c r="M98" s="30">
        <v>4501050</v>
      </c>
      <c r="N98" s="20" t="s">
        <v>471</v>
      </c>
      <c r="O98" s="20" t="s">
        <v>472</v>
      </c>
      <c r="P98" s="20" t="s">
        <v>473</v>
      </c>
      <c r="Q98" s="30">
        <v>450105000</v>
      </c>
      <c r="R98" s="20" t="s">
        <v>474</v>
      </c>
      <c r="S98" s="20" t="s">
        <v>18</v>
      </c>
      <c r="T98" s="30">
        <v>5.2</v>
      </c>
      <c r="U98" s="20" t="s">
        <v>19</v>
      </c>
      <c r="V98" s="22">
        <v>8</v>
      </c>
      <c r="W98" s="22">
        <v>20</v>
      </c>
      <c r="X98" s="22">
        <v>5</v>
      </c>
      <c r="Y98" s="22">
        <v>5</v>
      </c>
      <c r="Z98" s="22">
        <v>5</v>
      </c>
      <c r="AA98" s="22">
        <v>5</v>
      </c>
      <c r="AB98" s="22">
        <v>11</v>
      </c>
      <c r="AC98" s="34">
        <v>100</v>
      </c>
    </row>
    <row r="99" spans="1:29" ht="15" hidden="1" customHeight="1" x14ac:dyDescent="0.3">
      <c r="A99" s="20" t="s">
        <v>745</v>
      </c>
      <c r="B99" s="20">
        <v>45</v>
      </c>
      <c r="C99" s="20" t="s">
        <v>393</v>
      </c>
      <c r="D99" s="20">
        <v>80010008</v>
      </c>
      <c r="E99" s="20" t="s">
        <v>723</v>
      </c>
      <c r="F99" s="20" t="s">
        <v>719</v>
      </c>
      <c r="G99" s="20" t="s">
        <v>777</v>
      </c>
      <c r="H99" s="29">
        <v>55.990099999999998</v>
      </c>
      <c r="I99" s="30">
        <v>2022</v>
      </c>
      <c r="J99" s="30">
        <v>75</v>
      </c>
      <c r="K99" s="30">
        <v>4599</v>
      </c>
      <c r="L99" s="20" t="s">
        <v>427</v>
      </c>
      <c r="M99" s="30">
        <v>4599034</v>
      </c>
      <c r="N99" s="20" t="s">
        <v>364</v>
      </c>
      <c r="O99" s="20" t="s">
        <v>537</v>
      </c>
      <c r="P99" s="20" t="s">
        <v>318</v>
      </c>
      <c r="Q99" s="30">
        <v>459903400</v>
      </c>
      <c r="R99" s="20" t="s">
        <v>364</v>
      </c>
      <c r="S99" s="20" t="s">
        <v>18</v>
      </c>
      <c r="T99" s="30">
        <v>16.600000000000001</v>
      </c>
      <c r="U99" s="20" t="s">
        <v>19</v>
      </c>
      <c r="V99" s="22">
        <v>1</v>
      </c>
      <c r="W99" s="22">
        <v>4</v>
      </c>
      <c r="X99" s="22">
        <v>1</v>
      </c>
      <c r="Y99" s="22">
        <v>1</v>
      </c>
      <c r="Z99" s="22">
        <v>1</v>
      </c>
      <c r="AA99" s="22">
        <v>1</v>
      </c>
      <c r="AB99" s="22">
        <v>1</v>
      </c>
      <c r="AC99" s="36">
        <v>100</v>
      </c>
    </row>
    <row r="100" spans="1:29" ht="15" hidden="1" customHeight="1" x14ac:dyDescent="0.3">
      <c r="A100" s="20" t="s">
        <v>745</v>
      </c>
      <c r="B100" s="20">
        <v>45</v>
      </c>
      <c r="C100" s="20" t="s">
        <v>393</v>
      </c>
      <c r="D100" s="24">
        <v>20100040</v>
      </c>
      <c r="E100" s="20" t="s">
        <v>763</v>
      </c>
      <c r="F100" s="20" t="s">
        <v>719</v>
      </c>
      <c r="G100" s="20" t="s">
        <v>780</v>
      </c>
      <c r="H100" s="29">
        <v>0</v>
      </c>
      <c r="I100" s="30">
        <v>2021</v>
      </c>
      <c r="J100" s="30">
        <v>0</v>
      </c>
      <c r="K100" s="30">
        <v>4501</v>
      </c>
      <c r="L100" s="20" t="s">
        <v>394</v>
      </c>
      <c r="M100" s="30">
        <v>4501061</v>
      </c>
      <c r="N100" s="20" t="s">
        <v>549</v>
      </c>
      <c r="O100" s="20" t="s">
        <v>550</v>
      </c>
      <c r="P100" s="20" t="s">
        <v>278</v>
      </c>
      <c r="Q100" s="30">
        <v>450106100</v>
      </c>
      <c r="R100" s="20" t="s">
        <v>551</v>
      </c>
      <c r="S100" s="20" t="s">
        <v>18</v>
      </c>
      <c r="T100" s="30" t="s">
        <v>594</v>
      </c>
      <c r="U100" s="20" t="s">
        <v>210</v>
      </c>
      <c r="V100" s="22">
        <v>750</v>
      </c>
      <c r="W100" s="22">
        <v>2250</v>
      </c>
      <c r="X100" s="22">
        <v>450</v>
      </c>
      <c r="Y100" s="22">
        <v>600</v>
      </c>
      <c r="Z100" s="22">
        <v>600</v>
      </c>
      <c r="AA100" s="22">
        <v>600</v>
      </c>
      <c r="AB100" s="22">
        <v>600</v>
      </c>
      <c r="AC100" s="34">
        <v>100</v>
      </c>
    </row>
    <row r="101" spans="1:29" ht="15" hidden="1" customHeight="1" x14ac:dyDescent="0.3">
      <c r="A101" s="20" t="s">
        <v>745</v>
      </c>
      <c r="B101" s="20">
        <v>12</v>
      </c>
      <c r="C101" s="20" t="s">
        <v>89</v>
      </c>
      <c r="D101" s="20">
        <v>190050001</v>
      </c>
      <c r="E101" s="20" t="s">
        <v>761</v>
      </c>
      <c r="F101" s="20" t="s">
        <v>762</v>
      </c>
      <c r="G101" s="20" t="s">
        <v>794</v>
      </c>
      <c r="H101" s="29">
        <v>0</v>
      </c>
      <c r="I101" s="30">
        <v>2017</v>
      </c>
      <c r="J101" s="30">
        <v>0</v>
      </c>
      <c r="K101" s="30">
        <v>1206</v>
      </c>
      <c r="L101" s="20" t="s">
        <v>90</v>
      </c>
      <c r="M101" s="30">
        <v>1206007</v>
      </c>
      <c r="N101" s="20" t="s">
        <v>91</v>
      </c>
      <c r="O101" s="20" t="s">
        <v>92</v>
      </c>
      <c r="P101" s="20" t="s">
        <v>40</v>
      </c>
      <c r="Q101" s="30">
        <v>120600702</v>
      </c>
      <c r="R101" s="20" t="s">
        <v>639</v>
      </c>
      <c r="S101" s="20" t="s">
        <v>18</v>
      </c>
      <c r="T101" s="30">
        <v>10.199999999999999</v>
      </c>
      <c r="U101" s="20" t="s">
        <v>19</v>
      </c>
      <c r="V101" s="22">
        <v>4</v>
      </c>
      <c r="W101" s="22">
        <v>20</v>
      </c>
      <c r="X101" s="22">
        <v>5</v>
      </c>
      <c r="Y101" s="22">
        <v>5</v>
      </c>
      <c r="Z101" s="22">
        <v>5</v>
      </c>
      <c r="AA101" s="22">
        <v>5</v>
      </c>
      <c r="AB101" s="22">
        <v>5</v>
      </c>
      <c r="AC101" s="36">
        <v>100</v>
      </c>
    </row>
    <row r="102" spans="1:29" ht="15" hidden="1" customHeight="1" x14ac:dyDescent="0.3">
      <c r="A102" s="20" t="s">
        <v>745</v>
      </c>
      <c r="B102" s="20">
        <v>45</v>
      </c>
      <c r="C102" s="20" t="s">
        <v>393</v>
      </c>
      <c r="D102" s="20">
        <v>60010003</v>
      </c>
      <c r="E102" s="20" t="s">
        <v>724</v>
      </c>
      <c r="F102" s="20" t="s">
        <v>725</v>
      </c>
      <c r="G102" s="20" t="s">
        <v>792</v>
      </c>
      <c r="H102" s="29">
        <v>49.81</v>
      </c>
      <c r="I102" s="30">
        <v>2022</v>
      </c>
      <c r="J102" s="30">
        <v>30</v>
      </c>
      <c r="K102" s="30">
        <v>4501</v>
      </c>
      <c r="L102" s="20" t="s">
        <v>394</v>
      </c>
      <c r="M102" s="30">
        <v>4501026</v>
      </c>
      <c r="N102" s="20" t="s">
        <v>649</v>
      </c>
      <c r="O102" s="20" t="s">
        <v>650</v>
      </c>
      <c r="P102" s="20" t="s">
        <v>26</v>
      </c>
      <c r="Q102" s="30">
        <v>450102602</v>
      </c>
      <c r="R102" s="20" t="s">
        <v>651</v>
      </c>
      <c r="S102" s="20" t="s">
        <v>18</v>
      </c>
      <c r="T102" s="30">
        <v>16.100000000000001</v>
      </c>
      <c r="U102" s="20" t="s">
        <v>19</v>
      </c>
      <c r="V102" s="22">
        <v>1</v>
      </c>
      <c r="W102" s="22">
        <v>1</v>
      </c>
      <c r="X102" s="22">
        <v>1</v>
      </c>
      <c r="Y102" s="22">
        <v>0</v>
      </c>
      <c r="Z102" s="22">
        <v>0</v>
      </c>
      <c r="AA102" s="22">
        <v>0</v>
      </c>
      <c r="AB102" s="22">
        <v>1</v>
      </c>
      <c r="AC102" s="36">
        <v>100</v>
      </c>
    </row>
    <row r="103" spans="1:29" ht="15" hidden="1" customHeight="1" x14ac:dyDescent="0.3">
      <c r="A103" s="20" t="s">
        <v>745</v>
      </c>
      <c r="B103" s="20">
        <v>45</v>
      </c>
      <c r="C103" s="20" t="s">
        <v>393</v>
      </c>
      <c r="D103" s="20">
        <v>60010003</v>
      </c>
      <c r="E103" s="20" t="s">
        <v>724</v>
      </c>
      <c r="F103" s="20" t="s">
        <v>725</v>
      </c>
      <c r="G103" s="20" t="s">
        <v>792</v>
      </c>
      <c r="H103" s="29">
        <v>49.81</v>
      </c>
      <c r="I103" s="30">
        <v>2022</v>
      </c>
      <c r="J103" s="30">
        <v>30</v>
      </c>
      <c r="K103" s="30">
        <v>4501</v>
      </c>
      <c r="L103" s="20" t="s">
        <v>394</v>
      </c>
      <c r="M103" s="30">
        <v>4501077</v>
      </c>
      <c r="N103" s="20" t="s">
        <v>652</v>
      </c>
      <c r="O103" s="20" t="s">
        <v>653</v>
      </c>
      <c r="P103" s="20" t="s">
        <v>287</v>
      </c>
      <c r="Q103" s="30">
        <v>450107700</v>
      </c>
      <c r="R103" s="20" t="s">
        <v>593</v>
      </c>
      <c r="S103" s="20" t="s">
        <v>18</v>
      </c>
      <c r="T103" s="30">
        <v>16.600000000000001</v>
      </c>
      <c r="U103" s="20" t="s">
        <v>19</v>
      </c>
      <c r="V103" s="22">
        <v>4</v>
      </c>
      <c r="W103" s="22">
        <v>4</v>
      </c>
      <c r="X103" s="22">
        <v>1</v>
      </c>
      <c r="Y103" s="22">
        <v>1</v>
      </c>
      <c r="Z103" s="22">
        <v>1</v>
      </c>
      <c r="AA103" s="22">
        <v>1</v>
      </c>
      <c r="AB103" s="22">
        <v>1</v>
      </c>
      <c r="AC103" s="36">
        <v>100</v>
      </c>
    </row>
    <row r="104" spans="1:29" ht="15.6" hidden="1" customHeight="1" x14ac:dyDescent="0.3">
      <c r="A104" s="20" t="s">
        <v>745</v>
      </c>
      <c r="B104" s="20">
        <v>45</v>
      </c>
      <c r="C104" s="20" t="s">
        <v>393</v>
      </c>
      <c r="D104" s="20">
        <v>60010003</v>
      </c>
      <c r="E104" s="20" t="s">
        <v>724</v>
      </c>
      <c r="F104" s="20" t="s">
        <v>725</v>
      </c>
      <c r="G104" s="20" t="s">
        <v>792</v>
      </c>
      <c r="H104" s="29">
        <v>49.81</v>
      </c>
      <c r="I104" s="30">
        <v>2022</v>
      </c>
      <c r="J104" s="30">
        <v>30</v>
      </c>
      <c r="K104" s="30">
        <v>4501</v>
      </c>
      <c r="L104" s="20" t="s">
        <v>394</v>
      </c>
      <c r="M104" s="30">
        <v>4501079</v>
      </c>
      <c r="N104" s="20" t="s">
        <v>652</v>
      </c>
      <c r="O104" s="20" t="s">
        <v>654</v>
      </c>
      <c r="P104" s="20" t="s">
        <v>287</v>
      </c>
      <c r="Q104" s="30">
        <v>450107900</v>
      </c>
      <c r="R104" s="20" t="s">
        <v>593</v>
      </c>
      <c r="S104" s="20" t="s">
        <v>18</v>
      </c>
      <c r="T104" s="30">
        <v>16.600000000000001</v>
      </c>
      <c r="U104" s="20" t="s">
        <v>19</v>
      </c>
      <c r="V104" s="22">
        <v>4</v>
      </c>
      <c r="W104" s="22">
        <v>4</v>
      </c>
      <c r="X104" s="22">
        <v>1</v>
      </c>
      <c r="Y104" s="22">
        <v>1</v>
      </c>
      <c r="Z104" s="22">
        <v>1</v>
      </c>
      <c r="AA104" s="22">
        <v>1</v>
      </c>
      <c r="AB104" s="22">
        <v>1</v>
      </c>
      <c r="AC104" s="36">
        <v>100</v>
      </c>
    </row>
    <row r="110" spans="1:29" s="4" customFormat="1" x14ac:dyDescent="0.3">
      <c r="A110" s="5"/>
      <c r="B110" s="1"/>
      <c r="C110" s="1"/>
      <c r="D110" s="1"/>
      <c r="E110" s="1"/>
      <c r="F110" s="1"/>
      <c r="G110" s="1"/>
      <c r="H110" s="1"/>
      <c r="I110" s="1"/>
      <c r="J110" s="1"/>
      <c r="K110" s="1"/>
      <c r="L110" s="1"/>
      <c r="M110" s="1"/>
      <c r="N110" s="1"/>
      <c r="O110" s="1"/>
      <c r="P110" s="1"/>
      <c r="Q110" s="1"/>
      <c r="R110" s="1"/>
      <c r="S110" s="1"/>
      <c r="T110" s="6"/>
      <c r="U110" s="1"/>
      <c r="V110" s="7"/>
      <c r="W110" s="7"/>
      <c r="X110" s="7"/>
      <c r="Y110" s="7"/>
      <c r="Z110" s="7"/>
      <c r="AA110" s="7"/>
      <c r="AB110" s="7"/>
      <c r="AC110" s="33"/>
    </row>
  </sheetData>
  <sheetProtection formatCells="0" formatColumns="0" formatRows="0" insertColumns="0" insertRows="0" insertHyperlinks="0" deleteColumns="0" deleteRows="0" sort="0" autoFilter="0" pivotTables="0"/>
  <autoFilter ref="A2:AC104">
    <filterColumn colId="0">
      <filters>
        <filter val="LÍNEA 1: UNIDOS POR ANGELÓPOLIS SOCIAL, EQUITATIVO Y DIVERSO"/>
      </filters>
    </filterColumn>
    <filterColumn colId="23">
      <filters>
        <filter val="1"/>
        <filter val="10"/>
        <filter val="100"/>
        <filter val="1000"/>
        <filter val="1250"/>
        <filter val="140"/>
        <filter val="15"/>
        <filter val="150"/>
        <filter val="1500"/>
        <filter val="180"/>
        <filter val="2"/>
        <filter val="2.5"/>
        <filter val="20"/>
        <filter val="200"/>
        <filter val="2419"/>
        <filter val="25"/>
        <filter val="3"/>
        <filter val="30"/>
        <filter val="300"/>
        <filter val="32"/>
        <filter val="35"/>
        <filter val="3600"/>
        <filter val="4"/>
        <filter val="40"/>
        <filter val="400"/>
        <filter val="450"/>
        <filter val="5"/>
        <filter val="50"/>
        <filter val="500"/>
        <filter val="52"/>
        <filter val="6"/>
        <filter val="7"/>
        <filter val="75"/>
        <filter val="800"/>
        <filter val="85800"/>
      </filters>
    </filterColumn>
  </autoFilter>
  <mergeCells count="23">
    <mergeCell ref="Q1:Q2"/>
    <mergeCell ref="A1:A2"/>
    <mergeCell ref="B1:B2"/>
    <mergeCell ref="C1:C2"/>
    <mergeCell ref="D1:J1"/>
    <mergeCell ref="K1:K2"/>
    <mergeCell ref="L1:L2"/>
    <mergeCell ref="M1:M2"/>
    <mergeCell ref="N1:N2"/>
    <mergeCell ref="O1:O2"/>
    <mergeCell ref="P1:P2"/>
    <mergeCell ref="R1:R2"/>
    <mergeCell ref="S1:S2"/>
    <mergeCell ref="T1:T2"/>
    <mergeCell ref="U1:U2"/>
    <mergeCell ref="V1:V2"/>
    <mergeCell ref="W1:W2"/>
    <mergeCell ref="AC1:AC2"/>
    <mergeCell ref="X1:X2"/>
    <mergeCell ref="Y1:Y2"/>
    <mergeCell ref="Z1:Z2"/>
    <mergeCell ref="AA1:AA2"/>
    <mergeCell ref="AB1:AB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J169"/>
  <sheetViews>
    <sheetView topLeftCell="C1" zoomScaleNormal="100" workbookViewId="0">
      <pane ySplit="2" topLeftCell="A158" activePane="bottomLeft" state="frozen"/>
      <selection activeCell="Q2" sqref="Q2"/>
      <selection pane="bottomLeft" activeCell="W166" sqref="W166:AB166"/>
    </sheetView>
  </sheetViews>
  <sheetFormatPr baseColWidth="10" defaultColWidth="11.5546875" defaultRowHeight="14.4" x14ac:dyDescent="0.3"/>
  <cols>
    <col min="1" max="1" width="61.109375" style="5" customWidth="1"/>
    <col min="2" max="2" width="11.5546875" style="1" customWidth="1"/>
    <col min="3" max="3" width="40.33203125" style="1" customWidth="1"/>
    <col min="4" max="4" width="19.6640625" style="1" hidden="1" customWidth="1"/>
    <col min="5" max="5" width="80.44140625" style="1" hidden="1" customWidth="1"/>
    <col min="6" max="7" width="23.6640625" style="1" hidden="1" customWidth="1"/>
    <col min="8" max="8" width="13.88671875" style="1" hidden="1" customWidth="1"/>
    <col min="9" max="9" width="15.109375" style="1" hidden="1" customWidth="1"/>
    <col min="10" max="10" width="14.6640625" style="1" hidden="1" customWidth="1"/>
    <col min="11" max="11" width="11.5546875" style="1" hidden="1" customWidth="1"/>
    <col min="12" max="12" width="58.109375" style="1" hidden="1" customWidth="1"/>
    <col min="13" max="13" width="15.109375" style="1" hidden="1" customWidth="1"/>
    <col min="14" max="14" width="54.6640625" style="1" hidden="1" customWidth="1"/>
    <col min="15" max="15" width="24.109375" style="1" hidden="1" customWidth="1"/>
    <col min="16" max="16" width="38.5546875" style="1" hidden="1" customWidth="1"/>
    <col min="17" max="17" width="13.5546875" style="1" hidden="1" customWidth="1"/>
    <col min="18" max="18" width="42.109375" style="1" hidden="1" customWidth="1"/>
    <col min="19" max="19" width="13" style="1" customWidth="1"/>
    <col min="20" max="20" width="11.5546875" style="6" customWidth="1"/>
    <col min="21" max="21" width="31.33203125" style="1" customWidth="1"/>
    <col min="22" max="22" width="10.6640625" style="7" customWidth="1"/>
    <col min="23" max="23" width="14.44140625" style="7" customWidth="1"/>
    <col min="24" max="26" width="10.6640625" style="7" customWidth="1"/>
    <col min="27" max="28" width="12" style="7" customWidth="1"/>
    <col min="29" max="29" width="12" style="33" customWidth="1"/>
    <col min="30" max="16384" width="11.5546875" style="1"/>
  </cols>
  <sheetData>
    <row r="1" spans="1:29" s="3" customFormat="1" ht="32.25" customHeight="1" thickBot="1" x14ac:dyDescent="0.35">
      <c r="A1" s="88" t="s">
        <v>612</v>
      </c>
      <c r="B1" s="82" t="s">
        <v>0</v>
      </c>
      <c r="C1" s="82" t="s">
        <v>1</v>
      </c>
      <c r="D1" s="90" t="s">
        <v>613</v>
      </c>
      <c r="E1" s="91"/>
      <c r="F1" s="91"/>
      <c r="G1" s="91"/>
      <c r="H1" s="91"/>
      <c r="I1" s="91"/>
      <c r="J1" s="92"/>
      <c r="K1" s="82" t="s">
        <v>2</v>
      </c>
      <c r="L1" s="82" t="s">
        <v>3</v>
      </c>
      <c r="M1" s="86" t="s">
        <v>4</v>
      </c>
      <c r="N1" s="82" t="s">
        <v>5</v>
      </c>
      <c r="O1" s="82" t="s">
        <v>6</v>
      </c>
      <c r="P1" s="82" t="s">
        <v>7</v>
      </c>
      <c r="Q1" s="82" t="s">
        <v>8</v>
      </c>
      <c r="R1" s="82" t="s">
        <v>9</v>
      </c>
      <c r="S1" s="82" t="s">
        <v>10</v>
      </c>
      <c r="T1" s="82" t="s">
        <v>795</v>
      </c>
      <c r="U1" s="82" t="s">
        <v>11</v>
      </c>
      <c r="V1" s="82" t="s">
        <v>635</v>
      </c>
      <c r="W1" s="82" t="s">
        <v>618</v>
      </c>
      <c r="X1" s="82" t="s">
        <v>988</v>
      </c>
      <c r="Y1" s="82" t="s">
        <v>615</v>
      </c>
      <c r="Z1" s="82" t="s">
        <v>616</v>
      </c>
      <c r="AA1" s="82" t="s">
        <v>617</v>
      </c>
      <c r="AB1" s="82" t="s">
        <v>1001</v>
      </c>
      <c r="AC1" s="97" t="s">
        <v>993</v>
      </c>
    </row>
    <row r="2" spans="1:29" s="3" customFormat="1" ht="18.75" customHeight="1" thickBot="1" x14ac:dyDescent="0.35">
      <c r="A2" s="89"/>
      <c r="B2" s="83"/>
      <c r="C2" s="83"/>
      <c r="D2" s="9" t="s">
        <v>614</v>
      </c>
      <c r="E2" s="9" t="s">
        <v>613</v>
      </c>
      <c r="F2" s="9" t="s">
        <v>10</v>
      </c>
      <c r="G2" s="10" t="s">
        <v>771</v>
      </c>
      <c r="H2" s="10" t="s">
        <v>772</v>
      </c>
      <c r="I2" s="10" t="s">
        <v>773</v>
      </c>
      <c r="J2" s="10" t="s">
        <v>796</v>
      </c>
      <c r="K2" s="83"/>
      <c r="L2" s="83"/>
      <c r="M2" s="87"/>
      <c r="N2" s="83"/>
      <c r="O2" s="83"/>
      <c r="P2" s="83"/>
      <c r="Q2" s="83"/>
      <c r="R2" s="83"/>
      <c r="S2" s="83"/>
      <c r="T2" s="83"/>
      <c r="U2" s="83"/>
      <c r="V2" s="83"/>
      <c r="W2" s="83"/>
      <c r="X2" s="83"/>
      <c r="Y2" s="83"/>
      <c r="Z2" s="83"/>
      <c r="AA2" s="83"/>
      <c r="AB2" s="83"/>
      <c r="AC2" s="98"/>
    </row>
    <row r="3" spans="1:29" ht="15.6" customHeight="1" x14ac:dyDescent="0.3">
      <c r="A3" s="17" t="s">
        <v>741</v>
      </c>
      <c r="B3" s="17">
        <v>41</v>
      </c>
      <c r="C3" s="17" t="s">
        <v>12</v>
      </c>
      <c r="D3" s="18">
        <v>140010051</v>
      </c>
      <c r="E3" s="18" t="s">
        <v>720</v>
      </c>
      <c r="F3" s="17" t="s">
        <v>428</v>
      </c>
      <c r="G3" s="17" t="s">
        <v>774</v>
      </c>
      <c r="H3" s="27">
        <v>77.937399999999997</v>
      </c>
      <c r="I3" s="28">
        <v>2023</v>
      </c>
      <c r="J3" s="28">
        <v>72</v>
      </c>
      <c r="K3" s="28">
        <v>4102</v>
      </c>
      <c r="L3" s="17" t="s">
        <v>13</v>
      </c>
      <c r="M3" s="28">
        <v>4102001</v>
      </c>
      <c r="N3" s="17" t="s">
        <v>14</v>
      </c>
      <c r="O3" s="17" t="s">
        <v>15</v>
      </c>
      <c r="P3" s="17" t="s">
        <v>16</v>
      </c>
      <c r="Q3" s="28">
        <v>410200100</v>
      </c>
      <c r="R3" s="17" t="s">
        <v>17</v>
      </c>
      <c r="S3" s="17" t="s">
        <v>18</v>
      </c>
      <c r="T3" s="28">
        <v>4.2</v>
      </c>
      <c r="U3" s="17" t="s">
        <v>19</v>
      </c>
      <c r="V3" s="19">
        <v>189</v>
      </c>
      <c r="W3" s="19">
        <v>1200</v>
      </c>
      <c r="X3" s="19">
        <v>300</v>
      </c>
      <c r="Y3" s="19">
        <v>300</v>
      </c>
      <c r="Z3" s="19">
        <v>300</v>
      </c>
      <c r="AA3" s="19">
        <v>300</v>
      </c>
      <c r="AB3" s="19">
        <v>420</v>
      </c>
      <c r="AC3" s="34">
        <v>100</v>
      </c>
    </row>
    <row r="4" spans="1:29" ht="15" customHeight="1" x14ac:dyDescent="0.3">
      <c r="A4" s="20" t="s">
        <v>741</v>
      </c>
      <c r="B4" s="20">
        <v>41</v>
      </c>
      <c r="C4" s="20" t="s">
        <v>12</v>
      </c>
      <c r="D4" s="20">
        <v>260020004</v>
      </c>
      <c r="E4" s="20" t="s">
        <v>710</v>
      </c>
      <c r="F4" s="20" t="s">
        <v>18</v>
      </c>
      <c r="G4" s="20" t="s">
        <v>775</v>
      </c>
      <c r="H4" s="29">
        <v>0</v>
      </c>
      <c r="I4" s="30">
        <v>2022</v>
      </c>
      <c r="J4" s="30">
        <v>4</v>
      </c>
      <c r="K4" s="30">
        <v>4101</v>
      </c>
      <c r="L4" s="20" t="s">
        <v>28</v>
      </c>
      <c r="M4" s="30">
        <v>4101011</v>
      </c>
      <c r="N4" s="20" t="s">
        <v>29</v>
      </c>
      <c r="O4" s="20" t="s">
        <v>30</v>
      </c>
      <c r="P4" s="20" t="s">
        <v>31</v>
      </c>
      <c r="Q4" s="30">
        <v>410101100</v>
      </c>
      <c r="R4" s="20" t="s">
        <v>32</v>
      </c>
      <c r="S4" s="20" t="s">
        <v>18</v>
      </c>
      <c r="T4" s="30">
        <v>16.600000000000001</v>
      </c>
      <c r="U4" s="20" t="s">
        <v>19</v>
      </c>
      <c r="V4" s="22">
        <v>1</v>
      </c>
      <c r="W4" s="22">
        <v>4</v>
      </c>
      <c r="X4" s="22">
        <v>1</v>
      </c>
      <c r="Y4" s="22">
        <v>1</v>
      </c>
      <c r="Z4" s="22">
        <v>1</v>
      </c>
      <c r="AA4" s="22">
        <v>1</v>
      </c>
      <c r="AB4" s="22">
        <v>2</v>
      </c>
      <c r="AC4" s="34">
        <v>100</v>
      </c>
    </row>
    <row r="5" spans="1:29" ht="15" customHeight="1" x14ac:dyDescent="0.3">
      <c r="A5" s="20" t="s">
        <v>741</v>
      </c>
      <c r="B5" s="20">
        <v>41</v>
      </c>
      <c r="C5" s="20" t="s">
        <v>12</v>
      </c>
      <c r="D5" s="20">
        <v>260020010</v>
      </c>
      <c r="E5" s="20" t="s">
        <v>711</v>
      </c>
      <c r="F5" s="20" t="s">
        <v>797</v>
      </c>
      <c r="G5" s="20" t="s">
        <v>804</v>
      </c>
      <c r="H5" s="29" t="s">
        <v>803</v>
      </c>
      <c r="I5" s="30" t="s">
        <v>803</v>
      </c>
      <c r="J5" s="30">
        <v>20</v>
      </c>
      <c r="K5" s="30">
        <v>4101</v>
      </c>
      <c r="L5" s="20" t="s">
        <v>28</v>
      </c>
      <c r="M5" s="30">
        <v>4101023</v>
      </c>
      <c r="N5" s="20" t="s">
        <v>34</v>
      </c>
      <c r="O5" s="20" t="s">
        <v>35</v>
      </c>
      <c r="P5" s="20" t="s">
        <v>36</v>
      </c>
      <c r="Q5" s="30">
        <v>410102300</v>
      </c>
      <c r="R5" s="20" t="s">
        <v>37</v>
      </c>
      <c r="S5" s="20" t="s">
        <v>18</v>
      </c>
      <c r="T5" s="30">
        <v>16.3</v>
      </c>
      <c r="U5" s="20" t="s">
        <v>19</v>
      </c>
      <c r="V5" s="22">
        <v>400</v>
      </c>
      <c r="W5" s="22">
        <v>2000</v>
      </c>
      <c r="X5" s="22">
        <v>500</v>
      </c>
      <c r="Y5" s="22">
        <v>500</v>
      </c>
      <c r="Z5" s="22">
        <v>500</v>
      </c>
      <c r="AA5" s="22">
        <v>500</v>
      </c>
      <c r="AB5" s="22">
        <v>500</v>
      </c>
      <c r="AC5" s="34">
        <v>100</v>
      </c>
    </row>
    <row r="6" spans="1:29" ht="15" customHeight="1" x14ac:dyDescent="0.3">
      <c r="A6" s="20" t="s">
        <v>741</v>
      </c>
      <c r="B6" s="20">
        <v>41</v>
      </c>
      <c r="C6" s="20" t="s">
        <v>12</v>
      </c>
      <c r="D6" s="20">
        <v>260020010</v>
      </c>
      <c r="E6" s="20" t="s">
        <v>711</v>
      </c>
      <c r="F6" s="20" t="s">
        <v>797</v>
      </c>
      <c r="G6" s="20" t="s">
        <v>804</v>
      </c>
      <c r="H6" s="29" t="s">
        <v>803</v>
      </c>
      <c r="I6" s="30" t="s">
        <v>803</v>
      </c>
      <c r="J6" s="30">
        <v>20</v>
      </c>
      <c r="K6" s="30">
        <v>4101</v>
      </c>
      <c r="L6" s="20" t="s">
        <v>28</v>
      </c>
      <c r="M6" s="30">
        <v>4101025</v>
      </c>
      <c r="N6" s="20" t="s">
        <v>38</v>
      </c>
      <c r="O6" s="20" t="s">
        <v>39</v>
      </c>
      <c r="P6" s="20" t="s">
        <v>40</v>
      </c>
      <c r="Q6" s="30">
        <v>410102500</v>
      </c>
      <c r="R6" s="20" t="s">
        <v>41</v>
      </c>
      <c r="S6" s="20" t="s">
        <v>18</v>
      </c>
      <c r="T6" s="30">
        <v>16.3</v>
      </c>
      <c r="U6" s="20" t="s">
        <v>19</v>
      </c>
      <c r="V6" s="22">
        <v>20</v>
      </c>
      <c r="W6" s="22">
        <v>80</v>
      </c>
      <c r="X6" s="22">
        <v>20</v>
      </c>
      <c r="Y6" s="22">
        <v>20</v>
      </c>
      <c r="Z6" s="22">
        <v>20</v>
      </c>
      <c r="AA6" s="22">
        <v>20</v>
      </c>
      <c r="AB6" s="22">
        <v>20</v>
      </c>
      <c r="AC6" s="34">
        <v>100</v>
      </c>
    </row>
    <row r="7" spans="1:29" ht="15" customHeight="1" x14ac:dyDescent="0.3">
      <c r="A7" s="20" t="s">
        <v>741</v>
      </c>
      <c r="B7" s="20">
        <v>41</v>
      </c>
      <c r="C7" s="20" t="s">
        <v>12</v>
      </c>
      <c r="D7" s="20">
        <v>260020010</v>
      </c>
      <c r="E7" s="20" t="s">
        <v>711</v>
      </c>
      <c r="F7" s="20" t="s">
        <v>797</v>
      </c>
      <c r="G7" s="20" t="s">
        <v>804</v>
      </c>
      <c r="H7" s="29" t="s">
        <v>803</v>
      </c>
      <c r="I7" s="30" t="s">
        <v>803</v>
      </c>
      <c r="J7" s="30">
        <v>20</v>
      </c>
      <c r="K7" s="30">
        <v>4101</v>
      </c>
      <c r="L7" s="20" t="s">
        <v>28</v>
      </c>
      <c r="M7" s="30">
        <v>4101038</v>
      </c>
      <c r="N7" s="20" t="s">
        <v>43</v>
      </c>
      <c r="O7" s="20" t="s">
        <v>44</v>
      </c>
      <c r="P7" s="20" t="s">
        <v>45</v>
      </c>
      <c r="Q7" s="30">
        <v>410103800</v>
      </c>
      <c r="R7" s="20" t="s">
        <v>46</v>
      </c>
      <c r="S7" s="20" t="s">
        <v>18</v>
      </c>
      <c r="T7" s="30">
        <v>16.3</v>
      </c>
      <c r="U7" s="20" t="s">
        <v>19</v>
      </c>
      <c r="V7" s="22">
        <v>2</v>
      </c>
      <c r="W7" s="22">
        <v>4</v>
      </c>
      <c r="X7" s="22">
        <v>1</v>
      </c>
      <c r="Y7" s="22">
        <v>1</v>
      </c>
      <c r="Z7" s="22">
        <v>1</v>
      </c>
      <c r="AA7" s="22">
        <v>1</v>
      </c>
      <c r="AB7" s="22">
        <v>5</v>
      </c>
      <c r="AC7" s="34">
        <v>100</v>
      </c>
    </row>
    <row r="8" spans="1:29" ht="14.4" customHeight="1" x14ac:dyDescent="0.3">
      <c r="A8" s="20" t="s">
        <v>741</v>
      </c>
      <c r="B8" s="20">
        <v>19</v>
      </c>
      <c r="C8" s="20" t="s">
        <v>47</v>
      </c>
      <c r="D8" s="20">
        <v>50020063</v>
      </c>
      <c r="E8" s="20" t="s">
        <v>746</v>
      </c>
      <c r="F8" s="20" t="s">
        <v>747</v>
      </c>
      <c r="G8" s="20" t="s">
        <v>776</v>
      </c>
      <c r="H8" s="29">
        <v>0</v>
      </c>
      <c r="I8" s="30">
        <v>2021</v>
      </c>
      <c r="J8" s="30">
        <v>0</v>
      </c>
      <c r="K8" s="30">
        <v>1903</v>
      </c>
      <c r="L8" s="20" t="s">
        <v>48</v>
      </c>
      <c r="M8" s="30">
        <v>1903038</v>
      </c>
      <c r="N8" s="20" t="s">
        <v>49</v>
      </c>
      <c r="O8" s="20" t="s">
        <v>50</v>
      </c>
      <c r="P8" s="20" t="s">
        <v>51</v>
      </c>
      <c r="Q8" s="30">
        <v>190303800</v>
      </c>
      <c r="R8" s="20" t="s">
        <v>52</v>
      </c>
      <c r="S8" s="20" t="s">
        <v>18</v>
      </c>
      <c r="T8" s="30">
        <v>3.3</v>
      </c>
      <c r="U8" s="20" t="s">
        <v>770</v>
      </c>
      <c r="V8" s="22">
        <v>1</v>
      </c>
      <c r="W8" s="22">
        <v>4</v>
      </c>
      <c r="X8" s="22">
        <v>1</v>
      </c>
      <c r="Y8" s="22">
        <v>1</v>
      </c>
      <c r="Z8" s="22">
        <v>1</v>
      </c>
      <c r="AA8" s="22">
        <v>1</v>
      </c>
      <c r="AB8" s="22">
        <v>1</v>
      </c>
      <c r="AC8" s="34">
        <v>100</v>
      </c>
    </row>
    <row r="9" spans="1:29" ht="14.4" customHeight="1" x14ac:dyDescent="0.3">
      <c r="A9" s="20" t="s">
        <v>741</v>
      </c>
      <c r="B9" s="20">
        <v>19</v>
      </c>
      <c r="C9" s="20" t="s">
        <v>47</v>
      </c>
      <c r="D9" s="20">
        <v>80030002</v>
      </c>
      <c r="E9" s="20" t="s">
        <v>752</v>
      </c>
      <c r="F9" s="20" t="s">
        <v>719</v>
      </c>
      <c r="G9" s="20" t="s">
        <v>777</v>
      </c>
      <c r="H9" s="29">
        <v>75.596100000000007</v>
      </c>
      <c r="I9" s="30">
        <v>2022</v>
      </c>
      <c r="J9" s="30">
        <v>85</v>
      </c>
      <c r="K9" s="30">
        <v>1903</v>
      </c>
      <c r="L9" s="20" t="s">
        <v>48</v>
      </c>
      <c r="M9" s="30">
        <v>1903023</v>
      </c>
      <c r="N9" s="20" t="s">
        <v>53</v>
      </c>
      <c r="O9" s="20" t="s">
        <v>54</v>
      </c>
      <c r="P9" s="20" t="s">
        <v>55</v>
      </c>
      <c r="Q9" s="30">
        <v>190302300</v>
      </c>
      <c r="R9" s="20" t="s">
        <v>56</v>
      </c>
      <c r="S9" s="20" t="s">
        <v>18</v>
      </c>
      <c r="T9" s="30">
        <v>3.4</v>
      </c>
      <c r="U9" s="20" t="s">
        <v>770</v>
      </c>
      <c r="V9" s="22">
        <v>12</v>
      </c>
      <c r="W9" s="22">
        <v>12</v>
      </c>
      <c r="X9" s="22">
        <v>3</v>
      </c>
      <c r="Y9" s="22">
        <v>3</v>
      </c>
      <c r="Z9" s="22">
        <v>3</v>
      </c>
      <c r="AA9" s="22">
        <v>3</v>
      </c>
      <c r="AB9" s="22">
        <v>3</v>
      </c>
      <c r="AC9" s="34">
        <v>100</v>
      </c>
    </row>
    <row r="10" spans="1:29" ht="14.4" customHeight="1" x14ac:dyDescent="0.3">
      <c r="A10" s="20" t="s">
        <v>741</v>
      </c>
      <c r="B10" s="20">
        <v>19</v>
      </c>
      <c r="C10" s="20" t="s">
        <v>47</v>
      </c>
      <c r="D10" s="20">
        <v>50020063</v>
      </c>
      <c r="E10" s="20" t="s">
        <v>746</v>
      </c>
      <c r="F10" s="20" t="s">
        <v>747</v>
      </c>
      <c r="G10" s="20" t="s">
        <v>776</v>
      </c>
      <c r="H10" s="29">
        <v>0</v>
      </c>
      <c r="I10" s="30">
        <v>2021</v>
      </c>
      <c r="J10" s="30">
        <v>0</v>
      </c>
      <c r="K10" s="30">
        <v>1903</v>
      </c>
      <c r="L10" s="20" t="s">
        <v>48</v>
      </c>
      <c r="M10" s="30">
        <v>1903031</v>
      </c>
      <c r="N10" s="20" t="s">
        <v>57</v>
      </c>
      <c r="O10" s="20" t="s">
        <v>58</v>
      </c>
      <c r="P10" s="20" t="s">
        <v>59</v>
      </c>
      <c r="Q10" s="30">
        <v>190303100</v>
      </c>
      <c r="R10" s="20" t="s">
        <v>58</v>
      </c>
      <c r="S10" s="20" t="s">
        <v>18</v>
      </c>
      <c r="T10" s="30">
        <v>3.4</v>
      </c>
      <c r="U10" s="20" t="s">
        <v>770</v>
      </c>
      <c r="V10" s="22">
        <v>208</v>
      </c>
      <c r="W10" s="22">
        <v>208</v>
      </c>
      <c r="X10" s="22">
        <v>52</v>
      </c>
      <c r="Y10" s="22">
        <v>52</v>
      </c>
      <c r="Z10" s="22">
        <v>52</v>
      </c>
      <c r="AA10" s="22">
        <v>52</v>
      </c>
      <c r="AB10" s="22">
        <v>52</v>
      </c>
      <c r="AC10" s="34">
        <v>100</v>
      </c>
    </row>
    <row r="11" spans="1:29" ht="14.4" customHeight="1" x14ac:dyDescent="0.3">
      <c r="A11" s="20" t="s">
        <v>741</v>
      </c>
      <c r="B11" s="20">
        <v>19</v>
      </c>
      <c r="C11" s="20" t="s">
        <v>47</v>
      </c>
      <c r="D11" s="20">
        <v>80030002</v>
      </c>
      <c r="E11" s="20" t="s">
        <v>752</v>
      </c>
      <c r="F11" s="20" t="s">
        <v>719</v>
      </c>
      <c r="G11" s="20" t="s">
        <v>777</v>
      </c>
      <c r="H11" s="29">
        <v>75.596100000000007</v>
      </c>
      <c r="I11" s="30">
        <v>2022</v>
      </c>
      <c r="J11" s="30">
        <v>85</v>
      </c>
      <c r="K11" s="30">
        <v>1903</v>
      </c>
      <c r="L11" s="20" t="s">
        <v>48</v>
      </c>
      <c r="M11" s="30">
        <v>1903011</v>
      </c>
      <c r="N11" s="20" t="s">
        <v>60</v>
      </c>
      <c r="O11" s="20" t="s">
        <v>61</v>
      </c>
      <c r="P11" s="20" t="s">
        <v>62</v>
      </c>
      <c r="Q11" s="30">
        <v>190301100</v>
      </c>
      <c r="R11" s="20" t="s">
        <v>63</v>
      </c>
      <c r="S11" s="20" t="s">
        <v>18</v>
      </c>
      <c r="T11" s="30">
        <v>3.4</v>
      </c>
      <c r="U11" s="20" t="s">
        <v>770</v>
      </c>
      <c r="V11" s="22">
        <v>7</v>
      </c>
      <c r="W11" s="22">
        <v>28</v>
      </c>
      <c r="X11" s="22">
        <v>7</v>
      </c>
      <c r="Y11" s="22">
        <v>7</v>
      </c>
      <c r="Z11" s="22">
        <v>7</v>
      </c>
      <c r="AA11" s="22">
        <v>7</v>
      </c>
      <c r="AB11" s="22">
        <v>7</v>
      </c>
      <c r="AC11" s="34">
        <v>100</v>
      </c>
    </row>
    <row r="12" spans="1:29" ht="15" customHeight="1" x14ac:dyDescent="0.3">
      <c r="A12" s="20" t="s">
        <v>741</v>
      </c>
      <c r="B12" s="20">
        <v>22</v>
      </c>
      <c r="C12" s="20" t="s">
        <v>93</v>
      </c>
      <c r="D12" s="20">
        <v>40010006</v>
      </c>
      <c r="E12" s="20" t="s">
        <v>676</v>
      </c>
      <c r="F12" s="20" t="s">
        <v>679</v>
      </c>
      <c r="G12" s="20" t="s">
        <v>778</v>
      </c>
      <c r="H12" s="29">
        <v>101.0859</v>
      </c>
      <c r="I12" s="30">
        <v>2022</v>
      </c>
      <c r="J12" s="30">
        <v>101</v>
      </c>
      <c r="K12" s="30">
        <v>2201</v>
      </c>
      <c r="L12" s="20" t="s">
        <v>94</v>
      </c>
      <c r="M12" s="30">
        <v>2201003</v>
      </c>
      <c r="N12" s="20" t="s">
        <v>98</v>
      </c>
      <c r="O12" s="20" t="s">
        <v>99</v>
      </c>
      <c r="P12" s="20" t="s">
        <v>40</v>
      </c>
      <c r="Q12" s="30">
        <v>220100300</v>
      </c>
      <c r="R12" s="20" t="s">
        <v>100</v>
      </c>
      <c r="S12" s="20" t="s">
        <v>18</v>
      </c>
      <c r="T12" s="30">
        <v>4.0999999999999996</v>
      </c>
      <c r="U12" s="20" t="s">
        <v>770</v>
      </c>
      <c r="V12" s="22">
        <v>28</v>
      </c>
      <c r="W12" s="22">
        <v>60</v>
      </c>
      <c r="X12" s="22">
        <v>15</v>
      </c>
      <c r="Y12" s="22">
        <v>15</v>
      </c>
      <c r="Z12" s="22">
        <v>15</v>
      </c>
      <c r="AA12" s="22">
        <v>15</v>
      </c>
      <c r="AB12" s="22">
        <v>25</v>
      </c>
      <c r="AC12" s="34">
        <v>100</v>
      </c>
    </row>
    <row r="13" spans="1:29" ht="15" customHeight="1" x14ac:dyDescent="0.3">
      <c r="A13" s="20" t="s">
        <v>741</v>
      </c>
      <c r="B13" s="20">
        <v>22</v>
      </c>
      <c r="C13" s="20" t="s">
        <v>93</v>
      </c>
      <c r="D13" s="20">
        <v>40010006</v>
      </c>
      <c r="E13" s="20" t="s">
        <v>676</v>
      </c>
      <c r="F13" s="20" t="s">
        <v>679</v>
      </c>
      <c r="G13" s="20" t="s">
        <v>778</v>
      </c>
      <c r="H13" s="29">
        <v>101.0859</v>
      </c>
      <c r="I13" s="30">
        <v>2022</v>
      </c>
      <c r="J13" s="30">
        <v>101</v>
      </c>
      <c r="K13" s="30">
        <v>2201</v>
      </c>
      <c r="L13" s="20" t="s">
        <v>94</v>
      </c>
      <c r="M13" s="30">
        <v>2201006</v>
      </c>
      <c r="N13" s="20" t="s">
        <v>101</v>
      </c>
      <c r="O13" s="20" t="s">
        <v>102</v>
      </c>
      <c r="P13" s="20" t="s">
        <v>103</v>
      </c>
      <c r="Q13" s="30">
        <v>220100602</v>
      </c>
      <c r="R13" s="20" t="s">
        <v>104</v>
      </c>
      <c r="S13" s="20" t="s">
        <v>18</v>
      </c>
      <c r="T13" s="30">
        <v>4.0999999999999996</v>
      </c>
      <c r="U13" s="20" t="s">
        <v>770</v>
      </c>
      <c r="V13" s="22">
        <v>4</v>
      </c>
      <c r="W13" s="22">
        <v>8</v>
      </c>
      <c r="X13" s="22">
        <v>2</v>
      </c>
      <c r="Y13" s="22">
        <v>2</v>
      </c>
      <c r="Z13" s="22">
        <v>2</v>
      </c>
      <c r="AA13" s="22">
        <v>2</v>
      </c>
      <c r="AB13" s="22">
        <v>2</v>
      </c>
      <c r="AC13" s="34">
        <v>100</v>
      </c>
    </row>
    <row r="14" spans="1:29" ht="15" customHeight="1" x14ac:dyDescent="0.3">
      <c r="A14" s="20" t="s">
        <v>741</v>
      </c>
      <c r="B14" s="20">
        <v>22</v>
      </c>
      <c r="C14" s="20" t="s">
        <v>93</v>
      </c>
      <c r="D14" s="20">
        <v>40010006</v>
      </c>
      <c r="E14" s="20" t="s">
        <v>676</v>
      </c>
      <c r="F14" s="20" t="s">
        <v>679</v>
      </c>
      <c r="G14" s="20" t="s">
        <v>778</v>
      </c>
      <c r="H14" s="29">
        <v>101.0859</v>
      </c>
      <c r="I14" s="30">
        <v>2022</v>
      </c>
      <c r="J14" s="30">
        <v>101</v>
      </c>
      <c r="K14" s="30">
        <v>2201</v>
      </c>
      <c r="L14" s="20" t="s">
        <v>94</v>
      </c>
      <c r="M14" s="30">
        <v>2201018</v>
      </c>
      <c r="N14" s="20" t="s">
        <v>105</v>
      </c>
      <c r="O14" s="20" t="s">
        <v>106</v>
      </c>
      <c r="P14" s="20" t="s">
        <v>107</v>
      </c>
      <c r="Q14" s="30">
        <v>220101800</v>
      </c>
      <c r="R14" s="20" t="s">
        <v>108</v>
      </c>
      <c r="S14" s="20" t="s">
        <v>18</v>
      </c>
      <c r="T14" s="30">
        <v>17.18</v>
      </c>
      <c r="U14" s="20" t="s">
        <v>770</v>
      </c>
      <c r="V14" s="22">
        <v>4</v>
      </c>
      <c r="W14" s="22">
        <v>4</v>
      </c>
      <c r="X14" s="22">
        <v>1</v>
      </c>
      <c r="Y14" s="22">
        <v>1</v>
      </c>
      <c r="Z14" s="22">
        <v>1</v>
      </c>
      <c r="AA14" s="22">
        <v>1</v>
      </c>
      <c r="AB14" s="22">
        <v>1</v>
      </c>
      <c r="AC14" s="34">
        <v>100</v>
      </c>
    </row>
    <row r="15" spans="1:29" ht="15" customHeight="1" x14ac:dyDescent="0.3">
      <c r="A15" s="20" t="s">
        <v>741</v>
      </c>
      <c r="B15" s="20">
        <v>22</v>
      </c>
      <c r="C15" s="20" t="s">
        <v>93</v>
      </c>
      <c r="D15" s="20">
        <v>40010006</v>
      </c>
      <c r="E15" s="20" t="s">
        <v>676</v>
      </c>
      <c r="F15" s="20" t="s">
        <v>679</v>
      </c>
      <c r="G15" s="20" t="s">
        <v>778</v>
      </c>
      <c r="H15" s="29">
        <v>101.0859</v>
      </c>
      <c r="I15" s="30">
        <v>2022</v>
      </c>
      <c r="J15" s="30">
        <v>101</v>
      </c>
      <c r="K15" s="30">
        <v>2201</v>
      </c>
      <c r="L15" s="20" t="s">
        <v>94</v>
      </c>
      <c r="M15" s="30">
        <v>2201028</v>
      </c>
      <c r="N15" s="20" t="s">
        <v>113</v>
      </c>
      <c r="O15" s="20" t="s">
        <v>114</v>
      </c>
      <c r="P15" s="20" t="s">
        <v>115</v>
      </c>
      <c r="Q15" s="30">
        <v>220102800</v>
      </c>
      <c r="R15" s="20" t="s">
        <v>116</v>
      </c>
      <c r="S15" s="20" t="s">
        <v>18</v>
      </c>
      <c r="T15" s="30">
        <v>4.0999999999999996</v>
      </c>
      <c r="U15" s="20" t="s">
        <v>770</v>
      </c>
      <c r="V15" s="22">
        <v>128350</v>
      </c>
      <c r="W15" s="22">
        <v>362800</v>
      </c>
      <c r="X15" s="22">
        <v>85800</v>
      </c>
      <c r="Y15" s="22">
        <v>90000</v>
      </c>
      <c r="Z15" s="22">
        <v>93000</v>
      </c>
      <c r="AA15" s="22">
        <v>94000</v>
      </c>
      <c r="AB15" s="22">
        <v>83349</v>
      </c>
      <c r="AC15" s="34">
        <v>97.143356643356654</v>
      </c>
    </row>
    <row r="16" spans="1:29" ht="15" customHeight="1" x14ac:dyDescent="0.3">
      <c r="A16" s="20" t="s">
        <v>741</v>
      </c>
      <c r="B16" s="20">
        <v>22</v>
      </c>
      <c r="C16" s="20" t="s">
        <v>93</v>
      </c>
      <c r="D16" s="20">
        <v>40010006</v>
      </c>
      <c r="E16" s="20" t="s">
        <v>676</v>
      </c>
      <c r="F16" s="20" t="s">
        <v>679</v>
      </c>
      <c r="G16" s="20" t="s">
        <v>778</v>
      </c>
      <c r="H16" s="29">
        <v>101.0859</v>
      </c>
      <c r="I16" s="30">
        <v>2022</v>
      </c>
      <c r="J16" s="30">
        <v>101</v>
      </c>
      <c r="K16" s="30">
        <v>2201</v>
      </c>
      <c r="L16" s="20" t="s">
        <v>94</v>
      </c>
      <c r="M16" s="30">
        <v>2201029</v>
      </c>
      <c r="N16" s="20" t="s">
        <v>117</v>
      </c>
      <c r="O16" s="20" t="s">
        <v>118</v>
      </c>
      <c r="P16" s="20" t="s">
        <v>119</v>
      </c>
      <c r="Q16" s="30">
        <v>220102900</v>
      </c>
      <c r="R16" s="20" t="s">
        <v>120</v>
      </c>
      <c r="S16" s="20" t="s">
        <v>18</v>
      </c>
      <c r="T16" s="30">
        <v>4.2</v>
      </c>
      <c r="U16" s="20" t="s">
        <v>770</v>
      </c>
      <c r="V16" s="22">
        <v>25</v>
      </c>
      <c r="W16" s="22">
        <v>122</v>
      </c>
      <c r="X16" s="22">
        <v>32</v>
      </c>
      <c r="Y16" s="22">
        <v>30</v>
      </c>
      <c r="Z16" s="22">
        <v>30</v>
      </c>
      <c r="AA16" s="22">
        <v>30</v>
      </c>
      <c r="AB16" s="22">
        <v>144</v>
      </c>
      <c r="AC16" s="34">
        <v>100</v>
      </c>
    </row>
    <row r="17" spans="1:29" ht="15" customHeight="1" x14ac:dyDescent="0.3">
      <c r="A17" s="20" t="s">
        <v>741</v>
      </c>
      <c r="B17" s="20">
        <v>22</v>
      </c>
      <c r="C17" s="20" t="s">
        <v>93</v>
      </c>
      <c r="D17" s="20">
        <v>40010006</v>
      </c>
      <c r="E17" s="20" t="s">
        <v>676</v>
      </c>
      <c r="F17" s="20" t="s">
        <v>679</v>
      </c>
      <c r="G17" s="20" t="s">
        <v>778</v>
      </c>
      <c r="H17" s="29">
        <v>101.0859</v>
      </c>
      <c r="I17" s="30">
        <v>2022</v>
      </c>
      <c r="J17" s="30">
        <v>101</v>
      </c>
      <c r="K17" s="30">
        <v>2201</v>
      </c>
      <c r="L17" s="20" t="s">
        <v>94</v>
      </c>
      <c r="M17" s="30">
        <v>2201034</v>
      </c>
      <c r="N17" s="20" t="s">
        <v>121</v>
      </c>
      <c r="O17" s="20" t="s">
        <v>122</v>
      </c>
      <c r="P17" s="20" t="s">
        <v>123</v>
      </c>
      <c r="Q17" s="30">
        <v>220103400</v>
      </c>
      <c r="R17" s="20" t="s">
        <v>124</v>
      </c>
      <c r="S17" s="20" t="s">
        <v>18</v>
      </c>
      <c r="T17" s="30">
        <v>4.7</v>
      </c>
      <c r="U17" s="20" t="s">
        <v>770</v>
      </c>
      <c r="V17" s="22">
        <v>0</v>
      </c>
      <c r="W17" s="22">
        <v>60</v>
      </c>
      <c r="X17" s="22">
        <v>15</v>
      </c>
      <c r="Y17" s="22">
        <v>15</v>
      </c>
      <c r="Z17" s="22">
        <v>15</v>
      </c>
      <c r="AA17" s="22">
        <v>15</v>
      </c>
      <c r="AB17" s="22">
        <v>50</v>
      </c>
      <c r="AC17" s="34">
        <v>100</v>
      </c>
    </row>
    <row r="18" spans="1:29" ht="15" customHeight="1" x14ac:dyDescent="0.3">
      <c r="A18" s="20" t="s">
        <v>741</v>
      </c>
      <c r="B18" s="20">
        <v>22</v>
      </c>
      <c r="C18" s="20" t="s">
        <v>93</v>
      </c>
      <c r="D18" s="20">
        <v>40010028</v>
      </c>
      <c r="E18" s="20" t="s">
        <v>677</v>
      </c>
      <c r="F18" s="20" t="s">
        <v>428</v>
      </c>
      <c r="G18" s="20" t="s">
        <v>779</v>
      </c>
      <c r="H18" s="29">
        <v>11.1111</v>
      </c>
      <c r="I18" s="30">
        <v>2022</v>
      </c>
      <c r="J18" s="30">
        <v>13</v>
      </c>
      <c r="K18" s="30">
        <v>2202</v>
      </c>
      <c r="L18" s="20" t="s">
        <v>125</v>
      </c>
      <c r="M18" s="30">
        <v>2202005</v>
      </c>
      <c r="N18" s="20" t="s">
        <v>126</v>
      </c>
      <c r="O18" s="20" t="s">
        <v>127</v>
      </c>
      <c r="P18" s="20" t="s">
        <v>119</v>
      </c>
      <c r="Q18" s="30">
        <v>220200500</v>
      </c>
      <c r="R18" s="20" t="s">
        <v>128</v>
      </c>
      <c r="S18" s="20" t="s">
        <v>18</v>
      </c>
      <c r="T18" s="30">
        <v>4.3</v>
      </c>
      <c r="U18" s="20" t="s">
        <v>770</v>
      </c>
      <c r="V18" s="22" t="s">
        <v>636</v>
      </c>
      <c r="W18" s="22">
        <v>75</v>
      </c>
      <c r="X18" s="22">
        <v>10</v>
      </c>
      <c r="Y18" s="22">
        <v>20</v>
      </c>
      <c r="Z18" s="22">
        <v>20</v>
      </c>
      <c r="AA18" s="22">
        <v>25</v>
      </c>
      <c r="AB18" s="22">
        <v>0</v>
      </c>
      <c r="AC18" s="34">
        <v>0</v>
      </c>
    </row>
    <row r="19" spans="1:29" ht="15" customHeight="1" x14ac:dyDescent="0.3">
      <c r="A19" s="20" t="s">
        <v>741</v>
      </c>
      <c r="B19" s="20">
        <v>22</v>
      </c>
      <c r="C19" s="20" t="s">
        <v>93</v>
      </c>
      <c r="D19" s="20">
        <v>40010028</v>
      </c>
      <c r="E19" s="20" t="s">
        <v>677</v>
      </c>
      <c r="F19" s="20" t="s">
        <v>428</v>
      </c>
      <c r="G19" s="20" t="s">
        <v>779</v>
      </c>
      <c r="H19" s="29">
        <v>11.1111</v>
      </c>
      <c r="I19" s="30">
        <v>2022</v>
      </c>
      <c r="J19" s="30">
        <v>13</v>
      </c>
      <c r="K19" s="30">
        <v>2202</v>
      </c>
      <c r="L19" s="20" t="s">
        <v>125</v>
      </c>
      <c r="M19" s="30">
        <v>2202005</v>
      </c>
      <c r="N19" s="20" t="s">
        <v>126</v>
      </c>
      <c r="O19" s="20" t="s">
        <v>127</v>
      </c>
      <c r="P19" s="20" t="s">
        <v>119</v>
      </c>
      <c r="Q19" s="30">
        <v>220200503</v>
      </c>
      <c r="R19" s="20" t="s">
        <v>129</v>
      </c>
      <c r="S19" s="20" t="s">
        <v>18</v>
      </c>
      <c r="T19" s="30">
        <v>4.3</v>
      </c>
      <c r="U19" s="20" t="s">
        <v>770</v>
      </c>
      <c r="V19" s="22" t="s">
        <v>636</v>
      </c>
      <c r="W19" s="22">
        <v>8</v>
      </c>
      <c r="X19" s="22">
        <v>2</v>
      </c>
      <c r="Y19" s="22">
        <v>2</v>
      </c>
      <c r="Z19" s="22">
        <v>2</v>
      </c>
      <c r="AA19" s="22">
        <v>2</v>
      </c>
      <c r="AB19" s="22">
        <v>0</v>
      </c>
      <c r="AC19" s="34">
        <v>0</v>
      </c>
    </row>
    <row r="20" spans="1:29" ht="15" customHeight="1" x14ac:dyDescent="0.3">
      <c r="A20" s="20" t="s">
        <v>741</v>
      </c>
      <c r="B20" s="20">
        <v>43</v>
      </c>
      <c r="C20" s="20" t="s">
        <v>158</v>
      </c>
      <c r="D20" s="20">
        <v>270030003</v>
      </c>
      <c r="E20" s="20" t="s">
        <v>722</v>
      </c>
      <c r="F20" s="20" t="s">
        <v>797</v>
      </c>
      <c r="G20" s="20" t="s">
        <v>798</v>
      </c>
      <c r="H20" s="29" t="s">
        <v>803</v>
      </c>
      <c r="I20" s="30" t="s">
        <v>803</v>
      </c>
      <c r="J20" s="30">
        <v>480</v>
      </c>
      <c r="K20" s="30">
        <v>4301</v>
      </c>
      <c r="L20" s="20" t="s">
        <v>159</v>
      </c>
      <c r="M20" s="30">
        <v>4301001</v>
      </c>
      <c r="N20" s="20" t="s">
        <v>160</v>
      </c>
      <c r="O20" s="20" t="s">
        <v>161</v>
      </c>
      <c r="P20" s="20" t="s">
        <v>40</v>
      </c>
      <c r="Q20" s="30">
        <v>430100100</v>
      </c>
      <c r="R20" s="20" t="s">
        <v>162</v>
      </c>
      <c r="S20" s="20" t="s">
        <v>18</v>
      </c>
      <c r="T20" s="30">
        <v>3.4</v>
      </c>
      <c r="U20" s="20" t="s">
        <v>770</v>
      </c>
      <c r="V20" s="22">
        <v>3420</v>
      </c>
      <c r="W20" s="22">
        <v>5000</v>
      </c>
      <c r="X20" s="22">
        <v>1250</v>
      </c>
      <c r="Y20" s="22">
        <v>1250</v>
      </c>
      <c r="Z20" s="22">
        <v>1250</v>
      </c>
      <c r="AA20" s="22">
        <v>1250</v>
      </c>
      <c r="AB20" s="22">
        <v>1100</v>
      </c>
      <c r="AC20" s="34">
        <v>88</v>
      </c>
    </row>
    <row r="21" spans="1:29" ht="15" customHeight="1" x14ac:dyDescent="0.3">
      <c r="A21" s="20" t="s">
        <v>741</v>
      </c>
      <c r="B21" s="20">
        <v>43</v>
      </c>
      <c r="C21" s="20" t="s">
        <v>158</v>
      </c>
      <c r="D21" s="20">
        <v>270030003</v>
      </c>
      <c r="E21" s="20" t="s">
        <v>722</v>
      </c>
      <c r="F21" s="20" t="s">
        <v>797</v>
      </c>
      <c r="G21" s="20" t="s">
        <v>798</v>
      </c>
      <c r="H21" s="29" t="s">
        <v>803</v>
      </c>
      <c r="I21" s="30" t="s">
        <v>803</v>
      </c>
      <c r="J21" s="30">
        <v>480</v>
      </c>
      <c r="K21" s="30">
        <v>4301</v>
      </c>
      <c r="L21" s="20" t="s">
        <v>159</v>
      </c>
      <c r="M21" s="30">
        <v>4301007</v>
      </c>
      <c r="N21" s="20" t="s">
        <v>167</v>
      </c>
      <c r="O21" s="20" t="s">
        <v>168</v>
      </c>
      <c r="P21" s="20" t="s">
        <v>169</v>
      </c>
      <c r="Q21" s="30">
        <v>430100700</v>
      </c>
      <c r="R21" s="20" t="s">
        <v>170</v>
      </c>
      <c r="S21" s="20" t="s">
        <v>18</v>
      </c>
      <c r="T21" s="30" t="s">
        <v>587</v>
      </c>
      <c r="U21" s="20" t="s">
        <v>770</v>
      </c>
      <c r="V21" s="22">
        <v>780</v>
      </c>
      <c r="W21" s="22">
        <v>1200</v>
      </c>
      <c r="X21" s="22">
        <v>300</v>
      </c>
      <c r="Y21" s="22">
        <v>300</v>
      </c>
      <c r="Z21" s="22">
        <v>300</v>
      </c>
      <c r="AA21" s="22">
        <v>300</v>
      </c>
      <c r="AB21" s="22">
        <v>310</v>
      </c>
      <c r="AC21" s="34">
        <v>100</v>
      </c>
    </row>
    <row r="22" spans="1:29" ht="15" customHeight="1" x14ac:dyDescent="0.3">
      <c r="A22" s="20" t="s">
        <v>741</v>
      </c>
      <c r="B22" s="20">
        <v>41</v>
      </c>
      <c r="C22" s="20" t="s">
        <v>12</v>
      </c>
      <c r="D22" s="20">
        <v>140010051</v>
      </c>
      <c r="E22" s="20" t="s">
        <v>720</v>
      </c>
      <c r="F22" s="20" t="s">
        <v>428</v>
      </c>
      <c r="G22" s="20" t="s">
        <v>774</v>
      </c>
      <c r="H22" s="29">
        <v>77.937399999999997</v>
      </c>
      <c r="I22" s="30">
        <v>2023</v>
      </c>
      <c r="J22" s="30">
        <v>72</v>
      </c>
      <c r="K22" s="30">
        <v>4102</v>
      </c>
      <c r="L22" s="20" t="s">
        <v>13</v>
      </c>
      <c r="M22" s="30">
        <v>4102042</v>
      </c>
      <c r="N22" s="20" t="s">
        <v>345</v>
      </c>
      <c r="O22" s="20" t="s">
        <v>346</v>
      </c>
      <c r="P22" s="20" t="s">
        <v>347</v>
      </c>
      <c r="Q22" s="30">
        <v>410204201</v>
      </c>
      <c r="R22" s="20" t="s">
        <v>348</v>
      </c>
      <c r="S22" s="20" t="s">
        <v>18</v>
      </c>
      <c r="T22" s="30">
        <v>16.7</v>
      </c>
      <c r="U22" s="20" t="s">
        <v>19</v>
      </c>
      <c r="V22" s="22">
        <v>10</v>
      </c>
      <c r="W22" s="22">
        <v>80</v>
      </c>
      <c r="X22" s="22">
        <v>20</v>
      </c>
      <c r="Y22" s="22">
        <v>20</v>
      </c>
      <c r="Z22" s="22">
        <v>20</v>
      </c>
      <c r="AA22" s="22">
        <v>20</v>
      </c>
      <c r="AB22" s="22">
        <v>20</v>
      </c>
      <c r="AC22" s="34">
        <v>100</v>
      </c>
    </row>
    <row r="23" spans="1:29" ht="15" customHeight="1" x14ac:dyDescent="0.3">
      <c r="A23" s="20" t="s">
        <v>741</v>
      </c>
      <c r="B23" s="20">
        <v>41</v>
      </c>
      <c r="C23" s="20" t="s">
        <v>12</v>
      </c>
      <c r="D23" s="20">
        <v>140010051</v>
      </c>
      <c r="E23" s="20" t="s">
        <v>720</v>
      </c>
      <c r="F23" s="20" t="s">
        <v>428</v>
      </c>
      <c r="G23" s="20" t="s">
        <v>774</v>
      </c>
      <c r="H23" s="29">
        <v>77.937399999999997</v>
      </c>
      <c r="I23" s="30">
        <v>2023</v>
      </c>
      <c r="J23" s="30">
        <v>72</v>
      </c>
      <c r="K23" s="30">
        <v>4102</v>
      </c>
      <c r="L23" s="20" t="s">
        <v>13</v>
      </c>
      <c r="M23" s="30">
        <v>4102043</v>
      </c>
      <c r="N23" s="20" t="s">
        <v>349</v>
      </c>
      <c r="O23" s="20" t="s">
        <v>350</v>
      </c>
      <c r="P23" s="20" t="s">
        <v>351</v>
      </c>
      <c r="Q23" s="30">
        <v>410204301</v>
      </c>
      <c r="R23" s="20" t="s">
        <v>352</v>
      </c>
      <c r="S23" s="20" t="s">
        <v>18</v>
      </c>
      <c r="T23" s="30">
        <v>16.3</v>
      </c>
      <c r="U23" s="20" t="s">
        <v>19</v>
      </c>
      <c r="V23" s="22">
        <v>20</v>
      </c>
      <c r="W23" s="22">
        <v>120</v>
      </c>
      <c r="X23" s="22">
        <v>30</v>
      </c>
      <c r="Y23" s="22">
        <v>30</v>
      </c>
      <c r="Z23" s="22">
        <v>30</v>
      </c>
      <c r="AA23" s="22">
        <v>30</v>
      </c>
      <c r="AB23" s="22">
        <v>42</v>
      </c>
      <c r="AC23" s="34">
        <v>100</v>
      </c>
    </row>
    <row r="24" spans="1:29" ht="15" customHeight="1" x14ac:dyDescent="0.3">
      <c r="A24" s="20" t="s">
        <v>741</v>
      </c>
      <c r="B24" s="20">
        <v>43</v>
      </c>
      <c r="C24" s="20" t="s">
        <v>158</v>
      </c>
      <c r="D24" s="20">
        <v>270030003</v>
      </c>
      <c r="E24" s="20" t="s">
        <v>722</v>
      </c>
      <c r="F24" s="20" t="s">
        <v>797</v>
      </c>
      <c r="G24" s="20" t="s">
        <v>798</v>
      </c>
      <c r="H24" s="29" t="s">
        <v>803</v>
      </c>
      <c r="I24" s="30" t="s">
        <v>803</v>
      </c>
      <c r="J24" s="30">
        <v>480</v>
      </c>
      <c r="K24" s="30">
        <v>4301</v>
      </c>
      <c r="L24" s="20" t="s">
        <v>159</v>
      </c>
      <c r="M24" s="30">
        <v>4301037</v>
      </c>
      <c r="N24" s="20" t="s">
        <v>353</v>
      </c>
      <c r="O24" s="20" t="s">
        <v>354</v>
      </c>
      <c r="P24" s="20" t="s">
        <v>40</v>
      </c>
      <c r="Q24" s="30">
        <v>430103700</v>
      </c>
      <c r="R24" s="20" t="s">
        <v>355</v>
      </c>
      <c r="S24" s="20" t="s">
        <v>18</v>
      </c>
      <c r="T24" s="30">
        <v>3.4</v>
      </c>
      <c r="U24" s="20" t="s">
        <v>770</v>
      </c>
      <c r="V24" s="22">
        <v>2145</v>
      </c>
      <c r="W24" s="22">
        <v>3200</v>
      </c>
      <c r="X24" s="22">
        <v>800</v>
      </c>
      <c r="Y24" s="22">
        <v>800</v>
      </c>
      <c r="Z24" s="22">
        <v>800</v>
      </c>
      <c r="AA24" s="22">
        <v>800</v>
      </c>
      <c r="AB24" s="22">
        <v>842</v>
      </c>
      <c r="AC24" s="34">
        <v>100</v>
      </c>
    </row>
    <row r="25" spans="1:29" ht="15" customHeight="1" x14ac:dyDescent="0.3">
      <c r="A25" s="20" t="s">
        <v>741</v>
      </c>
      <c r="B25" s="20">
        <v>22</v>
      </c>
      <c r="C25" s="20" t="s">
        <v>93</v>
      </c>
      <c r="D25" s="20">
        <v>40010006</v>
      </c>
      <c r="E25" s="20" t="s">
        <v>676</v>
      </c>
      <c r="F25" s="20" t="s">
        <v>679</v>
      </c>
      <c r="G25" s="20" t="s">
        <v>778</v>
      </c>
      <c r="H25" s="29">
        <v>101.0859</v>
      </c>
      <c r="I25" s="30">
        <v>2022</v>
      </c>
      <c r="J25" s="30">
        <v>101</v>
      </c>
      <c r="K25" s="30">
        <v>2201</v>
      </c>
      <c r="L25" s="20" t="s">
        <v>94</v>
      </c>
      <c r="M25" s="30">
        <v>2201049</v>
      </c>
      <c r="N25" s="20" t="s">
        <v>186</v>
      </c>
      <c r="O25" s="20" t="s">
        <v>360</v>
      </c>
      <c r="P25" s="20" t="s">
        <v>40</v>
      </c>
      <c r="Q25" s="30">
        <v>220104902</v>
      </c>
      <c r="R25" s="20" t="s">
        <v>361</v>
      </c>
      <c r="S25" s="20" t="s">
        <v>18</v>
      </c>
      <c r="T25" s="30">
        <v>4.7</v>
      </c>
      <c r="U25" s="20" t="s">
        <v>770</v>
      </c>
      <c r="V25" s="22">
        <v>1</v>
      </c>
      <c r="W25" s="22">
        <v>4</v>
      </c>
      <c r="X25" s="22">
        <v>1</v>
      </c>
      <c r="Y25" s="22">
        <v>1</v>
      </c>
      <c r="Z25" s="22">
        <v>1</v>
      </c>
      <c r="AA25" s="22">
        <v>1</v>
      </c>
      <c r="AB25" s="22">
        <v>0</v>
      </c>
      <c r="AC25" s="34">
        <v>0</v>
      </c>
    </row>
    <row r="26" spans="1:29" ht="15" customHeight="1" x14ac:dyDescent="0.3">
      <c r="A26" s="20" t="s">
        <v>741</v>
      </c>
      <c r="B26" s="20">
        <v>33</v>
      </c>
      <c r="C26" s="20" t="s">
        <v>83</v>
      </c>
      <c r="D26" s="20">
        <v>270030002</v>
      </c>
      <c r="E26" s="20" t="s">
        <v>760</v>
      </c>
      <c r="F26" s="20" t="s">
        <v>428</v>
      </c>
      <c r="G26" s="20" t="s">
        <v>798</v>
      </c>
      <c r="H26" s="29" t="s">
        <v>803</v>
      </c>
      <c r="I26" s="30" t="s">
        <v>803</v>
      </c>
      <c r="J26" s="30">
        <v>80</v>
      </c>
      <c r="K26" s="30">
        <v>3301</v>
      </c>
      <c r="L26" s="20" t="s">
        <v>84</v>
      </c>
      <c r="M26" s="30">
        <v>3301085</v>
      </c>
      <c r="N26" s="20" t="s">
        <v>365</v>
      </c>
      <c r="O26" s="20" t="s">
        <v>366</v>
      </c>
      <c r="P26" s="20" t="s">
        <v>367</v>
      </c>
      <c r="Q26" s="30">
        <v>330108500</v>
      </c>
      <c r="R26" s="20" t="s">
        <v>368</v>
      </c>
      <c r="S26" s="20" t="s">
        <v>18</v>
      </c>
      <c r="T26" s="30" t="s">
        <v>590</v>
      </c>
      <c r="U26" s="20" t="s">
        <v>770</v>
      </c>
      <c r="V26" s="22">
        <v>650</v>
      </c>
      <c r="W26" s="22">
        <v>800</v>
      </c>
      <c r="X26" s="22">
        <v>200</v>
      </c>
      <c r="Y26" s="22">
        <v>200</v>
      </c>
      <c r="Z26" s="22">
        <v>200</v>
      </c>
      <c r="AA26" s="22">
        <v>200</v>
      </c>
      <c r="AB26" s="22">
        <v>756</v>
      </c>
      <c r="AC26" s="34">
        <v>100</v>
      </c>
    </row>
    <row r="27" spans="1:29" ht="15" customHeight="1" x14ac:dyDescent="0.3">
      <c r="A27" s="20" t="s">
        <v>741</v>
      </c>
      <c r="B27" s="20">
        <v>22</v>
      </c>
      <c r="C27" s="20" t="s">
        <v>93</v>
      </c>
      <c r="D27" s="20">
        <v>40010006</v>
      </c>
      <c r="E27" s="20" t="s">
        <v>676</v>
      </c>
      <c r="F27" s="20" t="s">
        <v>679</v>
      </c>
      <c r="G27" s="20" t="s">
        <v>778</v>
      </c>
      <c r="H27" s="29">
        <v>101.0859</v>
      </c>
      <c r="I27" s="30">
        <v>2022</v>
      </c>
      <c r="J27" s="30">
        <v>101</v>
      </c>
      <c r="K27" s="30">
        <v>2201</v>
      </c>
      <c r="L27" s="20" t="s">
        <v>94</v>
      </c>
      <c r="M27" s="30">
        <v>2201073</v>
      </c>
      <c r="N27" s="20" t="s">
        <v>370</v>
      </c>
      <c r="O27" s="20" t="s">
        <v>371</v>
      </c>
      <c r="P27" s="20" t="s">
        <v>123</v>
      </c>
      <c r="Q27" s="30">
        <v>220107304</v>
      </c>
      <c r="R27" s="20" t="s">
        <v>372</v>
      </c>
      <c r="S27" s="20" t="s">
        <v>18</v>
      </c>
      <c r="T27" s="30">
        <v>17.18</v>
      </c>
      <c r="U27" s="20" t="s">
        <v>770</v>
      </c>
      <c r="V27" s="22">
        <v>138</v>
      </c>
      <c r="W27" s="22">
        <v>200</v>
      </c>
      <c r="X27" s="22">
        <v>50</v>
      </c>
      <c r="Y27" s="22">
        <v>50</v>
      </c>
      <c r="Z27" s="22">
        <v>50</v>
      </c>
      <c r="AA27" s="22">
        <v>50</v>
      </c>
      <c r="AB27" s="22">
        <v>30</v>
      </c>
      <c r="AC27" s="34">
        <v>60</v>
      </c>
    </row>
    <row r="28" spans="1:29" ht="15" customHeight="1" x14ac:dyDescent="0.3">
      <c r="A28" s="20" t="s">
        <v>741</v>
      </c>
      <c r="B28" s="20">
        <v>33</v>
      </c>
      <c r="C28" s="20" t="s">
        <v>83</v>
      </c>
      <c r="D28" s="20">
        <v>270030002</v>
      </c>
      <c r="E28" s="20" t="s">
        <v>760</v>
      </c>
      <c r="F28" s="20" t="s">
        <v>428</v>
      </c>
      <c r="G28" s="20" t="s">
        <v>798</v>
      </c>
      <c r="H28" s="29" t="s">
        <v>803</v>
      </c>
      <c r="I28" s="30" t="s">
        <v>803</v>
      </c>
      <c r="J28" s="30">
        <v>80</v>
      </c>
      <c r="K28" s="30">
        <v>3301</v>
      </c>
      <c r="L28" s="20" t="s">
        <v>84</v>
      </c>
      <c r="M28" s="30">
        <v>3301053</v>
      </c>
      <c r="N28" s="20" t="s">
        <v>373</v>
      </c>
      <c r="O28" s="20" t="s">
        <v>374</v>
      </c>
      <c r="P28" s="20" t="s">
        <v>375</v>
      </c>
      <c r="Q28" s="30">
        <v>330105300</v>
      </c>
      <c r="R28" s="20" t="s">
        <v>376</v>
      </c>
      <c r="S28" s="20" t="s">
        <v>18</v>
      </c>
      <c r="T28" s="30">
        <v>11.4</v>
      </c>
      <c r="U28" s="20" t="s">
        <v>770</v>
      </c>
      <c r="V28" s="22">
        <v>10</v>
      </c>
      <c r="W28" s="22">
        <v>20</v>
      </c>
      <c r="X28" s="22">
        <v>5</v>
      </c>
      <c r="Y28" s="22">
        <v>5</v>
      </c>
      <c r="Z28" s="22">
        <v>5</v>
      </c>
      <c r="AA28" s="22">
        <v>5</v>
      </c>
      <c r="AB28" s="22">
        <v>15</v>
      </c>
      <c r="AC28" s="34">
        <v>100</v>
      </c>
    </row>
    <row r="29" spans="1:29" ht="15" customHeight="1" x14ac:dyDescent="0.3">
      <c r="A29" s="20" t="s">
        <v>741</v>
      </c>
      <c r="B29" s="20">
        <v>33</v>
      </c>
      <c r="C29" s="20" t="s">
        <v>83</v>
      </c>
      <c r="D29" s="20">
        <v>270030002</v>
      </c>
      <c r="E29" s="20" t="s">
        <v>760</v>
      </c>
      <c r="F29" s="20" t="s">
        <v>428</v>
      </c>
      <c r="G29" s="20" t="s">
        <v>798</v>
      </c>
      <c r="H29" s="29" t="s">
        <v>803</v>
      </c>
      <c r="I29" s="30" t="s">
        <v>803</v>
      </c>
      <c r="J29" s="30">
        <v>80</v>
      </c>
      <c r="K29" s="30">
        <v>3301</v>
      </c>
      <c r="L29" s="20" t="s">
        <v>84</v>
      </c>
      <c r="M29" s="30">
        <v>3301073</v>
      </c>
      <c r="N29" s="20" t="s">
        <v>377</v>
      </c>
      <c r="O29" s="20" t="s">
        <v>378</v>
      </c>
      <c r="P29" s="20" t="s">
        <v>379</v>
      </c>
      <c r="Q29" s="30">
        <v>330107300</v>
      </c>
      <c r="R29" s="20" t="s">
        <v>380</v>
      </c>
      <c r="S29" s="20" t="s">
        <v>18</v>
      </c>
      <c r="T29" s="30">
        <v>11.4</v>
      </c>
      <c r="U29" s="20" t="s">
        <v>770</v>
      </c>
      <c r="V29" s="22">
        <v>7</v>
      </c>
      <c r="W29" s="22">
        <v>12</v>
      </c>
      <c r="X29" s="22">
        <v>3</v>
      </c>
      <c r="Y29" s="22">
        <v>3</v>
      </c>
      <c r="Z29" s="22">
        <v>3</v>
      </c>
      <c r="AA29" s="22">
        <v>3</v>
      </c>
      <c r="AB29" s="22">
        <v>5</v>
      </c>
      <c r="AC29" s="34">
        <v>100</v>
      </c>
    </row>
    <row r="30" spans="1:29" ht="15" customHeight="1" x14ac:dyDescent="0.3">
      <c r="A30" s="20" t="s">
        <v>741</v>
      </c>
      <c r="B30" s="20">
        <v>33</v>
      </c>
      <c r="C30" s="20" t="s">
        <v>83</v>
      </c>
      <c r="D30" s="20">
        <v>270030002</v>
      </c>
      <c r="E30" s="20" t="s">
        <v>760</v>
      </c>
      <c r="F30" s="20" t="s">
        <v>760</v>
      </c>
      <c r="G30" s="20" t="s">
        <v>798</v>
      </c>
      <c r="H30" s="29" t="s">
        <v>803</v>
      </c>
      <c r="I30" s="30" t="s">
        <v>803</v>
      </c>
      <c r="J30" s="30">
        <v>80</v>
      </c>
      <c r="K30" s="30">
        <v>3301</v>
      </c>
      <c r="L30" s="20" t="s">
        <v>84</v>
      </c>
      <c r="M30" s="30">
        <v>3301126</v>
      </c>
      <c r="N30" s="20" t="s">
        <v>381</v>
      </c>
      <c r="O30" s="20" t="s">
        <v>382</v>
      </c>
      <c r="P30" s="20" t="s">
        <v>383</v>
      </c>
      <c r="Q30" s="30">
        <v>330112600</v>
      </c>
      <c r="R30" s="20" t="s">
        <v>384</v>
      </c>
      <c r="S30" s="20" t="s">
        <v>18</v>
      </c>
      <c r="T30" s="30" t="s">
        <v>590</v>
      </c>
      <c r="U30" s="20" t="s">
        <v>770</v>
      </c>
      <c r="V30" s="22">
        <v>3</v>
      </c>
      <c r="W30" s="22">
        <v>16</v>
      </c>
      <c r="X30" s="22">
        <v>4</v>
      </c>
      <c r="Y30" s="22">
        <v>4</v>
      </c>
      <c r="Z30" s="22">
        <v>4</v>
      </c>
      <c r="AA30" s="22">
        <v>4</v>
      </c>
      <c r="AB30" s="22">
        <v>4</v>
      </c>
      <c r="AC30" s="34">
        <v>100</v>
      </c>
    </row>
    <row r="31" spans="1:29" ht="15" customHeight="1" x14ac:dyDescent="0.3">
      <c r="A31" s="20" t="s">
        <v>741</v>
      </c>
      <c r="B31" s="20">
        <v>41</v>
      </c>
      <c r="C31" s="20" t="s">
        <v>12</v>
      </c>
      <c r="D31" s="24">
        <v>20100040</v>
      </c>
      <c r="E31" s="20" t="s">
        <v>763</v>
      </c>
      <c r="F31" s="20" t="s">
        <v>719</v>
      </c>
      <c r="G31" s="20" t="s">
        <v>780</v>
      </c>
      <c r="H31" s="29">
        <v>0</v>
      </c>
      <c r="I31" s="30">
        <v>2021</v>
      </c>
      <c r="J31" s="30">
        <v>0</v>
      </c>
      <c r="K31" s="30">
        <v>4104</v>
      </c>
      <c r="L31" s="20" t="s">
        <v>482</v>
      </c>
      <c r="M31" s="30">
        <v>4104008</v>
      </c>
      <c r="N31" s="20" t="s">
        <v>483</v>
      </c>
      <c r="O31" s="20" t="s">
        <v>484</v>
      </c>
      <c r="P31" s="20" t="s">
        <v>485</v>
      </c>
      <c r="Q31" s="30">
        <v>410400800</v>
      </c>
      <c r="R31" s="20" t="s">
        <v>486</v>
      </c>
      <c r="S31" s="20" t="s">
        <v>18</v>
      </c>
      <c r="T31" s="30">
        <v>1.3</v>
      </c>
      <c r="U31" s="20" t="s">
        <v>770</v>
      </c>
      <c r="V31" s="22">
        <v>700</v>
      </c>
      <c r="W31" s="22">
        <v>720</v>
      </c>
      <c r="X31" s="22">
        <v>180</v>
      </c>
      <c r="Y31" s="22">
        <v>180</v>
      </c>
      <c r="Z31" s="22">
        <v>180</v>
      </c>
      <c r="AA31" s="22">
        <v>180</v>
      </c>
      <c r="AB31" s="22">
        <v>200</v>
      </c>
      <c r="AC31" s="34">
        <v>100</v>
      </c>
    </row>
    <row r="32" spans="1:29" ht="15" customHeight="1" x14ac:dyDescent="0.3">
      <c r="A32" s="20" t="s">
        <v>741</v>
      </c>
      <c r="B32" s="20">
        <v>41</v>
      </c>
      <c r="C32" s="20" t="s">
        <v>12</v>
      </c>
      <c r="D32" s="24">
        <v>20100040</v>
      </c>
      <c r="E32" s="20" t="s">
        <v>763</v>
      </c>
      <c r="F32" s="20" t="s">
        <v>719</v>
      </c>
      <c r="G32" s="20" t="s">
        <v>780</v>
      </c>
      <c r="H32" s="29">
        <v>0</v>
      </c>
      <c r="I32" s="30">
        <v>2021</v>
      </c>
      <c r="J32" s="30">
        <v>0</v>
      </c>
      <c r="K32" s="30">
        <v>4104</v>
      </c>
      <c r="L32" s="20" t="s">
        <v>482</v>
      </c>
      <c r="M32" s="30">
        <v>4104020</v>
      </c>
      <c r="N32" s="20" t="s">
        <v>491</v>
      </c>
      <c r="O32" s="20" t="s">
        <v>492</v>
      </c>
      <c r="P32" s="20" t="s">
        <v>40</v>
      </c>
      <c r="Q32" s="30">
        <v>410402000</v>
      </c>
      <c r="R32" s="20" t="s">
        <v>493</v>
      </c>
      <c r="S32" s="20" t="s">
        <v>18</v>
      </c>
      <c r="T32" s="30">
        <v>1.3</v>
      </c>
      <c r="U32" s="20" t="s">
        <v>770</v>
      </c>
      <c r="V32" s="22" t="s">
        <v>636</v>
      </c>
      <c r="W32" s="22">
        <v>100</v>
      </c>
      <c r="X32" s="22">
        <v>25</v>
      </c>
      <c r="Y32" s="22">
        <v>25</v>
      </c>
      <c r="Z32" s="22">
        <v>25</v>
      </c>
      <c r="AA32" s="22">
        <v>25</v>
      </c>
      <c r="AB32" s="22">
        <v>30</v>
      </c>
      <c r="AC32" s="34">
        <v>100</v>
      </c>
    </row>
    <row r="33" spans="1:29" ht="15" customHeight="1" x14ac:dyDescent="0.3">
      <c r="A33" s="20" t="s">
        <v>741</v>
      </c>
      <c r="B33" s="20">
        <v>41</v>
      </c>
      <c r="C33" s="20" t="s">
        <v>12</v>
      </c>
      <c r="D33" s="20">
        <v>140010004</v>
      </c>
      <c r="E33" s="20" t="s">
        <v>709</v>
      </c>
      <c r="F33" s="20" t="s">
        <v>679</v>
      </c>
      <c r="G33" s="20" t="s">
        <v>774</v>
      </c>
      <c r="H33" s="29">
        <v>30.7</v>
      </c>
      <c r="I33" s="30">
        <v>2018</v>
      </c>
      <c r="J33" s="30">
        <v>35</v>
      </c>
      <c r="K33" s="30">
        <v>4104</v>
      </c>
      <c r="L33" s="20" t="s">
        <v>482</v>
      </c>
      <c r="M33" s="30">
        <v>4104027</v>
      </c>
      <c r="N33" s="20" t="s">
        <v>494</v>
      </c>
      <c r="O33" s="20" t="s">
        <v>495</v>
      </c>
      <c r="P33" s="20" t="s">
        <v>40</v>
      </c>
      <c r="Q33" s="30">
        <v>410402700</v>
      </c>
      <c r="R33" s="20" t="s">
        <v>496</v>
      </c>
      <c r="S33" s="20" t="s">
        <v>18</v>
      </c>
      <c r="T33" s="30">
        <v>1.3</v>
      </c>
      <c r="U33" s="20" t="s">
        <v>19</v>
      </c>
      <c r="V33" s="22">
        <v>5</v>
      </c>
      <c r="W33" s="22">
        <v>20</v>
      </c>
      <c r="X33" s="22">
        <v>5</v>
      </c>
      <c r="Y33" s="22">
        <v>5</v>
      </c>
      <c r="Z33" s="22">
        <v>5</v>
      </c>
      <c r="AA33" s="22">
        <v>5</v>
      </c>
      <c r="AB33" s="22">
        <v>1</v>
      </c>
      <c r="AC33" s="34">
        <v>20</v>
      </c>
    </row>
    <row r="34" spans="1:29" ht="14.4" customHeight="1" x14ac:dyDescent="0.3">
      <c r="A34" s="20" t="s">
        <v>741</v>
      </c>
      <c r="B34" s="20">
        <v>19</v>
      </c>
      <c r="C34" s="20" t="s">
        <v>47</v>
      </c>
      <c r="D34" s="20">
        <v>80030002</v>
      </c>
      <c r="E34" s="20" t="s">
        <v>752</v>
      </c>
      <c r="F34" s="20" t="s">
        <v>719</v>
      </c>
      <c r="G34" s="20" t="s">
        <v>777</v>
      </c>
      <c r="H34" s="29">
        <v>75.596100000000007</v>
      </c>
      <c r="I34" s="30">
        <v>2022</v>
      </c>
      <c r="J34" s="30">
        <v>85</v>
      </c>
      <c r="K34" s="30">
        <v>1905</v>
      </c>
      <c r="L34" s="20" t="s">
        <v>497</v>
      </c>
      <c r="M34" s="30">
        <v>1905015</v>
      </c>
      <c r="N34" s="20" t="s">
        <v>95</v>
      </c>
      <c r="O34" s="20" t="s">
        <v>356</v>
      </c>
      <c r="P34" s="20" t="s">
        <v>26</v>
      </c>
      <c r="Q34" s="30">
        <v>190501500</v>
      </c>
      <c r="R34" s="20" t="s">
        <v>338</v>
      </c>
      <c r="S34" s="20" t="s">
        <v>18</v>
      </c>
      <c r="T34" s="30" t="s">
        <v>594</v>
      </c>
      <c r="U34" s="20" t="s">
        <v>770</v>
      </c>
      <c r="V34" s="22">
        <v>1</v>
      </c>
      <c r="W34" s="22">
        <v>4</v>
      </c>
      <c r="X34" s="22">
        <v>1</v>
      </c>
      <c r="Y34" s="22">
        <v>1</v>
      </c>
      <c r="Z34" s="22">
        <v>1</v>
      </c>
      <c r="AA34" s="22">
        <v>1</v>
      </c>
      <c r="AB34" s="22">
        <v>2</v>
      </c>
      <c r="AC34" s="34">
        <v>100</v>
      </c>
    </row>
    <row r="35" spans="1:29" ht="14.4" customHeight="1" x14ac:dyDescent="0.3">
      <c r="A35" s="20" t="s">
        <v>741</v>
      </c>
      <c r="B35" s="20">
        <v>19</v>
      </c>
      <c r="C35" s="20" t="s">
        <v>47</v>
      </c>
      <c r="D35" s="20">
        <v>50020001</v>
      </c>
      <c r="E35" s="20" t="s">
        <v>753</v>
      </c>
      <c r="F35" s="20" t="s">
        <v>754</v>
      </c>
      <c r="G35" s="20" t="s">
        <v>781</v>
      </c>
      <c r="H35" s="29">
        <v>4.6224999999999996</v>
      </c>
      <c r="I35" s="30">
        <v>2020</v>
      </c>
      <c r="J35" s="30">
        <v>2</v>
      </c>
      <c r="K35" s="30">
        <v>1905</v>
      </c>
      <c r="L35" s="20" t="s">
        <v>497</v>
      </c>
      <c r="M35" s="30">
        <v>1905020</v>
      </c>
      <c r="N35" s="20" t="s">
        <v>501</v>
      </c>
      <c r="O35" s="20" t="s">
        <v>502</v>
      </c>
      <c r="P35" s="20" t="s">
        <v>229</v>
      </c>
      <c r="Q35" s="30">
        <v>190502000</v>
      </c>
      <c r="R35" s="20" t="s">
        <v>503</v>
      </c>
      <c r="S35" s="20" t="s">
        <v>504</v>
      </c>
      <c r="T35" s="30">
        <v>3.5</v>
      </c>
      <c r="U35" s="20" t="s">
        <v>770</v>
      </c>
      <c r="V35" s="22">
        <v>1</v>
      </c>
      <c r="W35" s="22">
        <v>4</v>
      </c>
      <c r="X35" s="22">
        <v>1</v>
      </c>
      <c r="Y35" s="22">
        <v>1</v>
      </c>
      <c r="Z35" s="22">
        <v>1</v>
      </c>
      <c r="AA35" s="22">
        <v>1</v>
      </c>
      <c r="AB35" s="22">
        <v>1</v>
      </c>
      <c r="AC35" s="34">
        <v>100</v>
      </c>
    </row>
    <row r="36" spans="1:29" ht="14.4" customHeight="1" x14ac:dyDescent="0.3">
      <c r="A36" s="20" t="s">
        <v>741</v>
      </c>
      <c r="B36" s="20">
        <v>19</v>
      </c>
      <c r="C36" s="20" t="s">
        <v>47</v>
      </c>
      <c r="D36" s="20">
        <v>50020043</v>
      </c>
      <c r="E36" s="20" t="s">
        <v>748</v>
      </c>
      <c r="F36" s="20" t="s">
        <v>749</v>
      </c>
      <c r="G36" s="20" t="s">
        <v>782</v>
      </c>
      <c r="H36" s="29">
        <v>47.413800000000002</v>
      </c>
      <c r="I36" s="30">
        <v>2021</v>
      </c>
      <c r="J36" s="30">
        <v>15</v>
      </c>
      <c r="K36" s="30">
        <v>1905</v>
      </c>
      <c r="L36" s="20" t="s">
        <v>497</v>
      </c>
      <c r="M36" s="30">
        <v>1905021</v>
      </c>
      <c r="N36" s="20" t="s">
        <v>505</v>
      </c>
      <c r="O36" s="20" t="s">
        <v>506</v>
      </c>
      <c r="P36" s="20" t="s">
        <v>229</v>
      </c>
      <c r="Q36" s="30">
        <v>190502100</v>
      </c>
      <c r="R36" s="20" t="s">
        <v>507</v>
      </c>
      <c r="S36" s="20" t="s">
        <v>18</v>
      </c>
      <c r="T36" s="30">
        <v>3.7</v>
      </c>
      <c r="U36" s="20" t="s">
        <v>770</v>
      </c>
      <c r="V36" s="22">
        <v>1</v>
      </c>
      <c r="W36" s="22">
        <v>4</v>
      </c>
      <c r="X36" s="22">
        <v>1</v>
      </c>
      <c r="Y36" s="22">
        <v>1</v>
      </c>
      <c r="Z36" s="22">
        <v>1</v>
      </c>
      <c r="AA36" s="22">
        <v>1</v>
      </c>
      <c r="AB36" s="22">
        <v>1</v>
      </c>
      <c r="AC36" s="34">
        <v>100</v>
      </c>
    </row>
    <row r="37" spans="1:29" ht="14.4" customHeight="1" x14ac:dyDescent="0.3">
      <c r="A37" s="20" t="s">
        <v>741</v>
      </c>
      <c r="B37" s="20">
        <v>19</v>
      </c>
      <c r="C37" s="20" t="s">
        <v>47</v>
      </c>
      <c r="D37" s="20">
        <v>50020030</v>
      </c>
      <c r="E37" s="20" t="s">
        <v>750</v>
      </c>
      <c r="F37" s="20" t="s">
        <v>751</v>
      </c>
      <c r="G37" s="20" t="s">
        <v>782</v>
      </c>
      <c r="H37" s="29">
        <v>0</v>
      </c>
      <c r="I37" s="30">
        <v>2020</v>
      </c>
      <c r="J37" s="30">
        <v>0</v>
      </c>
      <c r="K37" s="30">
        <v>1905</v>
      </c>
      <c r="L37" s="20" t="s">
        <v>497</v>
      </c>
      <c r="M37" s="30">
        <v>1905022</v>
      </c>
      <c r="N37" s="20" t="s">
        <v>508</v>
      </c>
      <c r="O37" s="20" t="s">
        <v>509</v>
      </c>
      <c r="P37" s="20" t="s">
        <v>229</v>
      </c>
      <c r="Q37" s="30">
        <v>190502200</v>
      </c>
      <c r="R37" s="20" t="s">
        <v>510</v>
      </c>
      <c r="S37" s="20" t="s">
        <v>18</v>
      </c>
      <c r="T37" s="30">
        <v>3.4</v>
      </c>
      <c r="U37" s="20" t="s">
        <v>770</v>
      </c>
      <c r="V37" s="22">
        <v>1</v>
      </c>
      <c r="W37" s="22">
        <v>4</v>
      </c>
      <c r="X37" s="22">
        <v>1</v>
      </c>
      <c r="Y37" s="22">
        <v>1</v>
      </c>
      <c r="Z37" s="22">
        <v>1</v>
      </c>
      <c r="AA37" s="22">
        <v>1</v>
      </c>
      <c r="AB37" s="22">
        <v>1</v>
      </c>
      <c r="AC37" s="34">
        <v>100</v>
      </c>
    </row>
    <row r="38" spans="1:29" ht="14.4" customHeight="1" x14ac:dyDescent="0.3">
      <c r="A38" s="20" t="s">
        <v>741</v>
      </c>
      <c r="B38" s="20">
        <v>19</v>
      </c>
      <c r="C38" s="20" t="s">
        <v>47</v>
      </c>
      <c r="D38" s="20">
        <v>50020001</v>
      </c>
      <c r="E38" s="20" t="s">
        <v>753</v>
      </c>
      <c r="F38" s="20" t="s">
        <v>754</v>
      </c>
      <c r="G38" s="20" t="s">
        <v>781</v>
      </c>
      <c r="H38" s="29">
        <v>4.6224999999999996</v>
      </c>
      <c r="I38" s="30">
        <v>2020</v>
      </c>
      <c r="J38" s="30">
        <v>2</v>
      </c>
      <c r="K38" s="30">
        <v>1905</v>
      </c>
      <c r="L38" s="20" t="s">
        <v>497</v>
      </c>
      <c r="M38" s="30">
        <v>1905023</v>
      </c>
      <c r="N38" s="20" t="s">
        <v>511</v>
      </c>
      <c r="O38" s="20" t="s">
        <v>512</v>
      </c>
      <c r="P38" s="20" t="s">
        <v>229</v>
      </c>
      <c r="Q38" s="30">
        <v>190502300</v>
      </c>
      <c r="R38" s="20" t="s">
        <v>513</v>
      </c>
      <c r="S38" s="20" t="s">
        <v>18</v>
      </c>
      <c r="T38" s="30">
        <v>3.4</v>
      </c>
      <c r="U38" s="20" t="s">
        <v>770</v>
      </c>
      <c r="V38" s="22">
        <v>1</v>
      </c>
      <c r="W38" s="22">
        <v>4</v>
      </c>
      <c r="X38" s="22">
        <v>1</v>
      </c>
      <c r="Y38" s="22">
        <v>1</v>
      </c>
      <c r="Z38" s="22">
        <v>1</v>
      </c>
      <c r="AA38" s="22">
        <v>1</v>
      </c>
      <c r="AB38" s="22">
        <v>1</v>
      </c>
      <c r="AC38" s="34">
        <v>100</v>
      </c>
    </row>
    <row r="39" spans="1:29" ht="14.4" customHeight="1" x14ac:dyDescent="0.3">
      <c r="A39" s="20" t="s">
        <v>741</v>
      </c>
      <c r="B39" s="20">
        <v>19</v>
      </c>
      <c r="C39" s="20" t="s">
        <v>47</v>
      </c>
      <c r="D39" s="20">
        <v>50020001</v>
      </c>
      <c r="E39" s="20" t="s">
        <v>753</v>
      </c>
      <c r="F39" s="20" t="s">
        <v>754</v>
      </c>
      <c r="G39" s="20" t="s">
        <v>781</v>
      </c>
      <c r="H39" s="29">
        <v>4.6224999999999996</v>
      </c>
      <c r="I39" s="30">
        <v>2020</v>
      </c>
      <c r="J39" s="30">
        <v>2</v>
      </c>
      <c r="K39" s="30">
        <v>1905</v>
      </c>
      <c r="L39" s="20" t="s">
        <v>497</v>
      </c>
      <c r="M39" s="30">
        <v>1905024</v>
      </c>
      <c r="N39" s="20" t="s">
        <v>514</v>
      </c>
      <c r="O39" s="20" t="s">
        <v>515</v>
      </c>
      <c r="P39" s="20" t="s">
        <v>229</v>
      </c>
      <c r="Q39" s="30">
        <v>190502400</v>
      </c>
      <c r="R39" s="20" t="s">
        <v>805</v>
      </c>
      <c r="S39" s="20" t="s">
        <v>18</v>
      </c>
      <c r="T39" s="30">
        <v>3.3</v>
      </c>
      <c r="U39" s="20" t="s">
        <v>770</v>
      </c>
      <c r="V39" s="22">
        <v>1</v>
      </c>
      <c r="W39" s="22">
        <v>4</v>
      </c>
      <c r="X39" s="22">
        <v>1</v>
      </c>
      <c r="Y39" s="22">
        <v>1</v>
      </c>
      <c r="Z39" s="22">
        <v>1</v>
      </c>
      <c r="AA39" s="22">
        <v>1</v>
      </c>
      <c r="AB39" s="22">
        <v>1</v>
      </c>
      <c r="AC39" s="34">
        <v>100</v>
      </c>
    </row>
    <row r="40" spans="1:29" ht="14.4" customHeight="1" x14ac:dyDescent="0.3">
      <c r="A40" s="20" t="s">
        <v>741</v>
      </c>
      <c r="B40" s="20">
        <v>19</v>
      </c>
      <c r="C40" s="20" t="s">
        <v>47</v>
      </c>
      <c r="D40" s="20">
        <v>50020001</v>
      </c>
      <c r="E40" s="20" t="s">
        <v>753</v>
      </c>
      <c r="F40" s="20" t="s">
        <v>754</v>
      </c>
      <c r="G40" s="20" t="s">
        <v>781</v>
      </c>
      <c r="H40" s="29">
        <v>4.6224999999999996</v>
      </c>
      <c r="I40" s="30">
        <v>2020</v>
      </c>
      <c r="J40" s="30">
        <v>2</v>
      </c>
      <c r="K40" s="30">
        <v>1905</v>
      </c>
      <c r="L40" s="20" t="s">
        <v>497</v>
      </c>
      <c r="M40" s="30">
        <v>1905025</v>
      </c>
      <c r="N40" s="20" t="s">
        <v>516</v>
      </c>
      <c r="O40" s="20" t="s">
        <v>517</v>
      </c>
      <c r="P40" s="20" t="s">
        <v>229</v>
      </c>
      <c r="Q40" s="30">
        <v>190502500</v>
      </c>
      <c r="R40" s="20" t="s">
        <v>518</v>
      </c>
      <c r="S40" s="20" t="s">
        <v>18</v>
      </c>
      <c r="T40" s="30">
        <v>8.8000000000000007</v>
      </c>
      <c r="U40" s="20" t="s">
        <v>770</v>
      </c>
      <c r="V40" s="22">
        <v>1</v>
      </c>
      <c r="W40" s="22">
        <v>4</v>
      </c>
      <c r="X40" s="22">
        <v>1</v>
      </c>
      <c r="Y40" s="22">
        <v>1</v>
      </c>
      <c r="Z40" s="22">
        <v>1</v>
      </c>
      <c r="AA40" s="22">
        <v>1</v>
      </c>
      <c r="AB40" s="22">
        <v>1</v>
      </c>
      <c r="AC40" s="34">
        <v>100</v>
      </c>
    </row>
    <row r="41" spans="1:29" ht="14.4" customHeight="1" x14ac:dyDescent="0.3">
      <c r="A41" s="20" t="s">
        <v>741</v>
      </c>
      <c r="B41" s="20">
        <v>19</v>
      </c>
      <c r="C41" s="20" t="s">
        <v>47</v>
      </c>
      <c r="D41" s="20">
        <v>50020001</v>
      </c>
      <c r="E41" s="20" t="s">
        <v>753</v>
      </c>
      <c r="F41" s="20" t="s">
        <v>754</v>
      </c>
      <c r="G41" s="20" t="s">
        <v>781</v>
      </c>
      <c r="H41" s="29">
        <v>4.6224999999999996</v>
      </c>
      <c r="I41" s="30">
        <v>2020</v>
      </c>
      <c r="J41" s="30">
        <v>2</v>
      </c>
      <c r="K41" s="30">
        <v>1905</v>
      </c>
      <c r="L41" s="20" t="s">
        <v>497</v>
      </c>
      <c r="M41" s="30">
        <v>1905027</v>
      </c>
      <c r="N41" s="20" t="s">
        <v>519</v>
      </c>
      <c r="O41" s="20" t="s">
        <v>520</v>
      </c>
      <c r="P41" s="20" t="s">
        <v>229</v>
      </c>
      <c r="Q41" s="30">
        <v>190502700</v>
      </c>
      <c r="R41" s="20" t="s">
        <v>521</v>
      </c>
      <c r="S41" s="20" t="s">
        <v>18</v>
      </c>
      <c r="T41" s="30">
        <v>3.8</v>
      </c>
      <c r="U41" s="20" t="s">
        <v>770</v>
      </c>
      <c r="V41" s="22">
        <v>1</v>
      </c>
      <c r="W41" s="22">
        <v>4</v>
      </c>
      <c r="X41" s="22">
        <v>1</v>
      </c>
      <c r="Y41" s="22">
        <v>1</v>
      </c>
      <c r="Z41" s="22">
        <v>1</v>
      </c>
      <c r="AA41" s="22">
        <v>1</v>
      </c>
      <c r="AB41" s="22">
        <v>1</v>
      </c>
      <c r="AC41" s="34">
        <v>100</v>
      </c>
    </row>
    <row r="42" spans="1:29" ht="14.4" customHeight="1" x14ac:dyDescent="0.3">
      <c r="A42" s="20" t="s">
        <v>741</v>
      </c>
      <c r="B42" s="20">
        <v>19</v>
      </c>
      <c r="C42" s="20" t="s">
        <v>47</v>
      </c>
      <c r="D42" s="20">
        <v>50020001</v>
      </c>
      <c r="E42" s="20" t="s">
        <v>753</v>
      </c>
      <c r="F42" s="20" t="s">
        <v>754</v>
      </c>
      <c r="G42" s="20" t="s">
        <v>781</v>
      </c>
      <c r="H42" s="29">
        <v>4.6224999999999996</v>
      </c>
      <c r="I42" s="30">
        <v>2020</v>
      </c>
      <c r="J42" s="30">
        <v>2</v>
      </c>
      <c r="K42" s="30">
        <v>1905</v>
      </c>
      <c r="L42" s="20" t="s">
        <v>497</v>
      </c>
      <c r="M42" s="30">
        <v>1905031</v>
      </c>
      <c r="N42" s="20" t="s">
        <v>525</v>
      </c>
      <c r="O42" s="20" t="s">
        <v>526</v>
      </c>
      <c r="P42" s="20" t="s">
        <v>229</v>
      </c>
      <c r="Q42" s="30">
        <v>190503100</v>
      </c>
      <c r="R42" s="20" t="s">
        <v>527</v>
      </c>
      <c r="S42" s="20" t="s">
        <v>18</v>
      </c>
      <c r="T42" s="30">
        <v>3.4</v>
      </c>
      <c r="U42" s="20" t="s">
        <v>770</v>
      </c>
      <c r="V42" s="22">
        <v>1</v>
      </c>
      <c r="W42" s="22">
        <v>4</v>
      </c>
      <c r="X42" s="22">
        <v>1</v>
      </c>
      <c r="Y42" s="22">
        <v>1</v>
      </c>
      <c r="Z42" s="22">
        <v>1</v>
      </c>
      <c r="AA42" s="22">
        <v>1</v>
      </c>
      <c r="AB42" s="22">
        <v>1</v>
      </c>
      <c r="AC42" s="34">
        <v>100</v>
      </c>
    </row>
    <row r="43" spans="1:29" ht="15" customHeight="1" x14ac:dyDescent="0.3">
      <c r="A43" s="20" t="s">
        <v>741</v>
      </c>
      <c r="B43" s="20">
        <v>41</v>
      </c>
      <c r="C43" s="20" t="s">
        <v>12</v>
      </c>
      <c r="D43" s="20">
        <v>260020010</v>
      </c>
      <c r="E43" s="20" t="s">
        <v>711</v>
      </c>
      <c r="F43" s="20" t="s">
        <v>797</v>
      </c>
      <c r="G43" s="20" t="s">
        <v>804</v>
      </c>
      <c r="H43" s="29" t="s">
        <v>803</v>
      </c>
      <c r="I43" s="30" t="s">
        <v>803</v>
      </c>
      <c r="J43" s="30">
        <v>20</v>
      </c>
      <c r="K43" s="30">
        <v>4101</v>
      </c>
      <c r="L43" s="20" t="s">
        <v>28</v>
      </c>
      <c r="M43" s="30">
        <v>4101091</v>
      </c>
      <c r="N43" s="20" t="s">
        <v>541</v>
      </c>
      <c r="O43" s="20" t="s">
        <v>542</v>
      </c>
      <c r="P43" s="20" t="s">
        <v>33</v>
      </c>
      <c r="Q43" s="30">
        <v>410109100</v>
      </c>
      <c r="R43" s="20" t="s">
        <v>543</v>
      </c>
      <c r="S43" s="20" t="s">
        <v>18</v>
      </c>
      <c r="T43" s="30">
        <v>16.3</v>
      </c>
      <c r="U43" s="20" t="s">
        <v>19</v>
      </c>
      <c r="V43" s="22" t="s">
        <v>636</v>
      </c>
      <c r="W43" s="22">
        <v>20</v>
      </c>
      <c r="X43" s="22">
        <v>5</v>
      </c>
      <c r="Y43" s="22">
        <v>5</v>
      </c>
      <c r="Z43" s="22">
        <v>5</v>
      </c>
      <c r="AA43" s="22">
        <v>5</v>
      </c>
      <c r="AB43" s="22">
        <v>5</v>
      </c>
      <c r="AC43" s="34">
        <v>100</v>
      </c>
    </row>
    <row r="44" spans="1:29" ht="15" customHeight="1" x14ac:dyDescent="0.3">
      <c r="A44" s="20" t="s">
        <v>741</v>
      </c>
      <c r="B44" s="20">
        <v>41</v>
      </c>
      <c r="C44" s="20" t="s">
        <v>12</v>
      </c>
      <c r="D44" s="20">
        <v>260020010</v>
      </c>
      <c r="E44" s="20" t="s">
        <v>711</v>
      </c>
      <c r="F44" s="20" t="s">
        <v>797</v>
      </c>
      <c r="G44" s="20" t="s">
        <v>804</v>
      </c>
      <c r="H44" s="29" t="s">
        <v>803</v>
      </c>
      <c r="I44" s="30" t="s">
        <v>803</v>
      </c>
      <c r="J44" s="30">
        <v>20</v>
      </c>
      <c r="K44" s="30">
        <v>4101</v>
      </c>
      <c r="L44" s="20" t="s">
        <v>28</v>
      </c>
      <c r="M44" s="30">
        <v>4101101</v>
      </c>
      <c r="N44" s="20" t="s">
        <v>544</v>
      </c>
      <c r="O44" s="20" t="s">
        <v>545</v>
      </c>
      <c r="P44" s="20" t="s">
        <v>546</v>
      </c>
      <c r="Q44" s="30">
        <v>410110100</v>
      </c>
      <c r="R44" s="20" t="s">
        <v>547</v>
      </c>
      <c r="S44" s="20" t="s">
        <v>18</v>
      </c>
      <c r="T44" s="30">
        <v>16.3</v>
      </c>
      <c r="U44" s="20" t="s">
        <v>770</v>
      </c>
      <c r="V44" s="22">
        <v>3</v>
      </c>
      <c r="W44" s="22">
        <v>16</v>
      </c>
      <c r="X44" s="22">
        <v>4</v>
      </c>
      <c r="Y44" s="22">
        <v>4</v>
      </c>
      <c r="Z44" s="22">
        <v>4</v>
      </c>
      <c r="AA44" s="22">
        <v>4</v>
      </c>
      <c r="AB44" s="22">
        <v>20</v>
      </c>
      <c r="AC44" s="34">
        <v>100</v>
      </c>
    </row>
    <row r="45" spans="1:29" ht="15" customHeight="1" x14ac:dyDescent="0.3">
      <c r="A45" s="20" t="s">
        <v>741</v>
      </c>
      <c r="B45" s="20">
        <v>41</v>
      </c>
      <c r="C45" s="20" t="s">
        <v>12</v>
      </c>
      <c r="D45" s="20">
        <v>260020004</v>
      </c>
      <c r="E45" s="20" t="s">
        <v>710</v>
      </c>
      <c r="F45" s="20" t="s">
        <v>18</v>
      </c>
      <c r="G45" s="20" t="s">
        <v>775</v>
      </c>
      <c r="H45" s="29">
        <v>0</v>
      </c>
      <c r="I45" s="30">
        <v>2022</v>
      </c>
      <c r="J45" s="30">
        <v>4</v>
      </c>
      <c r="K45" s="30">
        <v>4101</v>
      </c>
      <c r="L45" s="20" t="s">
        <v>28</v>
      </c>
      <c r="M45" s="30">
        <v>4101103</v>
      </c>
      <c r="N45" s="20" t="s">
        <v>95</v>
      </c>
      <c r="O45" s="20" t="s">
        <v>548</v>
      </c>
      <c r="P45" s="20" t="s">
        <v>26</v>
      </c>
      <c r="Q45" s="30">
        <v>410110300</v>
      </c>
      <c r="R45" s="20" t="s">
        <v>338</v>
      </c>
      <c r="S45" s="20" t="s">
        <v>18</v>
      </c>
      <c r="T45" s="30">
        <v>16.600000000000001</v>
      </c>
      <c r="U45" s="20" t="s">
        <v>19</v>
      </c>
      <c r="V45" s="22">
        <v>4</v>
      </c>
      <c r="W45" s="22">
        <v>10</v>
      </c>
      <c r="X45" s="22">
        <v>4</v>
      </c>
      <c r="Y45" s="22">
        <v>2</v>
      </c>
      <c r="Z45" s="22">
        <v>2</v>
      </c>
      <c r="AA45" s="22">
        <v>2</v>
      </c>
      <c r="AB45" s="22">
        <v>2</v>
      </c>
      <c r="AC45" s="34">
        <v>50</v>
      </c>
    </row>
    <row r="46" spans="1:29" x14ac:dyDescent="0.3">
      <c r="A46" s="20" t="s">
        <v>741</v>
      </c>
      <c r="B46" s="20">
        <v>19</v>
      </c>
      <c r="C46" s="20" t="s">
        <v>47</v>
      </c>
      <c r="D46" s="20">
        <v>50020001</v>
      </c>
      <c r="E46" s="20" t="s">
        <v>753</v>
      </c>
      <c r="F46" s="20" t="s">
        <v>754</v>
      </c>
      <c r="G46" s="20" t="s">
        <v>781</v>
      </c>
      <c r="H46" s="29">
        <v>4.6224999999999996</v>
      </c>
      <c r="I46" s="30">
        <v>2020</v>
      </c>
      <c r="J46" s="30">
        <v>2</v>
      </c>
      <c r="K46" s="30">
        <v>1905</v>
      </c>
      <c r="L46" s="20" t="s">
        <v>497</v>
      </c>
      <c r="M46" s="30">
        <v>1905049</v>
      </c>
      <c r="N46" s="20" t="s">
        <v>553</v>
      </c>
      <c r="O46" s="20" t="s">
        <v>554</v>
      </c>
      <c r="P46" s="20" t="s">
        <v>555</v>
      </c>
      <c r="Q46" s="30">
        <v>190504900</v>
      </c>
      <c r="R46" s="20" t="s">
        <v>556</v>
      </c>
      <c r="S46" s="20" t="s">
        <v>18</v>
      </c>
      <c r="T46" s="30">
        <v>3.8</v>
      </c>
      <c r="U46" s="20" t="s">
        <v>770</v>
      </c>
      <c r="V46" s="22">
        <v>1</v>
      </c>
      <c r="W46" s="22">
        <v>4</v>
      </c>
      <c r="X46" s="22">
        <v>1</v>
      </c>
      <c r="Y46" s="22">
        <v>1</v>
      </c>
      <c r="Z46" s="22">
        <v>1</v>
      </c>
      <c r="AA46" s="22">
        <v>1</v>
      </c>
      <c r="AB46" s="22">
        <v>1</v>
      </c>
      <c r="AC46" s="34">
        <v>100</v>
      </c>
    </row>
    <row r="47" spans="1:29" x14ac:dyDescent="0.3">
      <c r="A47" s="20" t="s">
        <v>741</v>
      </c>
      <c r="B47" s="20">
        <v>19</v>
      </c>
      <c r="C47" s="20" t="s">
        <v>47</v>
      </c>
      <c r="D47" s="20">
        <v>50010004</v>
      </c>
      <c r="E47" s="20" t="s">
        <v>708</v>
      </c>
      <c r="F47" s="20" t="s">
        <v>679</v>
      </c>
      <c r="G47" s="20" t="s">
        <v>781</v>
      </c>
      <c r="H47" s="29">
        <v>99.391400000000004</v>
      </c>
      <c r="I47" s="30">
        <v>2021</v>
      </c>
      <c r="J47" s="30">
        <v>100</v>
      </c>
      <c r="K47" s="30">
        <v>1906</v>
      </c>
      <c r="L47" s="20" t="s">
        <v>479</v>
      </c>
      <c r="M47" s="30">
        <v>1906035</v>
      </c>
      <c r="N47" s="20" t="s">
        <v>557</v>
      </c>
      <c r="O47" s="20" t="s">
        <v>558</v>
      </c>
      <c r="P47" s="20" t="s">
        <v>559</v>
      </c>
      <c r="Q47" s="30">
        <v>190603500</v>
      </c>
      <c r="R47" s="20" t="s">
        <v>560</v>
      </c>
      <c r="S47" s="20" t="s">
        <v>18</v>
      </c>
      <c r="T47" s="30">
        <v>3.8</v>
      </c>
      <c r="U47" s="20" t="s">
        <v>770</v>
      </c>
      <c r="V47" s="22">
        <v>1</v>
      </c>
      <c r="W47" s="22">
        <v>4</v>
      </c>
      <c r="X47" s="22">
        <v>1</v>
      </c>
      <c r="Y47" s="22">
        <v>1</v>
      </c>
      <c r="Z47" s="22">
        <v>1</v>
      </c>
      <c r="AA47" s="22">
        <v>1</v>
      </c>
      <c r="AB47" s="22">
        <v>1</v>
      </c>
      <c r="AC47" s="34">
        <v>100</v>
      </c>
    </row>
    <row r="48" spans="1:29" x14ac:dyDescent="0.3">
      <c r="A48" s="20" t="s">
        <v>741</v>
      </c>
      <c r="B48" s="20">
        <v>19</v>
      </c>
      <c r="C48" s="20" t="s">
        <v>47</v>
      </c>
      <c r="D48" s="20">
        <v>50010004</v>
      </c>
      <c r="E48" s="20" t="s">
        <v>708</v>
      </c>
      <c r="F48" s="20" t="s">
        <v>679</v>
      </c>
      <c r="G48" s="20" t="s">
        <v>781</v>
      </c>
      <c r="H48" s="29">
        <v>99.391400000000004</v>
      </c>
      <c r="I48" s="30">
        <v>2021</v>
      </c>
      <c r="J48" s="30">
        <v>100</v>
      </c>
      <c r="K48" s="30">
        <v>1906</v>
      </c>
      <c r="L48" s="20" t="s">
        <v>479</v>
      </c>
      <c r="M48" s="30">
        <v>1906042</v>
      </c>
      <c r="N48" s="20" t="s">
        <v>561</v>
      </c>
      <c r="O48" s="20" t="s">
        <v>562</v>
      </c>
      <c r="P48" s="20" t="s">
        <v>442</v>
      </c>
      <c r="Q48" s="30">
        <v>190604200</v>
      </c>
      <c r="R48" s="20" t="s">
        <v>563</v>
      </c>
      <c r="S48" s="20" t="s">
        <v>18</v>
      </c>
      <c r="T48" s="30" t="s">
        <v>594</v>
      </c>
      <c r="U48" s="20" t="s">
        <v>770</v>
      </c>
      <c r="V48" s="22">
        <v>1</v>
      </c>
      <c r="W48" s="22">
        <v>4</v>
      </c>
      <c r="X48" s="22">
        <v>1</v>
      </c>
      <c r="Y48" s="22">
        <v>1</v>
      </c>
      <c r="Z48" s="22">
        <v>1</v>
      </c>
      <c r="AA48" s="22">
        <v>1</v>
      </c>
      <c r="AB48" s="22">
        <v>1</v>
      </c>
      <c r="AC48" s="34">
        <v>100</v>
      </c>
    </row>
    <row r="49" spans="1:29" x14ac:dyDescent="0.3">
      <c r="A49" s="20" t="s">
        <v>741</v>
      </c>
      <c r="B49" s="20">
        <v>19</v>
      </c>
      <c r="C49" s="20" t="s">
        <v>47</v>
      </c>
      <c r="D49" s="20">
        <v>50010004</v>
      </c>
      <c r="E49" s="20" t="s">
        <v>708</v>
      </c>
      <c r="F49" s="20" t="s">
        <v>679</v>
      </c>
      <c r="G49" s="20" t="s">
        <v>781</v>
      </c>
      <c r="H49" s="29">
        <v>99.391400000000004</v>
      </c>
      <c r="I49" s="30">
        <v>2021</v>
      </c>
      <c r="J49" s="30">
        <v>100</v>
      </c>
      <c r="K49" s="30">
        <v>1906</v>
      </c>
      <c r="L49" s="20" t="s">
        <v>479</v>
      </c>
      <c r="M49" s="30">
        <v>1906044</v>
      </c>
      <c r="N49" s="20" t="s">
        <v>564</v>
      </c>
      <c r="O49" s="20" t="s">
        <v>565</v>
      </c>
      <c r="P49" s="20" t="s">
        <v>40</v>
      </c>
      <c r="Q49" s="30">
        <v>190604400</v>
      </c>
      <c r="R49" s="20" t="s">
        <v>566</v>
      </c>
      <c r="S49" s="20" t="s">
        <v>18</v>
      </c>
      <c r="T49" s="30" t="s">
        <v>594</v>
      </c>
      <c r="U49" s="20" t="s">
        <v>770</v>
      </c>
      <c r="V49" s="22">
        <v>2391</v>
      </c>
      <c r="W49" s="22">
        <v>2419</v>
      </c>
      <c r="X49" s="22">
        <v>2419</v>
      </c>
      <c r="Y49" s="22">
        <v>2419</v>
      </c>
      <c r="Z49" s="22">
        <v>2419</v>
      </c>
      <c r="AA49" s="22">
        <v>2419</v>
      </c>
      <c r="AB49" s="22">
        <v>2419</v>
      </c>
      <c r="AC49" s="34">
        <v>100</v>
      </c>
    </row>
    <row r="50" spans="1:29" ht="15" customHeight="1" x14ac:dyDescent="0.3">
      <c r="A50" s="20" t="s">
        <v>741</v>
      </c>
      <c r="B50" s="20">
        <v>41</v>
      </c>
      <c r="C50" s="20" t="s">
        <v>12</v>
      </c>
      <c r="D50" s="20">
        <v>140010051</v>
      </c>
      <c r="E50" s="20" t="s">
        <v>720</v>
      </c>
      <c r="F50" s="20" t="s">
        <v>428</v>
      </c>
      <c r="G50" s="20" t="s">
        <v>774</v>
      </c>
      <c r="H50" s="29">
        <v>77.937399999999997</v>
      </c>
      <c r="I50" s="30">
        <v>2023</v>
      </c>
      <c r="J50" s="30">
        <v>72</v>
      </c>
      <c r="K50" s="30">
        <v>4102</v>
      </c>
      <c r="L50" s="20" t="s">
        <v>13</v>
      </c>
      <c r="M50" s="30">
        <v>4102052</v>
      </c>
      <c r="N50" s="20" t="s">
        <v>571</v>
      </c>
      <c r="O50" s="20" t="s">
        <v>572</v>
      </c>
      <c r="P50" s="20" t="s">
        <v>169</v>
      </c>
      <c r="Q50" s="30">
        <v>410205200</v>
      </c>
      <c r="R50" s="20" t="s">
        <v>573</v>
      </c>
      <c r="S50" s="20" t="s">
        <v>18</v>
      </c>
      <c r="T50" s="30">
        <v>16.2</v>
      </c>
      <c r="U50" s="20" t="s">
        <v>19</v>
      </c>
      <c r="V50" s="22">
        <v>90</v>
      </c>
      <c r="W50" s="22">
        <v>140</v>
      </c>
      <c r="X50" s="22">
        <v>35</v>
      </c>
      <c r="Y50" s="22">
        <v>35</v>
      </c>
      <c r="Z50" s="22">
        <v>35</v>
      </c>
      <c r="AA50" s="22">
        <v>35</v>
      </c>
      <c r="AB50" s="22">
        <v>39</v>
      </c>
      <c r="AC50" s="34">
        <v>100</v>
      </c>
    </row>
    <row r="51" spans="1:29" ht="15" customHeight="1" x14ac:dyDescent="0.3">
      <c r="A51" s="35" t="s">
        <v>742</v>
      </c>
      <c r="B51" s="20">
        <v>21</v>
      </c>
      <c r="C51" s="20" t="s">
        <v>64</v>
      </c>
      <c r="D51" s="20">
        <v>110150001</v>
      </c>
      <c r="E51" s="20" t="s">
        <v>718</v>
      </c>
      <c r="F51" s="20" t="s">
        <v>719</v>
      </c>
      <c r="G51" s="20" t="s">
        <v>783</v>
      </c>
      <c r="H51" s="29">
        <v>19.034400000000002</v>
      </c>
      <c r="I51" s="30">
        <v>2017</v>
      </c>
      <c r="J51" s="30">
        <v>17</v>
      </c>
      <c r="K51" s="30">
        <v>2104</v>
      </c>
      <c r="L51" s="20" t="s">
        <v>72</v>
      </c>
      <c r="M51" s="30">
        <v>2104012</v>
      </c>
      <c r="N51" s="20" t="s">
        <v>73</v>
      </c>
      <c r="O51" s="20" t="s">
        <v>74</v>
      </c>
      <c r="P51" s="20" t="s">
        <v>75</v>
      </c>
      <c r="Q51" s="30">
        <v>210401200</v>
      </c>
      <c r="R51" s="20" t="s">
        <v>76</v>
      </c>
      <c r="S51" s="20" t="s">
        <v>18</v>
      </c>
      <c r="T51" s="30">
        <v>16.600000000000001</v>
      </c>
      <c r="U51" s="20" t="s">
        <v>19</v>
      </c>
      <c r="V51" s="22">
        <v>0</v>
      </c>
      <c r="W51" s="22">
        <v>12</v>
      </c>
      <c r="X51" s="22">
        <v>3</v>
      </c>
      <c r="Y51" s="22">
        <v>3</v>
      </c>
      <c r="Z51" s="22">
        <v>3</v>
      </c>
      <c r="AA51" s="22">
        <v>3</v>
      </c>
      <c r="AB51" s="22">
        <v>25</v>
      </c>
      <c r="AC51" s="34">
        <v>100</v>
      </c>
    </row>
    <row r="52" spans="1:29" s="41" customFormat="1" ht="27" hidden="1" customHeight="1" x14ac:dyDescent="0.3">
      <c r="A52" s="35" t="s">
        <v>742</v>
      </c>
      <c r="B52" s="35">
        <v>21</v>
      </c>
      <c r="C52" s="35" t="s">
        <v>64</v>
      </c>
      <c r="D52" s="35">
        <v>110150001</v>
      </c>
      <c r="E52" s="35" t="s">
        <v>718</v>
      </c>
      <c r="F52" s="35" t="s">
        <v>719</v>
      </c>
      <c r="G52" s="35" t="s">
        <v>783</v>
      </c>
      <c r="H52" s="37">
        <v>19.034400000000002</v>
      </c>
      <c r="I52" s="38">
        <v>2017</v>
      </c>
      <c r="J52" s="38">
        <v>17</v>
      </c>
      <c r="K52" s="38">
        <v>2104</v>
      </c>
      <c r="L52" s="35" t="s">
        <v>72</v>
      </c>
      <c r="M52" s="38">
        <v>2104010</v>
      </c>
      <c r="N52" s="35" t="s">
        <v>77</v>
      </c>
      <c r="O52" s="35" t="s">
        <v>78</v>
      </c>
      <c r="P52" s="35" t="s">
        <v>40</v>
      </c>
      <c r="Q52" s="38">
        <v>210401001</v>
      </c>
      <c r="R52" s="35" t="s">
        <v>79</v>
      </c>
      <c r="S52" s="35" t="s">
        <v>18</v>
      </c>
      <c r="T52" s="38">
        <v>4.4000000000000004</v>
      </c>
      <c r="U52" s="35" t="s">
        <v>19</v>
      </c>
      <c r="V52" s="39" t="s">
        <v>636</v>
      </c>
      <c r="W52" s="39">
        <v>6</v>
      </c>
      <c r="X52" s="39">
        <v>0</v>
      </c>
      <c r="Y52" s="39">
        <v>2</v>
      </c>
      <c r="Z52" s="39">
        <v>2</v>
      </c>
      <c r="AA52" s="39">
        <v>2</v>
      </c>
      <c r="AB52" s="39">
        <v>3</v>
      </c>
      <c r="AC52" s="40"/>
    </row>
    <row r="53" spans="1:29" s="41" customFormat="1" ht="36.75" hidden="1" customHeight="1" x14ac:dyDescent="0.3">
      <c r="A53" s="35" t="s">
        <v>742</v>
      </c>
      <c r="B53" s="35">
        <v>21</v>
      </c>
      <c r="C53" s="35" t="s">
        <v>64</v>
      </c>
      <c r="D53" s="35">
        <v>110150001</v>
      </c>
      <c r="E53" s="35" t="s">
        <v>718</v>
      </c>
      <c r="F53" s="35" t="s">
        <v>719</v>
      </c>
      <c r="G53" s="35" t="s">
        <v>783</v>
      </c>
      <c r="H53" s="37">
        <v>19.034400000000002</v>
      </c>
      <c r="I53" s="38">
        <v>2017</v>
      </c>
      <c r="J53" s="38">
        <v>17</v>
      </c>
      <c r="K53" s="38">
        <v>2104</v>
      </c>
      <c r="L53" s="35" t="s">
        <v>72</v>
      </c>
      <c r="M53" s="38">
        <v>2104004</v>
      </c>
      <c r="N53" s="35" t="s">
        <v>80</v>
      </c>
      <c r="O53" s="35" t="s">
        <v>81</v>
      </c>
      <c r="P53" s="35" t="s">
        <v>75</v>
      </c>
      <c r="Q53" s="38">
        <v>210400400</v>
      </c>
      <c r="R53" s="35" t="s">
        <v>82</v>
      </c>
      <c r="S53" s="35" t="s">
        <v>18</v>
      </c>
      <c r="T53" s="38">
        <v>8.3000000000000007</v>
      </c>
      <c r="U53" s="35" t="s">
        <v>19</v>
      </c>
      <c r="V53" s="39" t="s">
        <v>636</v>
      </c>
      <c r="W53" s="39">
        <v>9</v>
      </c>
      <c r="X53" s="39">
        <v>0</v>
      </c>
      <c r="Y53" s="39">
        <v>3</v>
      </c>
      <c r="Z53" s="39">
        <v>3</v>
      </c>
      <c r="AA53" s="39">
        <v>3</v>
      </c>
      <c r="AB53" s="39">
        <v>25</v>
      </c>
      <c r="AC53" s="40"/>
    </row>
    <row r="54" spans="1:29" ht="15" customHeight="1" x14ac:dyDescent="0.3">
      <c r="A54" s="35" t="s">
        <v>742</v>
      </c>
      <c r="B54" s="20">
        <v>36</v>
      </c>
      <c r="C54" s="20" t="s">
        <v>154</v>
      </c>
      <c r="D54" s="20">
        <v>160020005</v>
      </c>
      <c r="E54" s="20" t="s">
        <v>717</v>
      </c>
      <c r="F54" s="20" t="s">
        <v>799</v>
      </c>
      <c r="G54" s="20" t="s">
        <v>774</v>
      </c>
      <c r="H54" s="29" t="s">
        <v>800</v>
      </c>
      <c r="I54" s="30" t="s">
        <v>800</v>
      </c>
      <c r="J54" s="30">
        <v>0</v>
      </c>
      <c r="K54" s="30">
        <v>3604</v>
      </c>
      <c r="L54" s="20" t="s">
        <v>155</v>
      </c>
      <c r="M54" s="30">
        <v>3604004</v>
      </c>
      <c r="N54" s="20" t="s">
        <v>156</v>
      </c>
      <c r="O54" s="20" t="s">
        <v>157</v>
      </c>
      <c r="P54" s="20" t="s">
        <v>40</v>
      </c>
      <c r="Q54" s="30">
        <v>360400400</v>
      </c>
      <c r="R54" s="20" t="s">
        <v>100</v>
      </c>
      <c r="S54" s="20" t="s">
        <v>18</v>
      </c>
      <c r="T54" s="30">
        <v>16.100000000000001</v>
      </c>
      <c r="U54" s="20" t="s">
        <v>19</v>
      </c>
      <c r="V54" s="22" t="s">
        <v>636</v>
      </c>
      <c r="W54" s="22">
        <v>80</v>
      </c>
      <c r="X54" s="22">
        <v>20</v>
      </c>
      <c r="Y54" s="22">
        <v>20</v>
      </c>
      <c r="Z54" s="22">
        <v>20</v>
      </c>
      <c r="AA54" s="22">
        <v>20</v>
      </c>
      <c r="AB54" s="22">
        <v>20</v>
      </c>
      <c r="AC54" s="34">
        <v>100</v>
      </c>
    </row>
    <row r="55" spans="1:29" ht="15" customHeight="1" x14ac:dyDescent="0.3">
      <c r="A55" s="20" t="s">
        <v>742</v>
      </c>
      <c r="B55" s="20">
        <v>35</v>
      </c>
      <c r="C55" s="20" t="s">
        <v>243</v>
      </c>
      <c r="D55" s="20">
        <v>160090004</v>
      </c>
      <c r="E55" s="20" t="s">
        <v>737</v>
      </c>
      <c r="F55" s="20" t="s">
        <v>797</v>
      </c>
      <c r="G55" s="20" t="s">
        <v>798</v>
      </c>
      <c r="H55" s="29">
        <v>0</v>
      </c>
      <c r="I55" s="30">
        <v>2021</v>
      </c>
      <c r="J55" s="30">
        <v>4</v>
      </c>
      <c r="K55" s="30">
        <v>3502</v>
      </c>
      <c r="L55" s="20" t="s">
        <v>244</v>
      </c>
      <c r="M55" s="30">
        <v>3502045</v>
      </c>
      <c r="N55" s="20" t="s">
        <v>268</v>
      </c>
      <c r="O55" s="20" t="s">
        <v>269</v>
      </c>
      <c r="P55" s="20" t="s">
        <v>40</v>
      </c>
      <c r="Q55" s="30">
        <v>350204500</v>
      </c>
      <c r="R55" s="20" t="s">
        <v>100</v>
      </c>
      <c r="S55" s="20" t="s">
        <v>18</v>
      </c>
      <c r="T55" s="30">
        <v>4.4000000000000004</v>
      </c>
      <c r="U55" s="20" t="s">
        <v>210</v>
      </c>
      <c r="V55" s="22" t="s">
        <v>636</v>
      </c>
      <c r="W55" s="22">
        <v>60</v>
      </c>
      <c r="X55" s="22">
        <v>15</v>
      </c>
      <c r="Y55" s="22">
        <v>15</v>
      </c>
      <c r="Z55" s="22">
        <v>15</v>
      </c>
      <c r="AA55" s="22">
        <v>15</v>
      </c>
      <c r="AB55" s="22">
        <v>16</v>
      </c>
      <c r="AC55" s="34">
        <v>100</v>
      </c>
    </row>
    <row r="56" spans="1:29" ht="15" customHeight="1" x14ac:dyDescent="0.3">
      <c r="A56" s="20" t="s">
        <v>742</v>
      </c>
      <c r="B56" s="20">
        <v>35</v>
      </c>
      <c r="C56" s="20" t="s">
        <v>243</v>
      </c>
      <c r="D56" s="20">
        <v>160090004</v>
      </c>
      <c r="E56" s="20" t="s">
        <v>737</v>
      </c>
      <c r="F56" s="20" t="s">
        <v>797</v>
      </c>
      <c r="G56" s="20" t="s">
        <v>798</v>
      </c>
      <c r="H56" s="29">
        <v>0</v>
      </c>
      <c r="I56" s="30">
        <v>2021</v>
      </c>
      <c r="J56" s="30">
        <v>4</v>
      </c>
      <c r="K56" s="30">
        <v>3502</v>
      </c>
      <c r="L56" s="20" t="s">
        <v>244</v>
      </c>
      <c r="M56" s="30">
        <v>3502046</v>
      </c>
      <c r="N56" s="20" t="s">
        <v>270</v>
      </c>
      <c r="O56" s="20" t="s">
        <v>271</v>
      </c>
      <c r="P56" s="20" t="s">
        <v>229</v>
      </c>
      <c r="Q56" s="30">
        <v>350204600</v>
      </c>
      <c r="R56" s="20" t="s">
        <v>272</v>
      </c>
      <c r="S56" s="20" t="s">
        <v>18</v>
      </c>
      <c r="T56" s="30">
        <v>8.9</v>
      </c>
      <c r="U56" s="20" t="s">
        <v>210</v>
      </c>
      <c r="V56" s="22">
        <v>1</v>
      </c>
      <c r="W56" s="22">
        <v>7</v>
      </c>
      <c r="X56" s="22">
        <v>1</v>
      </c>
      <c r="Y56" s="22">
        <v>2</v>
      </c>
      <c r="Z56" s="22">
        <v>2</v>
      </c>
      <c r="AA56" s="22">
        <v>2</v>
      </c>
      <c r="AB56" s="22">
        <v>4</v>
      </c>
      <c r="AC56" s="34">
        <v>100</v>
      </c>
    </row>
    <row r="57" spans="1:29" ht="15" customHeight="1" x14ac:dyDescent="0.3">
      <c r="A57" s="20" t="s">
        <v>742</v>
      </c>
      <c r="B57" s="20">
        <v>36</v>
      </c>
      <c r="C57" s="20" t="s">
        <v>154</v>
      </c>
      <c r="D57" s="20">
        <v>160090003</v>
      </c>
      <c r="E57" s="20" t="s">
        <v>730</v>
      </c>
      <c r="F57" s="20" t="s">
        <v>797</v>
      </c>
      <c r="G57" s="20" t="s">
        <v>798</v>
      </c>
      <c r="H57" s="29">
        <v>3</v>
      </c>
      <c r="I57" s="30">
        <v>2023</v>
      </c>
      <c r="J57" s="30">
        <v>3</v>
      </c>
      <c r="K57" s="30">
        <v>3602</v>
      </c>
      <c r="L57" s="20" t="s">
        <v>304</v>
      </c>
      <c r="M57" s="30">
        <v>3602017</v>
      </c>
      <c r="N57" s="20" t="s">
        <v>305</v>
      </c>
      <c r="O57" s="20" t="s">
        <v>306</v>
      </c>
      <c r="P57" s="20" t="s">
        <v>307</v>
      </c>
      <c r="Q57" s="30">
        <v>360201701</v>
      </c>
      <c r="R57" s="20" t="s">
        <v>308</v>
      </c>
      <c r="S57" s="20" t="s">
        <v>18</v>
      </c>
      <c r="T57" s="30">
        <v>8.3000000000000007</v>
      </c>
      <c r="U57" s="20" t="s">
        <v>210</v>
      </c>
      <c r="V57" s="22">
        <v>0</v>
      </c>
      <c r="W57" s="22">
        <v>70</v>
      </c>
      <c r="X57" s="22">
        <v>40</v>
      </c>
      <c r="Y57" s="22">
        <v>10</v>
      </c>
      <c r="Z57" s="22">
        <v>10</v>
      </c>
      <c r="AA57" s="22">
        <v>10</v>
      </c>
      <c r="AB57" s="22">
        <v>40</v>
      </c>
      <c r="AC57" s="34">
        <v>100</v>
      </c>
    </row>
    <row r="58" spans="1:29" ht="15" customHeight="1" x14ac:dyDescent="0.3">
      <c r="A58" s="20" t="s">
        <v>742</v>
      </c>
      <c r="B58" s="20">
        <v>36</v>
      </c>
      <c r="C58" s="20" t="s">
        <v>154</v>
      </c>
      <c r="D58" s="20">
        <v>160090003</v>
      </c>
      <c r="E58" s="20" t="s">
        <v>730</v>
      </c>
      <c r="F58" s="20" t="s">
        <v>797</v>
      </c>
      <c r="G58" s="20" t="s">
        <v>798</v>
      </c>
      <c r="H58" s="29">
        <v>3</v>
      </c>
      <c r="I58" s="30">
        <v>2023</v>
      </c>
      <c r="J58" s="30">
        <v>3</v>
      </c>
      <c r="K58" s="30">
        <v>3602</v>
      </c>
      <c r="L58" s="20" t="s">
        <v>304</v>
      </c>
      <c r="M58" s="30">
        <v>3602006</v>
      </c>
      <c r="N58" s="20" t="s">
        <v>315</v>
      </c>
      <c r="O58" s="20" t="s">
        <v>316</v>
      </c>
      <c r="P58" s="20" t="s">
        <v>40</v>
      </c>
      <c r="Q58" s="30">
        <v>360200603</v>
      </c>
      <c r="R58" s="20" t="s">
        <v>317</v>
      </c>
      <c r="S58" s="20" t="s">
        <v>18</v>
      </c>
      <c r="T58" s="30">
        <v>8.5</v>
      </c>
      <c r="U58" s="20" t="s">
        <v>19</v>
      </c>
      <c r="V58" s="22">
        <v>1</v>
      </c>
      <c r="W58" s="22">
        <v>4</v>
      </c>
      <c r="X58" s="22">
        <v>1</v>
      </c>
      <c r="Y58" s="22">
        <v>1</v>
      </c>
      <c r="Z58" s="22">
        <v>1</v>
      </c>
      <c r="AA58" s="22">
        <v>1</v>
      </c>
      <c r="AB58" s="22">
        <v>2</v>
      </c>
      <c r="AC58" s="34">
        <v>100</v>
      </c>
    </row>
    <row r="59" spans="1:29" ht="15" customHeight="1" x14ac:dyDescent="0.3">
      <c r="A59" s="20" t="s">
        <v>742</v>
      </c>
      <c r="B59" s="20">
        <v>36</v>
      </c>
      <c r="C59" s="20" t="s">
        <v>154</v>
      </c>
      <c r="D59" s="20">
        <v>160020005</v>
      </c>
      <c r="E59" s="20" t="s">
        <v>717</v>
      </c>
      <c r="F59" s="20" t="s">
        <v>799</v>
      </c>
      <c r="G59" s="20" t="s">
        <v>712</v>
      </c>
      <c r="H59" s="29" t="s">
        <v>800</v>
      </c>
      <c r="I59" s="30" t="s">
        <v>800</v>
      </c>
      <c r="J59" s="30">
        <v>0</v>
      </c>
      <c r="K59" s="30">
        <v>3604</v>
      </c>
      <c r="L59" s="20" t="s">
        <v>155</v>
      </c>
      <c r="M59" s="30">
        <v>3604020</v>
      </c>
      <c r="N59" s="20" t="s">
        <v>326</v>
      </c>
      <c r="O59" s="20" t="s">
        <v>327</v>
      </c>
      <c r="P59" s="20" t="s">
        <v>40</v>
      </c>
      <c r="Q59" s="30">
        <v>360402000</v>
      </c>
      <c r="R59" s="20" t="s">
        <v>100</v>
      </c>
      <c r="S59" s="20" t="s">
        <v>18</v>
      </c>
      <c r="T59" s="30">
        <v>8.6999999999999993</v>
      </c>
      <c r="U59" s="20" t="s">
        <v>19</v>
      </c>
      <c r="V59" s="22">
        <v>200</v>
      </c>
      <c r="W59" s="22">
        <v>400</v>
      </c>
      <c r="X59" s="22">
        <v>100</v>
      </c>
      <c r="Y59" s="22">
        <v>100</v>
      </c>
      <c r="Z59" s="22">
        <v>100</v>
      </c>
      <c r="AA59" s="22">
        <v>100</v>
      </c>
      <c r="AB59" s="22">
        <v>136</v>
      </c>
      <c r="AC59" s="34">
        <v>100</v>
      </c>
    </row>
    <row r="60" spans="1:29" ht="15" customHeight="1" x14ac:dyDescent="0.3">
      <c r="A60" s="20" t="s">
        <v>742</v>
      </c>
      <c r="B60" s="20">
        <v>36</v>
      </c>
      <c r="C60" s="20" t="s">
        <v>154</v>
      </c>
      <c r="D60" s="24">
        <v>20100040</v>
      </c>
      <c r="E60" s="20" t="s">
        <v>763</v>
      </c>
      <c r="F60" s="20" t="s">
        <v>719</v>
      </c>
      <c r="G60" s="20" t="s">
        <v>780</v>
      </c>
      <c r="H60" s="29">
        <v>0</v>
      </c>
      <c r="I60" s="30">
        <v>2021</v>
      </c>
      <c r="J60" s="30">
        <v>0</v>
      </c>
      <c r="K60" s="30">
        <v>3601</v>
      </c>
      <c r="L60" s="20" t="s">
        <v>328</v>
      </c>
      <c r="M60" s="30">
        <v>3601012</v>
      </c>
      <c r="N60" s="20" t="s">
        <v>329</v>
      </c>
      <c r="O60" s="20" t="s">
        <v>330</v>
      </c>
      <c r="P60" s="20" t="s">
        <v>331</v>
      </c>
      <c r="Q60" s="30">
        <v>360101200</v>
      </c>
      <c r="R60" s="20" t="s">
        <v>332</v>
      </c>
      <c r="S60" s="20" t="s">
        <v>18</v>
      </c>
      <c r="T60" s="30">
        <v>1.3</v>
      </c>
      <c r="U60" s="20" t="s">
        <v>770</v>
      </c>
      <c r="V60" s="22">
        <v>1500</v>
      </c>
      <c r="W60" s="22">
        <v>1600</v>
      </c>
      <c r="X60" s="22">
        <v>400</v>
      </c>
      <c r="Y60" s="22">
        <v>400</v>
      </c>
      <c r="Z60" s="22">
        <v>400</v>
      </c>
      <c r="AA60" s="22">
        <v>400</v>
      </c>
      <c r="AB60" s="22">
        <v>416</v>
      </c>
      <c r="AC60" s="34">
        <v>100</v>
      </c>
    </row>
    <row r="61" spans="1:29" ht="15" customHeight="1" x14ac:dyDescent="0.3">
      <c r="A61" s="20" t="s">
        <v>742</v>
      </c>
      <c r="B61" s="20">
        <v>21</v>
      </c>
      <c r="C61" s="20" t="s">
        <v>64</v>
      </c>
      <c r="D61" s="20">
        <v>110150001</v>
      </c>
      <c r="E61" s="20" t="s">
        <v>718</v>
      </c>
      <c r="F61" s="20" t="s">
        <v>719</v>
      </c>
      <c r="G61" s="20" t="s">
        <v>783</v>
      </c>
      <c r="H61" s="29">
        <v>19.034400000000002</v>
      </c>
      <c r="I61" s="30">
        <v>2017</v>
      </c>
      <c r="J61" s="30">
        <v>17</v>
      </c>
      <c r="K61" s="30">
        <v>2105</v>
      </c>
      <c r="L61" s="20" t="s">
        <v>333</v>
      </c>
      <c r="M61" s="30">
        <v>2105019</v>
      </c>
      <c r="N61" s="20" t="s">
        <v>334</v>
      </c>
      <c r="O61" s="20" t="s">
        <v>335</v>
      </c>
      <c r="P61" s="20" t="s">
        <v>40</v>
      </c>
      <c r="Q61" s="30">
        <v>210501900</v>
      </c>
      <c r="R61" s="20" t="s">
        <v>336</v>
      </c>
      <c r="S61" s="20" t="s">
        <v>18</v>
      </c>
      <c r="T61" s="30">
        <v>12.2</v>
      </c>
      <c r="U61" s="20" t="s">
        <v>19</v>
      </c>
      <c r="V61" s="22" t="s">
        <v>636</v>
      </c>
      <c r="W61" s="22">
        <v>450</v>
      </c>
      <c r="X61" s="22">
        <v>50</v>
      </c>
      <c r="Y61" s="22">
        <v>100</v>
      </c>
      <c r="Z61" s="22">
        <v>150</v>
      </c>
      <c r="AA61" s="22">
        <v>150</v>
      </c>
      <c r="AB61" s="22">
        <v>54</v>
      </c>
      <c r="AC61" s="34">
        <v>100</v>
      </c>
    </row>
    <row r="62" spans="1:29" s="41" customFormat="1" ht="27" hidden="1" customHeight="1" x14ac:dyDescent="0.3">
      <c r="A62" s="35" t="s">
        <v>742</v>
      </c>
      <c r="B62" s="35">
        <v>35</v>
      </c>
      <c r="C62" s="35" t="s">
        <v>243</v>
      </c>
      <c r="D62" s="35">
        <v>160090004</v>
      </c>
      <c r="E62" s="35" t="s">
        <v>737</v>
      </c>
      <c r="F62" s="35" t="s">
        <v>797</v>
      </c>
      <c r="G62" s="35" t="s">
        <v>798</v>
      </c>
      <c r="H62" s="37">
        <v>0</v>
      </c>
      <c r="I62" s="38">
        <v>2021</v>
      </c>
      <c r="J62" s="38">
        <v>4</v>
      </c>
      <c r="K62" s="38">
        <v>3502</v>
      </c>
      <c r="L62" s="35" t="s">
        <v>244</v>
      </c>
      <c r="M62" s="38">
        <v>3502047</v>
      </c>
      <c r="N62" s="35" t="s">
        <v>95</v>
      </c>
      <c r="O62" s="35" t="s">
        <v>337</v>
      </c>
      <c r="P62" s="35" t="s">
        <v>26</v>
      </c>
      <c r="Q62" s="38">
        <v>350204700</v>
      </c>
      <c r="R62" s="35" t="s">
        <v>338</v>
      </c>
      <c r="S62" s="35" t="s">
        <v>18</v>
      </c>
      <c r="T62" s="38">
        <v>8.1999999999999993</v>
      </c>
      <c r="U62" s="35" t="s">
        <v>210</v>
      </c>
      <c r="V62" s="39">
        <v>0</v>
      </c>
      <c r="W62" s="39">
        <v>1</v>
      </c>
      <c r="X62" s="39">
        <v>0</v>
      </c>
      <c r="Y62" s="39">
        <v>1</v>
      </c>
      <c r="Z62" s="39">
        <v>0</v>
      </c>
      <c r="AA62" s="39">
        <v>0</v>
      </c>
      <c r="AB62" s="39">
        <v>1</v>
      </c>
      <c r="AC62" s="40"/>
    </row>
    <row r="63" spans="1:29" s="41" customFormat="1" ht="33" hidden="1" customHeight="1" x14ac:dyDescent="0.3">
      <c r="A63" s="35" t="s">
        <v>742</v>
      </c>
      <c r="B63" s="35">
        <v>21</v>
      </c>
      <c r="C63" s="35" t="s">
        <v>64</v>
      </c>
      <c r="D63" s="35">
        <v>110150001</v>
      </c>
      <c r="E63" s="35" t="s">
        <v>718</v>
      </c>
      <c r="F63" s="35" t="s">
        <v>719</v>
      </c>
      <c r="G63" s="35" t="s">
        <v>783</v>
      </c>
      <c r="H63" s="37">
        <v>19.034400000000002</v>
      </c>
      <c r="I63" s="38">
        <v>2017</v>
      </c>
      <c r="J63" s="38">
        <v>17</v>
      </c>
      <c r="K63" s="38">
        <v>2104</v>
      </c>
      <c r="L63" s="35" t="s">
        <v>72</v>
      </c>
      <c r="M63" s="38">
        <v>2104024</v>
      </c>
      <c r="N63" s="35" t="s">
        <v>343</v>
      </c>
      <c r="O63" s="35" t="s">
        <v>344</v>
      </c>
      <c r="P63" s="35" t="s">
        <v>40</v>
      </c>
      <c r="Q63" s="38">
        <v>210402400</v>
      </c>
      <c r="R63" s="35" t="s">
        <v>100</v>
      </c>
      <c r="S63" s="35" t="s">
        <v>18</v>
      </c>
      <c r="T63" s="38">
        <v>4.4000000000000004</v>
      </c>
      <c r="U63" s="35" t="s">
        <v>19</v>
      </c>
      <c r="V63" s="39" t="s">
        <v>636</v>
      </c>
      <c r="W63" s="39">
        <v>90</v>
      </c>
      <c r="X63" s="39">
        <v>0</v>
      </c>
      <c r="Y63" s="39">
        <v>30</v>
      </c>
      <c r="Z63" s="39">
        <v>30</v>
      </c>
      <c r="AA63" s="39">
        <v>30</v>
      </c>
      <c r="AB63" s="39">
        <v>28</v>
      </c>
      <c r="AC63" s="40"/>
    </row>
    <row r="64" spans="1:29" ht="15" customHeight="1" x14ac:dyDescent="0.3">
      <c r="A64" s="20" t="s">
        <v>743</v>
      </c>
      <c r="B64" s="20">
        <v>17</v>
      </c>
      <c r="C64" s="20" t="s">
        <v>208</v>
      </c>
      <c r="D64" s="20">
        <v>120060005</v>
      </c>
      <c r="E64" s="20" t="s">
        <v>678</v>
      </c>
      <c r="F64" s="20" t="s">
        <v>679</v>
      </c>
      <c r="G64" s="20" t="s">
        <v>784</v>
      </c>
      <c r="H64" s="29">
        <v>22.276399999999999</v>
      </c>
      <c r="I64" s="30">
        <v>2014</v>
      </c>
      <c r="J64" s="30">
        <v>50</v>
      </c>
      <c r="K64" s="30">
        <v>1707</v>
      </c>
      <c r="L64" s="20" t="s">
        <v>211</v>
      </c>
      <c r="M64" s="30">
        <v>1707024</v>
      </c>
      <c r="N64" s="20" t="s">
        <v>212</v>
      </c>
      <c r="O64" s="20" t="s">
        <v>213</v>
      </c>
      <c r="P64" s="20" t="s">
        <v>214</v>
      </c>
      <c r="Q64" s="30">
        <v>170702400</v>
      </c>
      <c r="R64" s="20" t="s">
        <v>215</v>
      </c>
      <c r="S64" s="20" t="s">
        <v>18</v>
      </c>
      <c r="T64" s="30" t="s">
        <v>594</v>
      </c>
      <c r="U64" s="20" t="s">
        <v>210</v>
      </c>
      <c r="V64" s="22">
        <v>500</v>
      </c>
      <c r="W64" s="22">
        <v>560</v>
      </c>
      <c r="X64" s="22">
        <v>140</v>
      </c>
      <c r="Y64" s="22">
        <v>140</v>
      </c>
      <c r="Z64" s="22">
        <v>140</v>
      </c>
      <c r="AA64" s="22">
        <v>140</v>
      </c>
      <c r="AB64" s="22">
        <v>71</v>
      </c>
      <c r="AC64" s="36">
        <v>50.714285714285708</v>
      </c>
    </row>
    <row r="65" spans="1:29" ht="15" customHeight="1" x14ac:dyDescent="0.3">
      <c r="A65" s="20" t="s">
        <v>743</v>
      </c>
      <c r="B65" s="20">
        <v>32</v>
      </c>
      <c r="C65" s="20" t="s">
        <v>216</v>
      </c>
      <c r="D65" s="20">
        <v>110070013</v>
      </c>
      <c r="E65" s="20" t="s">
        <v>714</v>
      </c>
      <c r="F65" s="20" t="s">
        <v>715</v>
      </c>
      <c r="G65" s="20" t="s">
        <v>785</v>
      </c>
      <c r="H65" s="29" t="s">
        <v>803</v>
      </c>
      <c r="I65" s="30" t="s">
        <v>803</v>
      </c>
      <c r="J65" s="30">
        <v>1</v>
      </c>
      <c r="K65" s="30">
        <v>3202</v>
      </c>
      <c r="L65" s="20" t="s">
        <v>217</v>
      </c>
      <c r="M65" s="30">
        <v>3202014</v>
      </c>
      <c r="N65" s="20" t="s">
        <v>218</v>
      </c>
      <c r="O65" s="20" t="s">
        <v>219</v>
      </c>
      <c r="P65" s="20" t="s">
        <v>40</v>
      </c>
      <c r="Q65" s="30">
        <v>320201402</v>
      </c>
      <c r="R65" s="20" t="s">
        <v>220</v>
      </c>
      <c r="S65" s="20" t="s">
        <v>18</v>
      </c>
      <c r="T65" s="30">
        <v>12.8</v>
      </c>
      <c r="U65" s="20" t="s">
        <v>210</v>
      </c>
      <c r="V65" s="22">
        <v>8</v>
      </c>
      <c r="W65" s="22">
        <v>8</v>
      </c>
      <c r="X65" s="22">
        <v>2</v>
      </c>
      <c r="Y65" s="22">
        <v>2</v>
      </c>
      <c r="Z65" s="22">
        <v>2</v>
      </c>
      <c r="AA65" s="22">
        <v>2</v>
      </c>
      <c r="AB65" s="22">
        <v>2</v>
      </c>
      <c r="AC65" s="36">
        <v>100</v>
      </c>
    </row>
    <row r="66" spans="1:29" ht="15" customHeight="1" x14ac:dyDescent="0.3">
      <c r="A66" s="20" t="s">
        <v>743</v>
      </c>
      <c r="B66" s="20">
        <v>17</v>
      </c>
      <c r="C66" s="20" t="s">
        <v>208</v>
      </c>
      <c r="D66" s="20">
        <v>120060005</v>
      </c>
      <c r="E66" s="20" t="s">
        <v>678</v>
      </c>
      <c r="F66" s="20" t="s">
        <v>679</v>
      </c>
      <c r="G66" s="20" t="s">
        <v>784</v>
      </c>
      <c r="H66" s="29">
        <v>22.276399999999999</v>
      </c>
      <c r="I66" s="30">
        <v>2014</v>
      </c>
      <c r="J66" s="30">
        <v>50</v>
      </c>
      <c r="K66" s="30">
        <v>1708</v>
      </c>
      <c r="L66" s="20" t="s">
        <v>231</v>
      </c>
      <c r="M66" s="30">
        <v>1708041</v>
      </c>
      <c r="N66" s="20" t="s">
        <v>232</v>
      </c>
      <c r="O66" s="20" t="s">
        <v>233</v>
      </c>
      <c r="P66" s="20" t="s">
        <v>234</v>
      </c>
      <c r="Q66" s="30">
        <v>170804100</v>
      </c>
      <c r="R66" s="20" t="s">
        <v>235</v>
      </c>
      <c r="S66" s="20" t="s">
        <v>18</v>
      </c>
      <c r="T66" s="30" t="s">
        <v>588</v>
      </c>
      <c r="U66" s="20" t="s">
        <v>210</v>
      </c>
      <c r="V66" s="22">
        <v>200</v>
      </c>
      <c r="W66" s="22">
        <v>400</v>
      </c>
      <c r="X66" s="22">
        <v>100</v>
      </c>
      <c r="Y66" s="22">
        <v>100</v>
      </c>
      <c r="Z66" s="22">
        <v>100</v>
      </c>
      <c r="AA66" s="22">
        <v>100</v>
      </c>
      <c r="AB66" s="22">
        <v>70</v>
      </c>
      <c r="AC66" s="36">
        <v>70</v>
      </c>
    </row>
    <row r="67" spans="1:29" ht="15" customHeight="1" x14ac:dyDescent="0.3">
      <c r="A67" s="20" t="s">
        <v>743</v>
      </c>
      <c r="B67" s="20">
        <v>17</v>
      </c>
      <c r="C67" s="20" t="s">
        <v>208</v>
      </c>
      <c r="D67" s="20">
        <v>120040010</v>
      </c>
      <c r="E67" s="20" t="s">
        <v>680</v>
      </c>
      <c r="F67" s="20" t="s">
        <v>18</v>
      </c>
      <c r="G67" s="20" t="s">
        <v>784</v>
      </c>
      <c r="H67" s="29">
        <v>615</v>
      </c>
      <c r="I67" s="30">
        <v>2014</v>
      </c>
      <c r="J67" s="30">
        <v>680</v>
      </c>
      <c r="K67" s="30">
        <v>1702</v>
      </c>
      <c r="L67" s="20" t="s">
        <v>209</v>
      </c>
      <c r="M67" s="30">
        <v>1702011</v>
      </c>
      <c r="N67" s="20" t="s">
        <v>261</v>
      </c>
      <c r="O67" s="20" t="s">
        <v>262</v>
      </c>
      <c r="P67" s="20" t="s">
        <v>263</v>
      </c>
      <c r="Q67" s="30">
        <v>170201100</v>
      </c>
      <c r="R67" s="20" t="s">
        <v>264</v>
      </c>
      <c r="S67" s="20" t="s">
        <v>18</v>
      </c>
      <c r="T67" s="30">
        <v>2.2999999999999998</v>
      </c>
      <c r="U67" s="20" t="s">
        <v>210</v>
      </c>
      <c r="V67" s="22">
        <v>1</v>
      </c>
      <c r="W67" s="22">
        <v>4</v>
      </c>
      <c r="X67" s="22">
        <v>1</v>
      </c>
      <c r="Y67" s="22">
        <v>1</v>
      </c>
      <c r="Z67" s="22">
        <v>1</v>
      </c>
      <c r="AA67" s="22">
        <v>1</v>
      </c>
      <c r="AB67" s="22">
        <v>2</v>
      </c>
      <c r="AC67" s="34">
        <v>100</v>
      </c>
    </row>
    <row r="68" spans="1:29" ht="15" customHeight="1" x14ac:dyDescent="0.3">
      <c r="A68" s="20" t="s">
        <v>743</v>
      </c>
      <c r="B68" s="20">
        <v>17</v>
      </c>
      <c r="C68" s="20" t="s">
        <v>208</v>
      </c>
      <c r="D68" s="20">
        <v>120060005</v>
      </c>
      <c r="E68" s="20" t="s">
        <v>678</v>
      </c>
      <c r="F68" s="20" t="s">
        <v>679</v>
      </c>
      <c r="G68" s="20" t="s">
        <v>784</v>
      </c>
      <c r="H68" s="29">
        <v>22.276399999999999</v>
      </c>
      <c r="I68" s="30">
        <v>2014</v>
      </c>
      <c r="J68" s="30">
        <v>50</v>
      </c>
      <c r="K68" s="30">
        <v>1707</v>
      </c>
      <c r="L68" s="20" t="s">
        <v>211</v>
      </c>
      <c r="M68" s="30">
        <v>1707042</v>
      </c>
      <c r="N68" s="20" t="s">
        <v>276</v>
      </c>
      <c r="O68" s="20" t="s">
        <v>277</v>
      </c>
      <c r="P68" s="20" t="s">
        <v>278</v>
      </c>
      <c r="Q68" s="30">
        <v>170704200</v>
      </c>
      <c r="R68" s="20" t="s">
        <v>279</v>
      </c>
      <c r="S68" s="20" t="s">
        <v>18</v>
      </c>
      <c r="T68" s="30" t="s">
        <v>594</v>
      </c>
      <c r="U68" s="20" t="s">
        <v>210</v>
      </c>
      <c r="V68" s="22">
        <v>5000</v>
      </c>
      <c r="W68" s="22">
        <v>14400</v>
      </c>
      <c r="X68" s="22">
        <v>3600</v>
      </c>
      <c r="Y68" s="22">
        <v>3600</v>
      </c>
      <c r="Z68" s="22">
        <v>3600</v>
      </c>
      <c r="AA68" s="22">
        <v>3600</v>
      </c>
      <c r="AB68" s="22">
        <v>3600</v>
      </c>
      <c r="AC68" s="36">
        <v>100</v>
      </c>
    </row>
    <row r="69" spans="1:29" ht="15" customHeight="1" x14ac:dyDescent="0.3">
      <c r="A69" s="20" t="s">
        <v>743</v>
      </c>
      <c r="B69" s="20">
        <v>32</v>
      </c>
      <c r="C69" s="20" t="s">
        <v>216</v>
      </c>
      <c r="D69" s="20">
        <v>110130003</v>
      </c>
      <c r="E69" s="20" t="s">
        <v>731</v>
      </c>
      <c r="F69" s="20" t="s">
        <v>732</v>
      </c>
      <c r="G69" s="20" t="s">
        <v>786</v>
      </c>
      <c r="H69" s="29">
        <v>27626016</v>
      </c>
      <c r="I69" s="30">
        <v>2020</v>
      </c>
      <c r="J69" s="30">
        <v>812000000</v>
      </c>
      <c r="K69" s="30">
        <v>3203</v>
      </c>
      <c r="L69" s="20" t="s">
        <v>286</v>
      </c>
      <c r="M69" s="31">
        <v>3203036</v>
      </c>
      <c r="N69" s="20" t="s">
        <v>668</v>
      </c>
      <c r="O69" s="20" t="s">
        <v>670</v>
      </c>
      <c r="P69" s="20" t="s">
        <v>31</v>
      </c>
      <c r="Q69" s="31">
        <v>320303600</v>
      </c>
      <c r="R69" s="20" t="s">
        <v>669</v>
      </c>
      <c r="S69" s="20" t="s">
        <v>18</v>
      </c>
      <c r="T69" s="30">
        <v>6.2</v>
      </c>
      <c r="U69" s="20" t="s">
        <v>207</v>
      </c>
      <c r="V69" s="22">
        <v>0</v>
      </c>
      <c r="W69" s="22">
        <v>14</v>
      </c>
      <c r="X69" s="22">
        <v>2</v>
      </c>
      <c r="Y69" s="22">
        <v>4</v>
      </c>
      <c r="Z69" s="22">
        <v>4</v>
      </c>
      <c r="AA69" s="22">
        <v>4</v>
      </c>
      <c r="AB69" s="22">
        <v>2</v>
      </c>
      <c r="AC69" s="36">
        <v>100</v>
      </c>
    </row>
    <row r="70" spans="1:29" s="41" customFormat="1" ht="27" hidden="1" customHeight="1" x14ac:dyDescent="0.3">
      <c r="A70" s="35" t="s">
        <v>743</v>
      </c>
      <c r="B70" s="35">
        <v>32</v>
      </c>
      <c r="C70" s="35" t="s">
        <v>216</v>
      </c>
      <c r="D70" s="35">
        <v>110070013</v>
      </c>
      <c r="E70" s="35" t="s">
        <v>714</v>
      </c>
      <c r="F70" s="35" t="s">
        <v>715</v>
      </c>
      <c r="G70" s="35" t="s">
        <v>785</v>
      </c>
      <c r="H70" s="37" t="s">
        <v>803</v>
      </c>
      <c r="I70" s="38" t="s">
        <v>803</v>
      </c>
      <c r="J70" s="38">
        <v>1</v>
      </c>
      <c r="K70" s="38">
        <v>3202</v>
      </c>
      <c r="L70" s="35" t="s">
        <v>217</v>
      </c>
      <c r="M70" s="38">
        <v>3202037</v>
      </c>
      <c r="N70" s="35" t="s">
        <v>295</v>
      </c>
      <c r="O70" s="35" t="s">
        <v>296</v>
      </c>
      <c r="P70" s="35" t="s">
        <v>297</v>
      </c>
      <c r="Q70" s="38">
        <v>320203700</v>
      </c>
      <c r="R70" s="35" t="s">
        <v>298</v>
      </c>
      <c r="S70" s="35" t="s">
        <v>299</v>
      </c>
      <c r="T70" s="38">
        <v>6.6</v>
      </c>
      <c r="U70" s="35" t="s">
        <v>210</v>
      </c>
      <c r="V70" s="39">
        <v>1</v>
      </c>
      <c r="W70" s="39">
        <v>5</v>
      </c>
      <c r="X70" s="39">
        <v>0</v>
      </c>
      <c r="Y70" s="39">
        <v>5</v>
      </c>
      <c r="Z70" s="39">
        <v>0</v>
      </c>
      <c r="AA70" s="39">
        <v>0</v>
      </c>
      <c r="AB70" s="39">
        <v>1</v>
      </c>
      <c r="AC70" s="42"/>
    </row>
    <row r="71" spans="1:29" ht="15" customHeight="1" x14ac:dyDescent="0.3">
      <c r="A71" s="20" t="s">
        <v>743</v>
      </c>
      <c r="B71" s="20">
        <v>32</v>
      </c>
      <c r="C71" s="20" t="s">
        <v>216</v>
      </c>
      <c r="D71" s="20">
        <v>110070013</v>
      </c>
      <c r="E71" s="20" t="s">
        <v>714</v>
      </c>
      <c r="F71" s="20" t="s">
        <v>715</v>
      </c>
      <c r="G71" s="20" t="s">
        <v>785</v>
      </c>
      <c r="H71" s="29" t="s">
        <v>803</v>
      </c>
      <c r="I71" s="30" t="s">
        <v>803</v>
      </c>
      <c r="J71" s="30">
        <v>1</v>
      </c>
      <c r="K71" s="30">
        <v>3208</v>
      </c>
      <c r="L71" s="20" t="s">
        <v>385</v>
      </c>
      <c r="M71" s="30">
        <v>3208010</v>
      </c>
      <c r="N71" s="20" t="s">
        <v>386</v>
      </c>
      <c r="O71" s="20" t="s">
        <v>387</v>
      </c>
      <c r="P71" s="20" t="s">
        <v>40</v>
      </c>
      <c r="Q71" s="30">
        <v>320801000</v>
      </c>
      <c r="R71" s="20" t="s">
        <v>100</v>
      </c>
      <c r="S71" s="20" t="s">
        <v>18</v>
      </c>
      <c r="T71" s="30">
        <v>12.8</v>
      </c>
      <c r="U71" s="20" t="s">
        <v>210</v>
      </c>
      <c r="V71" s="22" t="s">
        <v>636</v>
      </c>
      <c r="W71" s="22">
        <v>600</v>
      </c>
      <c r="X71" s="22">
        <v>150</v>
      </c>
      <c r="Y71" s="22">
        <v>150</v>
      </c>
      <c r="Z71" s="22">
        <v>150</v>
      </c>
      <c r="AA71" s="22">
        <v>150</v>
      </c>
      <c r="AB71" s="22">
        <v>160</v>
      </c>
      <c r="AC71" s="34">
        <v>100</v>
      </c>
    </row>
    <row r="72" spans="1:29" ht="15" customHeight="1" x14ac:dyDescent="0.3">
      <c r="A72" s="20" t="s">
        <v>743</v>
      </c>
      <c r="B72" s="20">
        <v>17</v>
      </c>
      <c r="C72" s="20" t="s">
        <v>208</v>
      </c>
      <c r="D72" s="20">
        <v>120060005</v>
      </c>
      <c r="E72" s="20" t="s">
        <v>678</v>
      </c>
      <c r="F72" s="20" t="s">
        <v>679</v>
      </c>
      <c r="G72" s="20" t="s">
        <v>784</v>
      </c>
      <c r="H72" s="29">
        <v>22.276399999999999</v>
      </c>
      <c r="I72" s="30">
        <v>2014</v>
      </c>
      <c r="J72" s="30">
        <v>50</v>
      </c>
      <c r="K72" s="30">
        <v>1702</v>
      </c>
      <c r="L72" s="20" t="s">
        <v>209</v>
      </c>
      <c r="M72" s="30">
        <v>1702038</v>
      </c>
      <c r="N72" s="20" t="s">
        <v>457</v>
      </c>
      <c r="O72" s="20" t="s">
        <v>458</v>
      </c>
      <c r="P72" s="20" t="s">
        <v>459</v>
      </c>
      <c r="Q72" s="30">
        <v>170203805</v>
      </c>
      <c r="R72" s="20" t="s">
        <v>460</v>
      </c>
      <c r="S72" s="20" t="s">
        <v>18</v>
      </c>
      <c r="T72" s="30" t="s">
        <v>596</v>
      </c>
      <c r="U72" s="20" t="s">
        <v>210</v>
      </c>
      <c r="V72" s="22">
        <v>15</v>
      </c>
      <c r="W72" s="22">
        <v>39</v>
      </c>
      <c r="X72" s="22">
        <v>6</v>
      </c>
      <c r="Y72" s="22">
        <v>11</v>
      </c>
      <c r="Z72" s="22">
        <v>11</v>
      </c>
      <c r="AA72" s="22">
        <v>11</v>
      </c>
      <c r="AB72" s="22">
        <v>7</v>
      </c>
      <c r="AC72" s="34">
        <v>100</v>
      </c>
    </row>
    <row r="73" spans="1:29" ht="15" customHeight="1" x14ac:dyDescent="0.3">
      <c r="A73" s="20" t="s">
        <v>743</v>
      </c>
      <c r="B73" s="20">
        <v>32</v>
      </c>
      <c r="C73" s="20" t="s">
        <v>216</v>
      </c>
      <c r="D73" s="20">
        <v>110070013</v>
      </c>
      <c r="E73" s="20" t="s">
        <v>714</v>
      </c>
      <c r="F73" s="20" t="s">
        <v>715</v>
      </c>
      <c r="G73" s="20" t="s">
        <v>785</v>
      </c>
      <c r="H73" s="29" t="s">
        <v>803</v>
      </c>
      <c r="I73" s="30" t="s">
        <v>803</v>
      </c>
      <c r="J73" s="30">
        <v>1</v>
      </c>
      <c r="K73" s="30">
        <v>3208</v>
      </c>
      <c r="L73" s="20" t="s">
        <v>385</v>
      </c>
      <c r="M73" s="30">
        <v>3208008</v>
      </c>
      <c r="N73" s="20" t="s">
        <v>538</v>
      </c>
      <c r="O73" s="20" t="s">
        <v>539</v>
      </c>
      <c r="P73" s="20" t="s">
        <v>229</v>
      </c>
      <c r="Q73" s="30">
        <v>320800803</v>
      </c>
      <c r="R73" s="20" t="s">
        <v>540</v>
      </c>
      <c r="S73" s="20" t="s">
        <v>18</v>
      </c>
      <c r="T73" s="30">
        <v>12.8</v>
      </c>
      <c r="U73" s="20" t="s">
        <v>210</v>
      </c>
      <c r="V73" s="22">
        <v>0</v>
      </c>
      <c r="W73" s="22">
        <v>4</v>
      </c>
      <c r="X73" s="22">
        <v>1</v>
      </c>
      <c r="Y73" s="22">
        <v>1</v>
      </c>
      <c r="Z73" s="22">
        <v>1</v>
      </c>
      <c r="AA73" s="22">
        <v>1</v>
      </c>
      <c r="AB73" s="22">
        <v>2</v>
      </c>
      <c r="AC73" s="34">
        <v>100</v>
      </c>
    </row>
    <row r="74" spans="1:29" ht="15" customHeight="1" x14ac:dyDescent="0.3">
      <c r="A74" s="20" t="s">
        <v>743</v>
      </c>
      <c r="B74" s="20">
        <v>17</v>
      </c>
      <c r="C74" s="20" t="s">
        <v>208</v>
      </c>
      <c r="D74" s="20">
        <v>120060005</v>
      </c>
      <c r="E74" s="20" t="s">
        <v>678</v>
      </c>
      <c r="F74" s="20" t="s">
        <v>679</v>
      </c>
      <c r="G74" s="20" t="s">
        <v>784</v>
      </c>
      <c r="H74" s="29">
        <v>22.276399999999999</v>
      </c>
      <c r="I74" s="30">
        <v>2014</v>
      </c>
      <c r="J74" s="30">
        <v>50</v>
      </c>
      <c r="K74" s="30">
        <v>1702</v>
      </c>
      <c r="L74" s="25" t="s">
        <v>681</v>
      </c>
      <c r="M74" s="32">
        <v>1702017</v>
      </c>
      <c r="N74" s="25" t="s">
        <v>682</v>
      </c>
      <c r="O74" s="25" t="s">
        <v>683</v>
      </c>
      <c r="P74" s="25" t="s">
        <v>684</v>
      </c>
      <c r="Q74" s="32">
        <v>170201700</v>
      </c>
      <c r="R74" s="25" t="s">
        <v>597</v>
      </c>
      <c r="S74" s="25" t="s">
        <v>18</v>
      </c>
      <c r="T74" s="30">
        <v>2.2999999999999998</v>
      </c>
      <c r="U74" s="20" t="s">
        <v>210</v>
      </c>
      <c r="V74" s="22">
        <v>0</v>
      </c>
      <c r="W74" s="22">
        <v>200</v>
      </c>
      <c r="X74" s="22">
        <v>50</v>
      </c>
      <c r="Y74" s="22">
        <v>50</v>
      </c>
      <c r="Z74" s="22">
        <v>50</v>
      </c>
      <c r="AA74" s="22">
        <v>50</v>
      </c>
      <c r="AB74" s="22">
        <v>99</v>
      </c>
      <c r="AC74" s="34">
        <v>100</v>
      </c>
    </row>
    <row r="75" spans="1:29" ht="15" customHeight="1" x14ac:dyDescent="0.3">
      <c r="A75" s="20" t="s">
        <v>744</v>
      </c>
      <c r="B75" s="20">
        <v>40</v>
      </c>
      <c r="C75" s="20" t="s">
        <v>194</v>
      </c>
      <c r="D75" s="20">
        <v>30010019</v>
      </c>
      <c r="E75" s="20" t="s">
        <v>675</v>
      </c>
      <c r="F75" s="20" t="s">
        <v>428</v>
      </c>
      <c r="G75" s="20" t="s">
        <v>774</v>
      </c>
      <c r="H75" s="29">
        <v>80.885800000000003</v>
      </c>
      <c r="I75" s="30">
        <v>2018</v>
      </c>
      <c r="J75" s="30">
        <v>91</v>
      </c>
      <c r="K75" s="30">
        <v>4003</v>
      </c>
      <c r="L75" s="20" t="s">
        <v>202</v>
      </c>
      <c r="M75" s="30">
        <v>4003010</v>
      </c>
      <c r="N75" s="20" t="s">
        <v>203</v>
      </c>
      <c r="O75" s="20" t="s">
        <v>204</v>
      </c>
      <c r="P75" s="20" t="s">
        <v>205</v>
      </c>
      <c r="Q75" s="30">
        <v>400301000</v>
      </c>
      <c r="R75" s="20" t="s">
        <v>206</v>
      </c>
      <c r="S75" s="20" t="s">
        <v>18</v>
      </c>
      <c r="T75" s="30">
        <v>6.2</v>
      </c>
      <c r="U75" s="20" t="s">
        <v>207</v>
      </c>
      <c r="V75" s="22">
        <v>1490</v>
      </c>
      <c r="W75" s="22">
        <v>6120</v>
      </c>
      <c r="X75" s="22">
        <v>1500</v>
      </c>
      <c r="Y75" s="22">
        <v>1520</v>
      </c>
      <c r="Z75" s="22">
        <v>1540</v>
      </c>
      <c r="AA75" s="22">
        <v>1560</v>
      </c>
      <c r="AB75" s="22">
        <v>1562</v>
      </c>
      <c r="AC75" s="34">
        <v>100</v>
      </c>
    </row>
    <row r="76" spans="1:29" ht="15" customHeight="1" x14ac:dyDescent="0.3">
      <c r="A76" s="20" t="s">
        <v>744</v>
      </c>
      <c r="B76" s="20">
        <v>40</v>
      </c>
      <c r="C76" s="20" t="s">
        <v>194</v>
      </c>
      <c r="D76" s="20">
        <v>30010006</v>
      </c>
      <c r="E76" s="20" t="s">
        <v>672</v>
      </c>
      <c r="F76" s="20" t="s">
        <v>679</v>
      </c>
      <c r="G76" s="20" t="s">
        <v>774</v>
      </c>
      <c r="H76" s="29">
        <v>64.2774</v>
      </c>
      <c r="I76" s="30">
        <v>2018</v>
      </c>
      <c r="J76" s="30">
        <v>75</v>
      </c>
      <c r="K76" s="30">
        <v>4003</v>
      </c>
      <c r="L76" s="20" t="s">
        <v>202</v>
      </c>
      <c r="M76" s="30">
        <v>4003022</v>
      </c>
      <c r="N76" s="20" t="s">
        <v>658</v>
      </c>
      <c r="O76" s="20" t="s">
        <v>659</v>
      </c>
      <c r="P76" s="20" t="s">
        <v>307</v>
      </c>
      <c r="Q76" s="30">
        <v>400302200</v>
      </c>
      <c r="R76" s="20" t="s">
        <v>608</v>
      </c>
      <c r="S76" s="20" t="s">
        <v>18</v>
      </c>
      <c r="T76" s="30">
        <v>11.6</v>
      </c>
      <c r="U76" s="20" t="s">
        <v>207</v>
      </c>
      <c r="V76" s="22">
        <v>1</v>
      </c>
      <c r="W76" s="22">
        <v>4</v>
      </c>
      <c r="X76" s="22">
        <v>1</v>
      </c>
      <c r="Y76" s="22">
        <v>1</v>
      </c>
      <c r="Z76" s="22">
        <v>1</v>
      </c>
      <c r="AA76" s="22">
        <v>1</v>
      </c>
      <c r="AB76" s="22">
        <v>1</v>
      </c>
      <c r="AC76" s="36">
        <v>100</v>
      </c>
    </row>
    <row r="77" spans="1:29" ht="15" customHeight="1" x14ac:dyDescent="0.3">
      <c r="A77" s="20" t="s">
        <v>744</v>
      </c>
      <c r="B77" s="20">
        <v>43</v>
      </c>
      <c r="C77" s="20" t="s">
        <v>158</v>
      </c>
      <c r="D77" s="20">
        <v>270030003</v>
      </c>
      <c r="E77" s="20" t="s">
        <v>722</v>
      </c>
      <c r="F77" s="20" t="s">
        <v>797</v>
      </c>
      <c r="G77" s="20" t="s">
        <v>798</v>
      </c>
      <c r="H77" s="29" t="s">
        <v>803</v>
      </c>
      <c r="I77" s="30" t="s">
        <v>803</v>
      </c>
      <c r="J77" s="30">
        <v>480</v>
      </c>
      <c r="K77" s="30">
        <v>4301</v>
      </c>
      <c r="L77" s="20" t="s">
        <v>159</v>
      </c>
      <c r="M77" s="30">
        <v>4301004</v>
      </c>
      <c r="N77" s="20" t="s">
        <v>163</v>
      </c>
      <c r="O77" s="20" t="s">
        <v>164</v>
      </c>
      <c r="P77" s="20" t="s">
        <v>165</v>
      </c>
      <c r="Q77" s="30">
        <v>430100400</v>
      </c>
      <c r="R77" s="20" t="s">
        <v>166</v>
      </c>
      <c r="S77" s="20" t="s">
        <v>18</v>
      </c>
      <c r="T77" s="30">
        <v>11.7</v>
      </c>
      <c r="U77" s="20" t="s">
        <v>23</v>
      </c>
      <c r="V77" s="22">
        <v>11</v>
      </c>
      <c r="W77" s="22">
        <v>11</v>
      </c>
      <c r="X77" s="22">
        <v>2</v>
      </c>
      <c r="Y77" s="22">
        <v>3</v>
      </c>
      <c r="Z77" s="22">
        <v>3</v>
      </c>
      <c r="AA77" s="22">
        <v>3</v>
      </c>
      <c r="AB77" s="22">
        <v>2</v>
      </c>
      <c r="AC77" s="36">
        <v>100</v>
      </c>
    </row>
    <row r="78" spans="1:29" ht="15" customHeight="1" x14ac:dyDescent="0.3">
      <c r="A78" s="20" t="s">
        <v>744</v>
      </c>
      <c r="B78" s="20">
        <v>43</v>
      </c>
      <c r="C78" s="20" t="s">
        <v>158</v>
      </c>
      <c r="D78" s="20">
        <v>270030003</v>
      </c>
      <c r="E78" s="20" t="s">
        <v>722</v>
      </c>
      <c r="F78" s="20" t="s">
        <v>797</v>
      </c>
      <c r="G78" s="20" t="s">
        <v>798</v>
      </c>
      <c r="H78" s="29" t="s">
        <v>803</v>
      </c>
      <c r="I78" s="30" t="s">
        <v>803</v>
      </c>
      <c r="J78" s="30">
        <v>480</v>
      </c>
      <c r="K78" s="30">
        <v>4302</v>
      </c>
      <c r="L78" s="20" t="s">
        <v>183</v>
      </c>
      <c r="M78" s="30">
        <v>4302058</v>
      </c>
      <c r="N78" s="20" t="s">
        <v>184</v>
      </c>
      <c r="O78" s="20" t="s">
        <v>185</v>
      </c>
      <c r="P78" s="20" t="s">
        <v>181</v>
      </c>
      <c r="Q78" s="30">
        <v>430205800</v>
      </c>
      <c r="R78" s="20" t="s">
        <v>184</v>
      </c>
      <c r="S78" s="20" t="s">
        <v>18</v>
      </c>
      <c r="T78" s="30">
        <v>11.7</v>
      </c>
      <c r="U78" s="20" t="s">
        <v>23</v>
      </c>
      <c r="V78" s="22">
        <v>4</v>
      </c>
      <c r="W78" s="22">
        <v>4</v>
      </c>
      <c r="X78" s="22">
        <v>1</v>
      </c>
      <c r="Y78" s="22">
        <v>1</v>
      </c>
      <c r="Z78" s="22">
        <v>1</v>
      </c>
      <c r="AA78" s="22">
        <v>1</v>
      </c>
      <c r="AB78" s="22">
        <v>1</v>
      </c>
      <c r="AC78" s="36">
        <v>100</v>
      </c>
    </row>
    <row r="79" spans="1:29" ht="15" customHeight="1" x14ac:dyDescent="0.3">
      <c r="A79" s="20" t="s">
        <v>744</v>
      </c>
      <c r="B79" s="20">
        <v>22</v>
      </c>
      <c r="C79" s="20" t="s">
        <v>93</v>
      </c>
      <c r="D79" s="20">
        <v>40010006</v>
      </c>
      <c r="E79" s="20" t="s">
        <v>676</v>
      </c>
      <c r="F79" s="20" t="s">
        <v>679</v>
      </c>
      <c r="G79" s="20" t="s">
        <v>778</v>
      </c>
      <c r="H79" s="29">
        <v>101.0859</v>
      </c>
      <c r="I79" s="30">
        <v>2022</v>
      </c>
      <c r="J79" s="30">
        <v>101</v>
      </c>
      <c r="K79" s="30">
        <v>2201</v>
      </c>
      <c r="L79" s="20" t="s">
        <v>94</v>
      </c>
      <c r="M79" s="30">
        <v>2201052</v>
      </c>
      <c r="N79" s="20" t="s">
        <v>320</v>
      </c>
      <c r="O79" s="20" t="s">
        <v>321</v>
      </c>
      <c r="P79" s="20" t="s">
        <v>318</v>
      </c>
      <c r="Q79" s="30">
        <v>220105200</v>
      </c>
      <c r="R79" s="20" t="s">
        <v>602</v>
      </c>
      <c r="S79" s="20" t="s">
        <v>18</v>
      </c>
      <c r="T79" s="30" t="s">
        <v>590</v>
      </c>
      <c r="U79" s="20" t="s">
        <v>23</v>
      </c>
      <c r="V79" s="22">
        <v>9</v>
      </c>
      <c r="W79" s="22">
        <v>7</v>
      </c>
      <c r="X79" s="22">
        <v>7</v>
      </c>
      <c r="Y79" s="22">
        <v>7</v>
      </c>
      <c r="Z79" s="22">
        <v>7</v>
      </c>
      <c r="AA79" s="22">
        <v>7</v>
      </c>
      <c r="AB79" s="22">
        <v>3</v>
      </c>
      <c r="AC79" s="36">
        <v>42.857142857142854</v>
      </c>
    </row>
    <row r="80" spans="1:29" ht="15" customHeight="1" x14ac:dyDescent="0.3">
      <c r="A80" s="20" t="s">
        <v>744</v>
      </c>
      <c r="B80" s="20">
        <v>24</v>
      </c>
      <c r="C80" s="20" t="s">
        <v>130</v>
      </c>
      <c r="D80" s="20">
        <v>120040010</v>
      </c>
      <c r="E80" s="20" t="s">
        <v>680</v>
      </c>
      <c r="F80" s="20" t="s">
        <v>18</v>
      </c>
      <c r="G80" s="20" t="s">
        <v>784</v>
      </c>
      <c r="H80" s="29">
        <v>615</v>
      </c>
      <c r="I80" s="30">
        <v>2014</v>
      </c>
      <c r="J80" s="30">
        <v>680</v>
      </c>
      <c r="K80" s="30">
        <v>2402</v>
      </c>
      <c r="L80" s="20" t="s">
        <v>131</v>
      </c>
      <c r="M80" s="30">
        <v>2402041</v>
      </c>
      <c r="N80" s="20" t="s">
        <v>137</v>
      </c>
      <c r="O80" s="20" t="s">
        <v>138</v>
      </c>
      <c r="P80" s="20" t="s">
        <v>134</v>
      </c>
      <c r="Q80" s="30">
        <v>240204100</v>
      </c>
      <c r="R80" s="20" t="s">
        <v>137</v>
      </c>
      <c r="S80" s="20" t="s">
        <v>136</v>
      </c>
      <c r="T80" s="30">
        <v>9.1</v>
      </c>
      <c r="U80" s="20" t="s">
        <v>23</v>
      </c>
      <c r="V80" s="22">
        <v>41.3</v>
      </c>
      <c r="W80" s="22">
        <v>10</v>
      </c>
      <c r="X80" s="22">
        <v>2.5</v>
      </c>
      <c r="Y80" s="22">
        <v>2.5</v>
      </c>
      <c r="Z80" s="22">
        <v>2.5</v>
      </c>
      <c r="AA80" s="22">
        <v>2.5</v>
      </c>
      <c r="AB80" s="22">
        <v>10</v>
      </c>
      <c r="AC80" s="34">
        <v>100</v>
      </c>
    </row>
    <row r="81" spans="1:33" ht="15" customHeight="1" x14ac:dyDescent="0.3">
      <c r="A81" s="20" t="s">
        <v>744</v>
      </c>
      <c r="B81" s="20">
        <v>24</v>
      </c>
      <c r="C81" s="20" t="s">
        <v>130</v>
      </c>
      <c r="D81" s="20">
        <v>120040010</v>
      </c>
      <c r="E81" s="20" t="s">
        <v>680</v>
      </c>
      <c r="F81" s="20" t="s">
        <v>18</v>
      </c>
      <c r="G81" s="20" t="s">
        <v>784</v>
      </c>
      <c r="H81" s="29">
        <v>615</v>
      </c>
      <c r="I81" s="30">
        <v>2014</v>
      </c>
      <c r="J81" s="30">
        <v>680</v>
      </c>
      <c r="K81" s="30">
        <v>2402</v>
      </c>
      <c r="L81" s="20" t="s">
        <v>131</v>
      </c>
      <c r="M81" s="30">
        <v>2402042</v>
      </c>
      <c r="N81" s="20" t="s">
        <v>139</v>
      </c>
      <c r="O81" s="20" t="s">
        <v>140</v>
      </c>
      <c r="P81" s="20" t="s">
        <v>141</v>
      </c>
      <c r="Q81" s="30">
        <v>240204200</v>
      </c>
      <c r="R81" s="20" t="s">
        <v>137</v>
      </c>
      <c r="S81" s="20" t="s">
        <v>142</v>
      </c>
      <c r="T81" s="30">
        <v>9.1</v>
      </c>
      <c r="U81" s="20" t="s">
        <v>23</v>
      </c>
      <c r="V81" s="22">
        <v>41.3</v>
      </c>
      <c r="W81" s="22">
        <v>5000</v>
      </c>
      <c r="X81" s="22">
        <v>1000</v>
      </c>
      <c r="Y81" s="22">
        <v>1000</v>
      </c>
      <c r="Z81" s="22">
        <v>2000</v>
      </c>
      <c r="AA81" s="22">
        <v>1000</v>
      </c>
      <c r="AB81" s="22">
        <v>0</v>
      </c>
      <c r="AC81" s="36">
        <v>0</v>
      </c>
    </row>
    <row r="82" spans="1:33" ht="15" customHeight="1" x14ac:dyDescent="0.3">
      <c r="A82" s="20" t="s">
        <v>744</v>
      </c>
      <c r="B82" s="20">
        <v>40</v>
      </c>
      <c r="C82" s="20" t="s">
        <v>194</v>
      </c>
      <c r="D82" s="20">
        <v>30010004</v>
      </c>
      <c r="E82" s="20" t="s">
        <v>671</v>
      </c>
      <c r="F82" s="20" t="s">
        <v>679</v>
      </c>
      <c r="G82" s="20" t="s">
        <v>774</v>
      </c>
      <c r="H82" s="29">
        <v>88.578100000000006</v>
      </c>
      <c r="I82" s="30">
        <v>2018</v>
      </c>
      <c r="J82" s="30">
        <v>91</v>
      </c>
      <c r="K82" s="30">
        <v>4003</v>
      </c>
      <c r="L82" s="20" t="s">
        <v>202</v>
      </c>
      <c r="M82" s="30">
        <v>4003047</v>
      </c>
      <c r="N82" s="20" t="s">
        <v>357</v>
      </c>
      <c r="O82" s="20" t="s">
        <v>358</v>
      </c>
      <c r="P82" s="20" t="s">
        <v>205</v>
      </c>
      <c r="Q82" s="30">
        <v>400304700</v>
      </c>
      <c r="R82" s="20" t="s">
        <v>359</v>
      </c>
      <c r="S82" s="20" t="s">
        <v>18</v>
      </c>
      <c r="T82" s="30">
        <v>6.4</v>
      </c>
      <c r="U82" s="20" t="s">
        <v>207</v>
      </c>
      <c r="V82" s="22">
        <v>1490</v>
      </c>
      <c r="W82" s="22">
        <v>6120</v>
      </c>
      <c r="X82" s="22">
        <v>1500</v>
      </c>
      <c r="Y82" s="22">
        <v>1520</v>
      </c>
      <c r="Z82" s="22">
        <v>1540</v>
      </c>
      <c r="AA82" s="22">
        <v>1560</v>
      </c>
      <c r="AB82" s="22">
        <v>1562</v>
      </c>
      <c r="AC82" s="34">
        <v>100</v>
      </c>
      <c r="AE82" s="1" t="s">
        <v>1088</v>
      </c>
      <c r="AF82" s="1" t="s">
        <v>995</v>
      </c>
      <c r="AG82" s="1" t="s">
        <v>998</v>
      </c>
    </row>
    <row r="83" spans="1:33" ht="15" customHeight="1" x14ac:dyDescent="0.3">
      <c r="A83" s="20" t="s">
        <v>744</v>
      </c>
      <c r="B83" s="20">
        <v>45</v>
      </c>
      <c r="C83" s="20" t="s">
        <v>393</v>
      </c>
      <c r="D83" s="20">
        <v>80010008</v>
      </c>
      <c r="E83" s="20" t="s">
        <v>723</v>
      </c>
      <c r="F83" s="20" t="s">
        <v>719</v>
      </c>
      <c r="G83" s="20" t="s">
        <v>777</v>
      </c>
      <c r="H83" s="29">
        <v>55.990099999999998</v>
      </c>
      <c r="I83" s="30">
        <v>2022</v>
      </c>
      <c r="J83" s="30">
        <v>75</v>
      </c>
      <c r="K83" s="30">
        <v>4599</v>
      </c>
      <c r="L83" s="20" t="s">
        <v>427</v>
      </c>
      <c r="M83" s="30">
        <v>4599011</v>
      </c>
      <c r="N83" s="16" t="s">
        <v>434</v>
      </c>
      <c r="O83" s="20" t="s">
        <v>435</v>
      </c>
      <c r="P83" s="20" t="s">
        <v>318</v>
      </c>
      <c r="Q83" s="30">
        <v>459901100</v>
      </c>
      <c r="R83" s="20" t="s">
        <v>434</v>
      </c>
      <c r="S83" s="20" t="s">
        <v>18</v>
      </c>
      <c r="T83" s="30">
        <v>16.600000000000001</v>
      </c>
      <c r="U83" s="20" t="s">
        <v>23</v>
      </c>
      <c r="V83" s="22">
        <v>1</v>
      </c>
      <c r="W83" s="22">
        <v>1</v>
      </c>
      <c r="X83" s="22">
        <v>1</v>
      </c>
      <c r="Y83" s="22">
        <v>0</v>
      </c>
      <c r="Z83" s="22">
        <v>0</v>
      </c>
      <c r="AA83" s="22">
        <v>0</v>
      </c>
      <c r="AB83" s="22">
        <v>1</v>
      </c>
      <c r="AC83" s="36">
        <v>100</v>
      </c>
      <c r="AE83" s="1" t="s">
        <v>1087</v>
      </c>
      <c r="AF83" s="1">
        <v>95</v>
      </c>
      <c r="AG83" s="66">
        <v>91</v>
      </c>
    </row>
    <row r="84" spans="1:33" ht="15" customHeight="1" x14ac:dyDescent="0.3">
      <c r="A84" s="20" t="s">
        <v>744</v>
      </c>
      <c r="B84" s="20">
        <v>40</v>
      </c>
      <c r="C84" s="20" t="s">
        <v>194</v>
      </c>
      <c r="D84" s="20">
        <v>30010006</v>
      </c>
      <c r="E84" s="20" t="s">
        <v>672</v>
      </c>
      <c r="F84" s="20" t="s">
        <v>679</v>
      </c>
      <c r="G84" s="20" t="s">
        <v>774</v>
      </c>
      <c r="H84" s="29">
        <v>64.2774</v>
      </c>
      <c r="I84" s="30">
        <v>2018</v>
      </c>
      <c r="J84" s="30">
        <v>75</v>
      </c>
      <c r="K84" s="30">
        <v>4003</v>
      </c>
      <c r="L84" s="20" t="s">
        <v>202</v>
      </c>
      <c r="M84" s="30">
        <v>4003020</v>
      </c>
      <c r="N84" s="20" t="s">
        <v>605</v>
      </c>
      <c r="O84" s="20" t="s">
        <v>656</v>
      </c>
      <c r="P84" s="20" t="s">
        <v>254</v>
      </c>
      <c r="Q84" s="30">
        <v>400302002</v>
      </c>
      <c r="R84" s="20" t="s">
        <v>657</v>
      </c>
      <c r="S84" s="20" t="s">
        <v>18</v>
      </c>
      <c r="T84" s="30">
        <v>6.2</v>
      </c>
      <c r="U84" s="20" t="s">
        <v>23</v>
      </c>
      <c r="V84" s="22">
        <v>6</v>
      </c>
      <c r="W84" s="22">
        <v>12</v>
      </c>
      <c r="X84" s="22">
        <v>3</v>
      </c>
      <c r="Y84" s="22">
        <v>3</v>
      </c>
      <c r="Z84" s="22">
        <v>3</v>
      </c>
      <c r="AA84" s="22">
        <v>3</v>
      </c>
      <c r="AB84" s="22">
        <v>0</v>
      </c>
      <c r="AC84" s="36">
        <v>0</v>
      </c>
    </row>
    <row r="85" spans="1:33" s="41" customFormat="1" ht="27" hidden="1" customHeight="1" x14ac:dyDescent="0.3">
      <c r="A85" s="35" t="s">
        <v>744</v>
      </c>
      <c r="B85" s="35">
        <v>45</v>
      </c>
      <c r="C85" s="35" t="s">
        <v>393</v>
      </c>
      <c r="D85" s="35">
        <v>60010003</v>
      </c>
      <c r="E85" s="35" t="s">
        <v>724</v>
      </c>
      <c r="F85" s="35" t="s">
        <v>725</v>
      </c>
      <c r="G85" s="35" t="s">
        <v>792</v>
      </c>
      <c r="H85" s="37">
        <v>49.81</v>
      </c>
      <c r="I85" s="38">
        <v>2022</v>
      </c>
      <c r="J85" s="38">
        <v>30</v>
      </c>
      <c r="K85" s="38">
        <v>4501</v>
      </c>
      <c r="L85" s="26" t="s">
        <v>704</v>
      </c>
      <c r="M85" s="43">
        <v>4501067</v>
      </c>
      <c r="N85" s="26" t="s">
        <v>592</v>
      </c>
      <c r="O85" s="26" t="s">
        <v>705</v>
      </c>
      <c r="P85" s="26" t="s">
        <v>569</v>
      </c>
      <c r="Q85" s="43">
        <v>450106700</v>
      </c>
      <c r="R85" s="26" t="s">
        <v>592</v>
      </c>
      <c r="S85" s="26" t="s">
        <v>18</v>
      </c>
      <c r="T85" s="38">
        <v>16.600000000000001</v>
      </c>
      <c r="U85" s="35" t="s">
        <v>23</v>
      </c>
      <c r="V85" s="39">
        <v>0</v>
      </c>
      <c r="W85" s="39">
        <v>1</v>
      </c>
      <c r="X85" s="39">
        <v>0</v>
      </c>
      <c r="Y85" s="39">
        <v>0</v>
      </c>
      <c r="Z85" s="39">
        <v>0</v>
      </c>
      <c r="AA85" s="39">
        <v>1</v>
      </c>
      <c r="AB85" s="39">
        <v>1</v>
      </c>
      <c r="AC85" s="42"/>
    </row>
    <row r="86" spans="1:33" ht="15" customHeight="1" x14ac:dyDescent="0.3">
      <c r="A86" s="20" t="s">
        <v>745</v>
      </c>
      <c r="B86" s="20">
        <v>23</v>
      </c>
      <c r="C86" s="20" t="s">
        <v>238</v>
      </c>
      <c r="D86" s="20">
        <v>290030001</v>
      </c>
      <c r="E86" s="20" t="s">
        <v>721</v>
      </c>
      <c r="F86" s="20" t="s">
        <v>606</v>
      </c>
      <c r="G86" s="20" t="s">
        <v>793</v>
      </c>
      <c r="H86" s="29">
        <v>54.529000000000003</v>
      </c>
      <c r="I86" s="30">
        <v>2021</v>
      </c>
      <c r="J86" s="30">
        <v>70</v>
      </c>
      <c r="K86" s="30">
        <v>2301</v>
      </c>
      <c r="L86" s="20" t="s">
        <v>239</v>
      </c>
      <c r="M86" s="30">
        <v>2301030</v>
      </c>
      <c r="N86" s="20" t="s">
        <v>240</v>
      </c>
      <c r="O86" s="20" t="s">
        <v>241</v>
      </c>
      <c r="P86" s="20" t="s">
        <v>40</v>
      </c>
      <c r="Q86" s="30">
        <v>230103000</v>
      </c>
      <c r="R86" s="20" t="s">
        <v>242</v>
      </c>
      <c r="S86" s="20" t="s">
        <v>18</v>
      </c>
      <c r="T86" s="30" t="s">
        <v>589</v>
      </c>
      <c r="U86" s="20" t="s">
        <v>19</v>
      </c>
      <c r="V86" s="22">
        <v>100</v>
      </c>
      <c r="W86" s="22">
        <v>300</v>
      </c>
      <c r="X86" s="22">
        <v>75</v>
      </c>
      <c r="Y86" s="22">
        <v>75</v>
      </c>
      <c r="Z86" s="22">
        <v>75</v>
      </c>
      <c r="AA86" s="22">
        <v>75</v>
      </c>
      <c r="AB86" s="22">
        <v>100</v>
      </c>
      <c r="AC86" s="34">
        <v>100</v>
      </c>
    </row>
    <row r="87" spans="1:33" ht="15" customHeight="1" x14ac:dyDescent="0.3">
      <c r="A87" s="20" t="s">
        <v>745</v>
      </c>
      <c r="B87" s="20">
        <v>23</v>
      </c>
      <c r="C87" s="20" t="s">
        <v>238</v>
      </c>
      <c r="D87" s="20">
        <v>290030001</v>
      </c>
      <c r="E87" s="20" t="s">
        <v>721</v>
      </c>
      <c r="F87" s="20" t="s">
        <v>606</v>
      </c>
      <c r="G87" s="20" t="s">
        <v>793</v>
      </c>
      <c r="H87" s="29">
        <v>54.529000000000003</v>
      </c>
      <c r="I87" s="30">
        <v>2021</v>
      </c>
      <c r="J87" s="30">
        <v>70</v>
      </c>
      <c r="K87" s="30">
        <v>2301</v>
      </c>
      <c r="L87" s="20" t="s">
        <v>239</v>
      </c>
      <c r="M87" s="30">
        <v>2301062</v>
      </c>
      <c r="N87" s="20" t="s">
        <v>312</v>
      </c>
      <c r="O87" s="20" t="s">
        <v>313</v>
      </c>
      <c r="P87" s="20" t="s">
        <v>123</v>
      </c>
      <c r="Q87" s="30">
        <v>230106206</v>
      </c>
      <c r="R87" s="20" t="s">
        <v>369</v>
      </c>
      <c r="S87" s="20" t="s">
        <v>18</v>
      </c>
      <c r="T87" s="30">
        <v>4.0999999999999996</v>
      </c>
      <c r="U87" s="20" t="s">
        <v>770</v>
      </c>
      <c r="V87" s="22">
        <v>6</v>
      </c>
      <c r="W87" s="22">
        <v>28</v>
      </c>
      <c r="X87" s="22">
        <v>7</v>
      </c>
      <c r="Y87" s="22">
        <v>7</v>
      </c>
      <c r="Z87" s="22">
        <v>7</v>
      </c>
      <c r="AA87" s="22">
        <v>7</v>
      </c>
      <c r="AB87" s="22">
        <v>7</v>
      </c>
      <c r="AC87" s="36">
        <v>100</v>
      </c>
    </row>
    <row r="88" spans="1:33" s="41" customFormat="1" ht="27" hidden="1" customHeight="1" x14ac:dyDescent="0.3">
      <c r="A88" s="35" t="s">
        <v>745</v>
      </c>
      <c r="B88" s="35">
        <v>45</v>
      </c>
      <c r="C88" s="35" t="s">
        <v>393</v>
      </c>
      <c r="D88" s="35">
        <v>60010001</v>
      </c>
      <c r="E88" s="35" t="s">
        <v>727</v>
      </c>
      <c r="F88" s="35" t="s">
        <v>725</v>
      </c>
      <c r="G88" s="35" t="s">
        <v>792</v>
      </c>
      <c r="H88" s="37">
        <v>132.82419999999999</v>
      </c>
      <c r="I88" s="38">
        <v>2022</v>
      </c>
      <c r="J88" s="38">
        <v>90</v>
      </c>
      <c r="K88" s="38">
        <v>4501</v>
      </c>
      <c r="L88" s="35" t="s">
        <v>394</v>
      </c>
      <c r="M88" s="38">
        <v>4501028</v>
      </c>
      <c r="N88" s="35" t="s">
        <v>395</v>
      </c>
      <c r="O88" s="35" t="s">
        <v>396</v>
      </c>
      <c r="P88" s="35" t="s">
        <v>397</v>
      </c>
      <c r="Q88" s="38">
        <v>450102800</v>
      </c>
      <c r="R88" s="35" t="s">
        <v>398</v>
      </c>
      <c r="S88" s="35" t="s">
        <v>18</v>
      </c>
      <c r="T88" s="38" t="s">
        <v>589</v>
      </c>
      <c r="U88" s="35" t="s">
        <v>19</v>
      </c>
      <c r="V88" s="39">
        <v>0</v>
      </c>
      <c r="W88" s="39">
        <v>4</v>
      </c>
      <c r="X88" s="39">
        <v>0</v>
      </c>
      <c r="Y88" s="39">
        <v>4</v>
      </c>
      <c r="Z88" s="39">
        <v>0</v>
      </c>
      <c r="AA88" s="39">
        <v>0</v>
      </c>
      <c r="AB88" s="39">
        <v>5</v>
      </c>
      <c r="AC88" s="42"/>
    </row>
    <row r="89" spans="1:33" ht="15" customHeight="1" x14ac:dyDescent="0.3">
      <c r="A89" s="20" t="s">
        <v>745</v>
      </c>
      <c r="B89" s="20">
        <v>45</v>
      </c>
      <c r="C89" s="20" t="s">
        <v>393</v>
      </c>
      <c r="D89" s="24">
        <v>20100040</v>
      </c>
      <c r="E89" s="20" t="s">
        <v>763</v>
      </c>
      <c r="F89" s="20" t="s">
        <v>719</v>
      </c>
      <c r="G89" s="20" t="s">
        <v>780</v>
      </c>
      <c r="H89" s="29">
        <v>0</v>
      </c>
      <c r="I89" s="30">
        <v>2021</v>
      </c>
      <c r="J89" s="30">
        <v>0</v>
      </c>
      <c r="K89" s="30">
        <v>4502</v>
      </c>
      <c r="L89" s="20" t="s">
        <v>399</v>
      </c>
      <c r="M89" s="30">
        <v>4502001</v>
      </c>
      <c r="N89" s="20" t="s">
        <v>400</v>
      </c>
      <c r="O89" s="20" t="s">
        <v>401</v>
      </c>
      <c r="P89" s="20" t="s">
        <v>31</v>
      </c>
      <c r="Q89" s="30">
        <v>450200101</v>
      </c>
      <c r="R89" s="20" t="s">
        <v>402</v>
      </c>
      <c r="S89" s="20" t="s">
        <v>18</v>
      </c>
      <c r="T89" s="30">
        <v>16.7</v>
      </c>
      <c r="U89" s="20" t="s">
        <v>19</v>
      </c>
      <c r="V89" s="22">
        <v>1</v>
      </c>
      <c r="W89" s="22">
        <v>4</v>
      </c>
      <c r="X89" s="22">
        <v>1</v>
      </c>
      <c r="Y89" s="22">
        <v>1</v>
      </c>
      <c r="Z89" s="22">
        <v>1</v>
      </c>
      <c r="AA89" s="22">
        <v>1</v>
      </c>
      <c r="AB89" s="22">
        <v>1</v>
      </c>
      <c r="AC89" s="36">
        <v>100</v>
      </c>
    </row>
    <row r="90" spans="1:33" ht="15" customHeight="1" x14ac:dyDescent="0.3">
      <c r="A90" s="20" t="s">
        <v>745</v>
      </c>
      <c r="B90" s="20">
        <v>45</v>
      </c>
      <c r="C90" s="20" t="s">
        <v>393</v>
      </c>
      <c r="D90" s="20">
        <v>110070002</v>
      </c>
      <c r="E90" s="20" t="s">
        <v>733</v>
      </c>
      <c r="F90" s="20" t="s">
        <v>734</v>
      </c>
      <c r="G90" s="20" t="s">
        <v>791</v>
      </c>
      <c r="H90" s="29">
        <v>0</v>
      </c>
      <c r="I90" s="30">
        <v>2020</v>
      </c>
      <c r="J90" s="30">
        <v>88000</v>
      </c>
      <c r="K90" s="30">
        <v>4503</v>
      </c>
      <c r="L90" s="20" t="s">
        <v>413</v>
      </c>
      <c r="M90" s="30">
        <v>4503004</v>
      </c>
      <c r="N90" s="20" t="s">
        <v>414</v>
      </c>
      <c r="O90" s="20" t="s">
        <v>415</v>
      </c>
      <c r="P90" s="20" t="s">
        <v>416</v>
      </c>
      <c r="Q90" s="30">
        <v>450300400</v>
      </c>
      <c r="R90" s="20" t="s">
        <v>417</v>
      </c>
      <c r="S90" s="20" t="s">
        <v>18</v>
      </c>
      <c r="T90" s="30" t="s">
        <v>586</v>
      </c>
      <c r="U90" s="20" t="s">
        <v>23</v>
      </c>
      <c r="V90" s="22">
        <v>8</v>
      </c>
      <c r="W90" s="22">
        <v>20</v>
      </c>
      <c r="X90" s="22">
        <v>5</v>
      </c>
      <c r="Y90" s="22">
        <v>5</v>
      </c>
      <c r="Z90" s="22">
        <v>5</v>
      </c>
      <c r="AA90" s="22">
        <v>5</v>
      </c>
      <c r="AB90" s="22">
        <v>6</v>
      </c>
      <c r="AC90" s="34">
        <v>100</v>
      </c>
    </row>
    <row r="91" spans="1:33" ht="15" customHeight="1" x14ac:dyDescent="0.3">
      <c r="A91" s="20" t="s">
        <v>745</v>
      </c>
      <c r="B91" s="20">
        <v>45</v>
      </c>
      <c r="C91" s="20" t="s">
        <v>393</v>
      </c>
      <c r="D91" s="20">
        <v>110070002</v>
      </c>
      <c r="E91" s="20" t="s">
        <v>733</v>
      </c>
      <c r="F91" s="20" t="s">
        <v>734</v>
      </c>
      <c r="G91" s="20" t="s">
        <v>791</v>
      </c>
      <c r="H91" s="29">
        <v>0</v>
      </c>
      <c r="I91" s="30">
        <v>2020</v>
      </c>
      <c r="J91" s="30">
        <v>88000</v>
      </c>
      <c r="K91" s="30">
        <v>4503</v>
      </c>
      <c r="L91" s="20" t="s">
        <v>413</v>
      </c>
      <c r="M91" s="30">
        <v>4503023</v>
      </c>
      <c r="N91" s="20" t="s">
        <v>95</v>
      </c>
      <c r="O91" s="20" t="s">
        <v>200</v>
      </c>
      <c r="P91" s="20" t="s">
        <v>26</v>
      </c>
      <c r="Q91" s="30">
        <v>450302301</v>
      </c>
      <c r="R91" s="20" t="s">
        <v>426</v>
      </c>
      <c r="S91" s="20" t="s">
        <v>18</v>
      </c>
      <c r="T91" s="30" t="s">
        <v>586</v>
      </c>
      <c r="U91" s="20" t="s">
        <v>23</v>
      </c>
      <c r="V91" s="22">
        <v>1</v>
      </c>
      <c r="W91" s="22">
        <v>4</v>
      </c>
      <c r="X91" s="22">
        <v>1</v>
      </c>
      <c r="Y91" s="22">
        <v>1</v>
      </c>
      <c r="Z91" s="22">
        <v>1</v>
      </c>
      <c r="AA91" s="22">
        <v>1</v>
      </c>
      <c r="AB91" s="22">
        <v>1</v>
      </c>
      <c r="AC91" s="36">
        <v>100</v>
      </c>
    </row>
    <row r="92" spans="1:33" ht="15" customHeight="1" x14ac:dyDescent="0.3">
      <c r="A92" s="20" t="s">
        <v>745</v>
      </c>
      <c r="B92" s="20">
        <v>45</v>
      </c>
      <c r="C92" s="20" t="s">
        <v>393</v>
      </c>
      <c r="D92" s="20">
        <v>80010008</v>
      </c>
      <c r="E92" s="20" t="s">
        <v>723</v>
      </c>
      <c r="F92" s="20" t="s">
        <v>719</v>
      </c>
      <c r="G92" s="20" t="s">
        <v>777</v>
      </c>
      <c r="H92" s="29">
        <v>55.990099999999998</v>
      </c>
      <c r="I92" s="30">
        <v>2022</v>
      </c>
      <c r="J92" s="30">
        <v>75</v>
      </c>
      <c r="K92" s="30">
        <v>4599</v>
      </c>
      <c r="L92" s="20" t="s">
        <v>427</v>
      </c>
      <c r="M92" s="30">
        <v>4599005</v>
      </c>
      <c r="N92" s="20" t="s">
        <v>429</v>
      </c>
      <c r="O92" s="20" t="s">
        <v>430</v>
      </c>
      <c r="P92" s="20" t="s">
        <v>26</v>
      </c>
      <c r="Q92" s="30">
        <v>459900500</v>
      </c>
      <c r="R92" s="20" t="s">
        <v>431</v>
      </c>
      <c r="S92" s="20" t="s">
        <v>18</v>
      </c>
      <c r="T92" s="30">
        <v>17.7</v>
      </c>
      <c r="U92" s="20" t="s">
        <v>19</v>
      </c>
      <c r="V92" s="22">
        <v>1</v>
      </c>
      <c r="W92" s="22">
        <v>8</v>
      </c>
      <c r="X92" s="22">
        <v>2</v>
      </c>
      <c r="Y92" s="22">
        <v>2</v>
      </c>
      <c r="Z92" s="22">
        <v>2</v>
      </c>
      <c r="AA92" s="22">
        <v>2</v>
      </c>
      <c r="AB92" s="22">
        <v>2</v>
      </c>
      <c r="AC92" s="36">
        <v>100</v>
      </c>
    </row>
    <row r="93" spans="1:33" ht="15" customHeight="1" x14ac:dyDescent="0.3">
      <c r="A93" s="20" t="s">
        <v>745</v>
      </c>
      <c r="B93" s="20">
        <v>45</v>
      </c>
      <c r="C93" s="20" t="s">
        <v>393</v>
      </c>
      <c r="D93" s="20">
        <v>80010008</v>
      </c>
      <c r="E93" s="20" t="s">
        <v>723</v>
      </c>
      <c r="F93" s="20" t="s">
        <v>719</v>
      </c>
      <c r="G93" s="20" t="s">
        <v>777</v>
      </c>
      <c r="H93" s="29">
        <v>55.990099999999998</v>
      </c>
      <c r="I93" s="30">
        <v>2022</v>
      </c>
      <c r="J93" s="30">
        <v>75</v>
      </c>
      <c r="K93" s="30">
        <v>4599</v>
      </c>
      <c r="L93" s="20" t="s">
        <v>427</v>
      </c>
      <c r="M93" s="30">
        <v>4599023</v>
      </c>
      <c r="N93" s="20" t="s">
        <v>439</v>
      </c>
      <c r="O93" s="20" t="s">
        <v>440</v>
      </c>
      <c r="P93" s="20" t="s">
        <v>420</v>
      </c>
      <c r="Q93" s="30">
        <v>459902300</v>
      </c>
      <c r="R93" s="20" t="s">
        <v>441</v>
      </c>
      <c r="S93" s="20" t="s">
        <v>18</v>
      </c>
      <c r="T93" s="30">
        <v>16.600000000000001</v>
      </c>
      <c r="U93" s="20" t="s">
        <v>23</v>
      </c>
      <c r="V93" s="22">
        <v>1</v>
      </c>
      <c r="W93" s="22">
        <v>1</v>
      </c>
      <c r="X93" s="22">
        <v>1</v>
      </c>
      <c r="Y93" s="22">
        <v>1</v>
      </c>
      <c r="Z93" s="22">
        <v>1</v>
      </c>
      <c r="AA93" s="22">
        <v>1</v>
      </c>
      <c r="AB93" s="22">
        <v>1</v>
      </c>
      <c r="AC93" s="36">
        <v>100</v>
      </c>
    </row>
    <row r="94" spans="1:33" ht="15" customHeight="1" x14ac:dyDescent="0.3">
      <c r="A94" s="20" t="s">
        <v>745</v>
      </c>
      <c r="B94" s="20">
        <v>45</v>
      </c>
      <c r="C94" s="20" t="s">
        <v>393</v>
      </c>
      <c r="D94" s="20">
        <v>110070002</v>
      </c>
      <c r="E94" s="20" t="s">
        <v>733</v>
      </c>
      <c r="F94" s="20" t="s">
        <v>734</v>
      </c>
      <c r="G94" s="20" t="s">
        <v>791</v>
      </c>
      <c r="H94" s="29">
        <v>0</v>
      </c>
      <c r="I94" s="30">
        <v>2020</v>
      </c>
      <c r="J94" s="30">
        <v>88000</v>
      </c>
      <c r="K94" s="30">
        <v>4503</v>
      </c>
      <c r="L94" s="20" t="s">
        <v>413</v>
      </c>
      <c r="M94" s="30">
        <v>4503028</v>
      </c>
      <c r="N94" s="20" t="s">
        <v>443</v>
      </c>
      <c r="O94" s="20" t="s">
        <v>444</v>
      </c>
      <c r="P94" s="20" t="s">
        <v>40</v>
      </c>
      <c r="Q94" s="30">
        <v>450302800</v>
      </c>
      <c r="R94" s="20" t="s">
        <v>445</v>
      </c>
      <c r="S94" s="20" t="s">
        <v>18</v>
      </c>
      <c r="T94" s="30">
        <v>1.5</v>
      </c>
      <c r="U94" s="20" t="s">
        <v>23</v>
      </c>
      <c r="V94" s="22">
        <v>0</v>
      </c>
      <c r="W94" s="22">
        <v>20</v>
      </c>
      <c r="X94" s="22">
        <v>5</v>
      </c>
      <c r="Y94" s="22">
        <v>5</v>
      </c>
      <c r="Z94" s="22">
        <v>5</v>
      </c>
      <c r="AA94" s="22">
        <v>5</v>
      </c>
      <c r="AB94" s="22">
        <v>5</v>
      </c>
      <c r="AC94" s="36">
        <v>100</v>
      </c>
    </row>
    <row r="95" spans="1:33" ht="15" customHeight="1" x14ac:dyDescent="0.3">
      <c r="A95" s="20" t="s">
        <v>745</v>
      </c>
      <c r="B95" s="20">
        <v>45</v>
      </c>
      <c r="C95" s="20" t="s">
        <v>393</v>
      </c>
      <c r="D95" s="20">
        <v>60010001</v>
      </c>
      <c r="E95" s="20" t="s">
        <v>727</v>
      </c>
      <c r="F95" s="20" t="s">
        <v>725</v>
      </c>
      <c r="G95" s="20" t="s">
        <v>792</v>
      </c>
      <c r="H95" s="29">
        <v>132.82419999999999</v>
      </c>
      <c r="I95" s="30">
        <v>2022</v>
      </c>
      <c r="J95" s="30">
        <v>90</v>
      </c>
      <c r="K95" s="30">
        <v>4501</v>
      </c>
      <c r="L95" s="20" t="s">
        <v>394</v>
      </c>
      <c r="M95" s="30">
        <v>4501048</v>
      </c>
      <c r="N95" s="20" t="s">
        <v>446</v>
      </c>
      <c r="O95" s="20" t="s">
        <v>447</v>
      </c>
      <c r="P95" s="20" t="s">
        <v>448</v>
      </c>
      <c r="Q95" s="30">
        <v>450104800</v>
      </c>
      <c r="R95" s="20" t="s">
        <v>449</v>
      </c>
      <c r="S95" s="20" t="s">
        <v>18</v>
      </c>
      <c r="T95" s="30">
        <v>16.3</v>
      </c>
      <c r="U95" s="20" t="s">
        <v>19</v>
      </c>
      <c r="V95" s="22">
        <v>0</v>
      </c>
      <c r="W95" s="22">
        <v>4</v>
      </c>
      <c r="X95" s="22">
        <v>1</v>
      </c>
      <c r="Y95" s="22">
        <v>1</v>
      </c>
      <c r="Z95" s="22">
        <v>1</v>
      </c>
      <c r="AA95" s="22">
        <v>1</v>
      </c>
      <c r="AB95" s="22">
        <v>1</v>
      </c>
      <c r="AC95" s="36">
        <v>100</v>
      </c>
    </row>
    <row r="96" spans="1:33" ht="15" customHeight="1" x14ac:dyDescent="0.3">
      <c r="A96" s="20" t="s">
        <v>745</v>
      </c>
      <c r="B96" s="20">
        <v>45</v>
      </c>
      <c r="C96" s="20" t="s">
        <v>393</v>
      </c>
      <c r="D96" s="20">
        <v>80010008</v>
      </c>
      <c r="E96" s="20" t="s">
        <v>723</v>
      </c>
      <c r="F96" s="20" t="s">
        <v>719</v>
      </c>
      <c r="G96" s="20" t="s">
        <v>777</v>
      </c>
      <c r="H96" s="29">
        <v>55.990099999999998</v>
      </c>
      <c r="I96" s="30">
        <v>2022</v>
      </c>
      <c r="J96" s="30">
        <v>75</v>
      </c>
      <c r="K96" s="30">
        <v>4599</v>
      </c>
      <c r="L96" s="20" t="s">
        <v>427</v>
      </c>
      <c r="M96" s="30">
        <v>4599029</v>
      </c>
      <c r="N96" s="20" t="s">
        <v>450</v>
      </c>
      <c r="O96" s="20" t="s">
        <v>451</v>
      </c>
      <c r="P96" s="20" t="s">
        <v>452</v>
      </c>
      <c r="Q96" s="30">
        <v>459902900</v>
      </c>
      <c r="R96" s="20" t="s">
        <v>453</v>
      </c>
      <c r="S96" s="20" t="s">
        <v>18</v>
      </c>
      <c r="T96" s="30">
        <v>16.600000000000001</v>
      </c>
      <c r="U96" s="20" t="s">
        <v>19</v>
      </c>
      <c r="V96" s="22">
        <v>2</v>
      </c>
      <c r="W96" s="22">
        <v>4</v>
      </c>
      <c r="X96" s="22">
        <v>1</v>
      </c>
      <c r="Y96" s="22">
        <v>1</v>
      </c>
      <c r="Z96" s="22">
        <v>1</v>
      </c>
      <c r="AA96" s="22">
        <v>1</v>
      </c>
      <c r="AB96" s="22">
        <v>2</v>
      </c>
      <c r="AC96" s="34">
        <v>100</v>
      </c>
    </row>
    <row r="97" spans="1:36" ht="15" customHeight="1" x14ac:dyDescent="0.3">
      <c r="A97" s="20" t="s">
        <v>745</v>
      </c>
      <c r="B97" s="20">
        <v>45</v>
      </c>
      <c r="C97" s="20" t="s">
        <v>393</v>
      </c>
      <c r="D97" s="20">
        <v>80010008</v>
      </c>
      <c r="E97" s="20" t="s">
        <v>723</v>
      </c>
      <c r="F97" s="20" t="s">
        <v>719</v>
      </c>
      <c r="G97" s="20" t="s">
        <v>777</v>
      </c>
      <c r="H97" s="29">
        <v>55.990099999999998</v>
      </c>
      <c r="I97" s="30">
        <v>2022</v>
      </c>
      <c r="J97" s="30">
        <v>75</v>
      </c>
      <c r="K97" s="30">
        <v>4599</v>
      </c>
      <c r="L97" s="20" t="s">
        <v>427</v>
      </c>
      <c r="M97" s="30">
        <v>4599033</v>
      </c>
      <c r="N97" s="20" t="s">
        <v>454</v>
      </c>
      <c r="O97" s="20" t="s">
        <v>455</v>
      </c>
      <c r="P97" s="20" t="s">
        <v>42</v>
      </c>
      <c r="Q97" s="30">
        <v>459903300</v>
      </c>
      <c r="R97" s="20" t="s">
        <v>456</v>
      </c>
      <c r="S97" s="20" t="s">
        <v>18</v>
      </c>
      <c r="T97" s="30">
        <v>17.7</v>
      </c>
      <c r="U97" s="20" t="s">
        <v>770</v>
      </c>
      <c r="V97" s="22" t="s">
        <v>636</v>
      </c>
      <c r="W97" s="22">
        <v>120</v>
      </c>
      <c r="X97" s="22">
        <v>30</v>
      </c>
      <c r="Y97" s="22">
        <v>30</v>
      </c>
      <c r="Z97" s="22">
        <v>30</v>
      </c>
      <c r="AA97" s="22">
        <v>30</v>
      </c>
      <c r="AB97" s="22">
        <v>75</v>
      </c>
      <c r="AC97" s="34">
        <v>100</v>
      </c>
    </row>
    <row r="98" spans="1:36" ht="15" customHeight="1" x14ac:dyDescent="0.3">
      <c r="A98" s="20" t="s">
        <v>745</v>
      </c>
      <c r="B98" s="20">
        <v>45</v>
      </c>
      <c r="C98" s="20" t="s">
        <v>393</v>
      </c>
      <c r="D98" s="20">
        <v>60010005</v>
      </c>
      <c r="E98" s="20" t="s">
        <v>726</v>
      </c>
      <c r="F98" s="20" t="s">
        <v>725</v>
      </c>
      <c r="G98" s="20" t="s">
        <v>792</v>
      </c>
      <c r="H98" s="29">
        <v>0</v>
      </c>
      <c r="I98" s="30">
        <v>2021</v>
      </c>
      <c r="J98" s="30">
        <v>0</v>
      </c>
      <c r="K98" s="30">
        <v>4501</v>
      </c>
      <c r="L98" s="20" t="s">
        <v>394</v>
      </c>
      <c r="M98" s="30">
        <v>4501050</v>
      </c>
      <c r="N98" s="20" t="s">
        <v>471</v>
      </c>
      <c r="O98" s="20" t="s">
        <v>472</v>
      </c>
      <c r="P98" s="20" t="s">
        <v>473</v>
      </c>
      <c r="Q98" s="30">
        <v>450105000</v>
      </c>
      <c r="R98" s="20" t="s">
        <v>474</v>
      </c>
      <c r="S98" s="20" t="s">
        <v>18</v>
      </c>
      <c r="T98" s="30">
        <v>5.2</v>
      </c>
      <c r="U98" s="20" t="s">
        <v>19</v>
      </c>
      <c r="V98" s="22">
        <v>8</v>
      </c>
      <c r="W98" s="22">
        <v>20</v>
      </c>
      <c r="X98" s="22">
        <v>5</v>
      </c>
      <c r="Y98" s="22">
        <v>5</v>
      </c>
      <c r="Z98" s="22">
        <v>5</v>
      </c>
      <c r="AA98" s="22">
        <v>5</v>
      </c>
      <c r="AB98" s="22">
        <v>11</v>
      </c>
      <c r="AC98" s="34">
        <v>100</v>
      </c>
    </row>
    <row r="99" spans="1:36" ht="15" customHeight="1" x14ac:dyDescent="0.3">
      <c r="A99" s="20" t="s">
        <v>745</v>
      </c>
      <c r="B99" s="20">
        <v>45</v>
      </c>
      <c r="C99" s="20" t="s">
        <v>393</v>
      </c>
      <c r="D99" s="20">
        <v>80010008</v>
      </c>
      <c r="E99" s="20" t="s">
        <v>723</v>
      </c>
      <c r="F99" s="20" t="s">
        <v>719</v>
      </c>
      <c r="G99" s="20" t="s">
        <v>777</v>
      </c>
      <c r="H99" s="29">
        <v>55.990099999999998</v>
      </c>
      <c r="I99" s="30">
        <v>2022</v>
      </c>
      <c r="J99" s="30">
        <v>75</v>
      </c>
      <c r="K99" s="30">
        <v>4599</v>
      </c>
      <c r="L99" s="20" t="s">
        <v>427</v>
      </c>
      <c r="M99" s="30">
        <v>4599034</v>
      </c>
      <c r="N99" s="20" t="s">
        <v>364</v>
      </c>
      <c r="O99" s="20" t="s">
        <v>537</v>
      </c>
      <c r="P99" s="20" t="s">
        <v>318</v>
      </c>
      <c r="Q99" s="30">
        <v>459903400</v>
      </c>
      <c r="R99" s="20" t="s">
        <v>364</v>
      </c>
      <c r="S99" s="20" t="s">
        <v>18</v>
      </c>
      <c r="T99" s="30">
        <v>16.600000000000001</v>
      </c>
      <c r="U99" s="20" t="s">
        <v>19</v>
      </c>
      <c r="V99" s="22">
        <v>1</v>
      </c>
      <c r="W99" s="22">
        <v>4</v>
      </c>
      <c r="X99" s="22">
        <v>1</v>
      </c>
      <c r="Y99" s="22">
        <v>1</v>
      </c>
      <c r="Z99" s="22">
        <v>1</v>
      </c>
      <c r="AA99" s="22">
        <v>1</v>
      </c>
      <c r="AB99" s="22">
        <v>1</v>
      </c>
      <c r="AC99" s="36">
        <v>100</v>
      </c>
    </row>
    <row r="100" spans="1:36" ht="15" customHeight="1" x14ac:dyDescent="0.3">
      <c r="A100" s="20" t="s">
        <v>745</v>
      </c>
      <c r="B100" s="20">
        <v>45</v>
      </c>
      <c r="C100" s="20" t="s">
        <v>393</v>
      </c>
      <c r="D100" s="24">
        <v>20100040</v>
      </c>
      <c r="E100" s="20" t="s">
        <v>763</v>
      </c>
      <c r="F100" s="20" t="s">
        <v>719</v>
      </c>
      <c r="G100" s="20" t="s">
        <v>780</v>
      </c>
      <c r="H100" s="29">
        <v>0</v>
      </c>
      <c r="I100" s="30">
        <v>2021</v>
      </c>
      <c r="J100" s="30">
        <v>0</v>
      </c>
      <c r="K100" s="30">
        <v>4501</v>
      </c>
      <c r="L100" s="20" t="s">
        <v>394</v>
      </c>
      <c r="M100" s="30">
        <v>4501061</v>
      </c>
      <c r="N100" s="20" t="s">
        <v>549</v>
      </c>
      <c r="O100" s="20" t="s">
        <v>550</v>
      </c>
      <c r="P100" s="20" t="s">
        <v>278</v>
      </c>
      <c r="Q100" s="30">
        <v>450106100</v>
      </c>
      <c r="R100" s="20" t="s">
        <v>551</v>
      </c>
      <c r="S100" s="20" t="s">
        <v>18</v>
      </c>
      <c r="T100" s="30" t="s">
        <v>594</v>
      </c>
      <c r="U100" s="20" t="s">
        <v>210</v>
      </c>
      <c r="V100" s="22">
        <v>750</v>
      </c>
      <c r="W100" s="22">
        <v>2250</v>
      </c>
      <c r="X100" s="22">
        <v>450</v>
      </c>
      <c r="Y100" s="22">
        <v>600</v>
      </c>
      <c r="Z100" s="22">
        <v>600</v>
      </c>
      <c r="AA100" s="22">
        <v>600</v>
      </c>
      <c r="AB100" s="22">
        <v>600</v>
      </c>
      <c r="AC100" s="34">
        <v>100</v>
      </c>
    </row>
    <row r="101" spans="1:36" ht="15" customHeight="1" x14ac:dyDescent="0.3">
      <c r="A101" s="20" t="s">
        <v>745</v>
      </c>
      <c r="B101" s="20">
        <v>12</v>
      </c>
      <c r="C101" s="20" t="s">
        <v>89</v>
      </c>
      <c r="D101" s="20">
        <v>190050001</v>
      </c>
      <c r="E101" s="20" t="s">
        <v>761</v>
      </c>
      <c r="F101" s="20" t="s">
        <v>762</v>
      </c>
      <c r="G101" s="20" t="s">
        <v>794</v>
      </c>
      <c r="H101" s="29">
        <v>0</v>
      </c>
      <c r="I101" s="30">
        <v>2017</v>
      </c>
      <c r="J101" s="30">
        <v>0</v>
      </c>
      <c r="K101" s="30">
        <v>1206</v>
      </c>
      <c r="L101" s="20" t="s">
        <v>90</v>
      </c>
      <c r="M101" s="30">
        <v>1206007</v>
      </c>
      <c r="N101" s="20" t="s">
        <v>91</v>
      </c>
      <c r="O101" s="20" t="s">
        <v>92</v>
      </c>
      <c r="P101" s="20" t="s">
        <v>40</v>
      </c>
      <c r="Q101" s="30">
        <v>120600702</v>
      </c>
      <c r="R101" s="20" t="s">
        <v>639</v>
      </c>
      <c r="S101" s="20" t="s">
        <v>18</v>
      </c>
      <c r="T101" s="30">
        <v>10.199999999999999</v>
      </c>
      <c r="U101" s="20" t="s">
        <v>19</v>
      </c>
      <c r="V101" s="22">
        <v>4</v>
      </c>
      <c r="W101" s="22">
        <v>20</v>
      </c>
      <c r="X101" s="22">
        <v>5</v>
      </c>
      <c r="Y101" s="22">
        <v>5</v>
      </c>
      <c r="Z101" s="22">
        <v>5</v>
      </c>
      <c r="AA101" s="22">
        <v>5</v>
      </c>
      <c r="AB101" s="22">
        <v>5</v>
      </c>
      <c r="AC101" s="36">
        <v>100</v>
      </c>
    </row>
    <row r="102" spans="1:36" ht="15" customHeight="1" x14ac:dyDescent="0.3">
      <c r="A102" s="20" t="s">
        <v>745</v>
      </c>
      <c r="B102" s="20">
        <v>45</v>
      </c>
      <c r="C102" s="20" t="s">
        <v>393</v>
      </c>
      <c r="D102" s="20">
        <v>60010003</v>
      </c>
      <c r="E102" s="20" t="s">
        <v>724</v>
      </c>
      <c r="F102" s="20" t="s">
        <v>725</v>
      </c>
      <c r="G102" s="20" t="s">
        <v>792</v>
      </c>
      <c r="H102" s="29">
        <v>49.81</v>
      </c>
      <c r="I102" s="30">
        <v>2022</v>
      </c>
      <c r="J102" s="30">
        <v>30</v>
      </c>
      <c r="K102" s="30">
        <v>4501</v>
      </c>
      <c r="L102" s="20" t="s">
        <v>394</v>
      </c>
      <c r="M102" s="30">
        <v>4501026</v>
      </c>
      <c r="N102" s="20" t="s">
        <v>649</v>
      </c>
      <c r="O102" s="20" t="s">
        <v>650</v>
      </c>
      <c r="P102" s="20" t="s">
        <v>26</v>
      </c>
      <c r="Q102" s="30">
        <v>450102602</v>
      </c>
      <c r="R102" s="20" t="s">
        <v>651</v>
      </c>
      <c r="S102" s="20" t="s">
        <v>18</v>
      </c>
      <c r="T102" s="30">
        <v>16.100000000000001</v>
      </c>
      <c r="U102" s="20" t="s">
        <v>19</v>
      </c>
      <c r="V102" s="22">
        <v>1</v>
      </c>
      <c r="W102" s="22">
        <v>1</v>
      </c>
      <c r="X102" s="22">
        <v>1</v>
      </c>
      <c r="Y102" s="22">
        <v>0</v>
      </c>
      <c r="Z102" s="22">
        <v>0</v>
      </c>
      <c r="AA102" s="22">
        <v>0</v>
      </c>
      <c r="AB102" s="22">
        <v>1</v>
      </c>
      <c r="AC102" s="36">
        <v>100</v>
      </c>
    </row>
    <row r="103" spans="1:36" ht="15" customHeight="1" x14ac:dyDescent="0.3">
      <c r="A103" s="20" t="s">
        <v>745</v>
      </c>
      <c r="B103" s="20">
        <v>45</v>
      </c>
      <c r="C103" s="20" t="s">
        <v>393</v>
      </c>
      <c r="D103" s="20">
        <v>60010003</v>
      </c>
      <c r="E103" s="20" t="s">
        <v>724</v>
      </c>
      <c r="F103" s="20" t="s">
        <v>725</v>
      </c>
      <c r="G103" s="20" t="s">
        <v>792</v>
      </c>
      <c r="H103" s="29">
        <v>49.81</v>
      </c>
      <c r="I103" s="30">
        <v>2022</v>
      </c>
      <c r="J103" s="30">
        <v>30</v>
      </c>
      <c r="K103" s="30">
        <v>4501</v>
      </c>
      <c r="L103" s="20" t="s">
        <v>394</v>
      </c>
      <c r="M103" s="30">
        <v>4501077</v>
      </c>
      <c r="N103" s="20" t="s">
        <v>652</v>
      </c>
      <c r="O103" s="20" t="s">
        <v>653</v>
      </c>
      <c r="P103" s="20" t="s">
        <v>287</v>
      </c>
      <c r="Q103" s="30">
        <v>450107700</v>
      </c>
      <c r="R103" s="20" t="s">
        <v>593</v>
      </c>
      <c r="S103" s="20" t="s">
        <v>18</v>
      </c>
      <c r="T103" s="30">
        <v>16.600000000000001</v>
      </c>
      <c r="U103" s="20" t="s">
        <v>19</v>
      </c>
      <c r="V103" s="22">
        <v>4</v>
      </c>
      <c r="W103" s="22">
        <v>4</v>
      </c>
      <c r="X103" s="22">
        <v>1</v>
      </c>
      <c r="Y103" s="22">
        <v>1</v>
      </c>
      <c r="Z103" s="22">
        <v>1</v>
      </c>
      <c r="AA103" s="22">
        <v>1</v>
      </c>
      <c r="AB103" s="22">
        <v>1</v>
      </c>
      <c r="AC103" s="36">
        <v>100</v>
      </c>
    </row>
    <row r="104" spans="1:36" ht="15.6" customHeight="1" x14ac:dyDescent="0.3">
      <c r="A104" s="20" t="s">
        <v>745</v>
      </c>
      <c r="B104" s="20">
        <v>45</v>
      </c>
      <c r="C104" s="20" t="s">
        <v>393</v>
      </c>
      <c r="D104" s="20">
        <v>60010003</v>
      </c>
      <c r="E104" s="20" t="s">
        <v>724</v>
      </c>
      <c r="F104" s="20" t="s">
        <v>725</v>
      </c>
      <c r="G104" s="20" t="s">
        <v>792</v>
      </c>
      <c r="H104" s="29">
        <v>49.81</v>
      </c>
      <c r="I104" s="30">
        <v>2022</v>
      </c>
      <c r="J104" s="30">
        <v>30</v>
      </c>
      <c r="K104" s="30">
        <v>4501</v>
      </c>
      <c r="L104" s="20" t="s">
        <v>394</v>
      </c>
      <c r="M104" s="30">
        <v>4501079</v>
      </c>
      <c r="N104" s="20" t="s">
        <v>652</v>
      </c>
      <c r="O104" s="20" t="s">
        <v>654</v>
      </c>
      <c r="P104" s="20" t="s">
        <v>287</v>
      </c>
      <c r="Q104" s="30">
        <v>450107900</v>
      </c>
      <c r="R104" s="20" t="s">
        <v>593</v>
      </c>
      <c r="S104" s="20" t="s">
        <v>18</v>
      </c>
      <c r="T104" s="30">
        <v>16.600000000000001</v>
      </c>
      <c r="U104" s="20" t="s">
        <v>19</v>
      </c>
      <c r="V104" s="22">
        <v>4</v>
      </c>
      <c r="W104" s="22">
        <v>4</v>
      </c>
      <c r="X104" s="22">
        <v>1</v>
      </c>
      <c r="Y104" s="22">
        <v>1</v>
      </c>
      <c r="Z104" s="22">
        <v>1</v>
      </c>
      <c r="AA104" s="22">
        <v>1</v>
      </c>
      <c r="AB104" s="22">
        <v>1</v>
      </c>
      <c r="AC104" s="36">
        <v>100</v>
      </c>
    </row>
    <row r="107" spans="1:36" x14ac:dyDescent="0.3">
      <c r="AE107" s="1" t="s">
        <v>994</v>
      </c>
      <c r="AF107" s="1" t="s">
        <v>995</v>
      </c>
      <c r="AG107" s="1" t="s">
        <v>996</v>
      </c>
      <c r="AH107" s="1" t="s">
        <v>997</v>
      </c>
      <c r="AI107" s="1" t="s">
        <v>999</v>
      </c>
      <c r="AJ107" s="1" t="s">
        <v>998</v>
      </c>
    </row>
    <row r="108" spans="1:36" x14ac:dyDescent="0.3">
      <c r="W108" s="1" t="s">
        <v>1002</v>
      </c>
      <c r="X108" s="1" t="s">
        <v>995</v>
      </c>
      <c r="Y108" s="1" t="s">
        <v>996</v>
      </c>
      <c r="Z108" s="1" t="s">
        <v>997</v>
      </c>
      <c r="AA108" s="1" t="s">
        <v>999</v>
      </c>
      <c r="AB108" s="1" t="s">
        <v>998</v>
      </c>
      <c r="AE108" s="1" t="s">
        <v>741</v>
      </c>
      <c r="AF108" s="1">
        <v>49</v>
      </c>
      <c r="AG108" s="1">
        <v>40</v>
      </c>
      <c r="AH108" s="1">
        <v>6</v>
      </c>
      <c r="AI108" s="1">
        <v>3</v>
      </c>
      <c r="AJ108" s="1">
        <v>90</v>
      </c>
    </row>
    <row r="109" spans="1:36" x14ac:dyDescent="0.3">
      <c r="W109" s="7" t="s">
        <v>208</v>
      </c>
      <c r="X109" s="7">
        <v>6</v>
      </c>
      <c r="Y109" s="7">
        <v>4</v>
      </c>
      <c r="Z109" s="7">
        <v>2</v>
      </c>
      <c r="AA109" s="7">
        <v>2</v>
      </c>
      <c r="AB109" s="7">
        <v>87</v>
      </c>
    </row>
    <row r="110" spans="1:36" s="4" customFormat="1" x14ac:dyDescent="0.3">
      <c r="A110" s="5"/>
      <c r="B110" s="1"/>
      <c r="C110" s="1"/>
      <c r="D110" s="1"/>
      <c r="E110" s="1"/>
      <c r="F110" s="1"/>
      <c r="G110" s="1"/>
      <c r="H110" s="1"/>
      <c r="I110" s="1"/>
      <c r="J110" s="1"/>
      <c r="K110" s="1"/>
      <c r="L110" s="1"/>
      <c r="M110" s="1"/>
      <c r="N110" s="1"/>
      <c r="O110" s="1"/>
      <c r="P110" s="1"/>
      <c r="Q110" s="1"/>
      <c r="R110" s="1"/>
      <c r="S110" s="1"/>
      <c r="T110" s="6"/>
      <c r="U110" s="1"/>
      <c r="V110" s="7"/>
      <c r="W110" s="7"/>
      <c r="X110" s="7"/>
      <c r="Y110" s="7"/>
      <c r="Z110" s="7"/>
      <c r="AA110" s="7"/>
      <c r="AB110" s="7"/>
      <c r="AC110" s="33"/>
    </row>
    <row r="111" spans="1:36" x14ac:dyDescent="0.3">
      <c r="W111" s="1" t="s">
        <v>1002</v>
      </c>
      <c r="X111" s="1" t="s">
        <v>995</v>
      </c>
      <c r="Y111" s="1" t="s">
        <v>996</v>
      </c>
      <c r="Z111" s="1" t="s">
        <v>997</v>
      </c>
      <c r="AA111" s="1" t="s">
        <v>999</v>
      </c>
      <c r="AB111" s="1" t="s">
        <v>998</v>
      </c>
      <c r="AE111" s="1" t="s">
        <v>994</v>
      </c>
      <c r="AF111" s="1" t="s">
        <v>995</v>
      </c>
      <c r="AG111" s="1" t="s">
        <v>996</v>
      </c>
      <c r="AH111" s="1" t="s">
        <v>997</v>
      </c>
      <c r="AI111" s="1" t="s">
        <v>999</v>
      </c>
      <c r="AJ111" s="1" t="s">
        <v>998</v>
      </c>
    </row>
    <row r="112" spans="1:36" x14ac:dyDescent="0.3">
      <c r="W112" s="7" t="s">
        <v>216</v>
      </c>
      <c r="X112" s="7">
        <v>4</v>
      </c>
      <c r="Y112" s="7">
        <v>4</v>
      </c>
      <c r="Z112" s="7">
        <v>0</v>
      </c>
      <c r="AA112" s="7">
        <v>0</v>
      </c>
      <c r="AB112" s="7">
        <v>100</v>
      </c>
      <c r="AE112" s="1" t="s">
        <v>1000</v>
      </c>
      <c r="AF112" s="1">
        <v>9</v>
      </c>
      <c r="AG112" s="1">
        <v>9</v>
      </c>
      <c r="AH112" s="1">
        <v>0</v>
      </c>
      <c r="AI112" s="1">
        <v>0</v>
      </c>
      <c r="AJ112" s="1">
        <v>100</v>
      </c>
    </row>
    <row r="114" spans="23:36" x14ac:dyDescent="0.3">
      <c r="W114" s="1" t="s">
        <v>1002</v>
      </c>
      <c r="X114" s="1" t="s">
        <v>995</v>
      </c>
      <c r="Y114" s="1" t="s">
        <v>996</v>
      </c>
      <c r="Z114" s="1" t="s">
        <v>997</v>
      </c>
      <c r="AA114" s="1" t="s">
        <v>999</v>
      </c>
      <c r="AB114" s="1" t="s">
        <v>998</v>
      </c>
      <c r="AE114" s="1" t="s">
        <v>994</v>
      </c>
      <c r="AF114" s="1" t="s">
        <v>995</v>
      </c>
      <c r="AG114" s="1" t="s">
        <v>996</v>
      </c>
      <c r="AH114" s="1" t="s">
        <v>997</v>
      </c>
      <c r="AI114" s="1" t="s">
        <v>999</v>
      </c>
      <c r="AJ114" s="1" t="s">
        <v>998</v>
      </c>
    </row>
    <row r="115" spans="23:36" x14ac:dyDescent="0.3">
      <c r="W115" s="7" t="s">
        <v>243</v>
      </c>
      <c r="X115" s="7">
        <v>2</v>
      </c>
      <c r="Y115" s="7">
        <v>2</v>
      </c>
      <c r="Z115" s="7">
        <v>0</v>
      </c>
      <c r="AA115" s="7">
        <v>0</v>
      </c>
      <c r="AB115" s="7">
        <v>100</v>
      </c>
      <c r="AE115" s="1" t="s">
        <v>743</v>
      </c>
      <c r="AF115" s="1">
        <v>10</v>
      </c>
      <c r="AG115" s="1">
        <v>8</v>
      </c>
      <c r="AH115" s="1">
        <v>2</v>
      </c>
      <c r="AI115" s="1">
        <v>0</v>
      </c>
      <c r="AJ115" s="1">
        <v>92</v>
      </c>
    </row>
    <row r="117" spans="23:36" x14ac:dyDescent="0.3">
      <c r="W117" s="1" t="s">
        <v>1002</v>
      </c>
      <c r="X117" s="1" t="s">
        <v>995</v>
      </c>
      <c r="Y117" s="1" t="s">
        <v>996</v>
      </c>
      <c r="Z117" s="1" t="s">
        <v>997</v>
      </c>
      <c r="AA117" s="1" t="s">
        <v>999</v>
      </c>
      <c r="AB117" s="1" t="s">
        <v>998</v>
      </c>
    </row>
    <row r="118" spans="23:36" x14ac:dyDescent="0.3">
      <c r="W118" s="20" t="s">
        <v>83</v>
      </c>
      <c r="X118" s="7">
        <v>4</v>
      </c>
      <c r="Y118" s="7">
        <v>4</v>
      </c>
      <c r="Z118" s="7">
        <v>0</v>
      </c>
      <c r="AA118" s="7">
        <v>0</v>
      </c>
      <c r="AB118" s="7">
        <v>100</v>
      </c>
    </row>
    <row r="120" spans="23:36" x14ac:dyDescent="0.3">
      <c r="W120" s="1" t="s">
        <v>1002</v>
      </c>
      <c r="X120" s="1" t="s">
        <v>995</v>
      </c>
      <c r="Y120" s="1" t="s">
        <v>996</v>
      </c>
      <c r="Z120" s="1" t="s">
        <v>997</v>
      </c>
      <c r="AA120" s="1" t="s">
        <v>999</v>
      </c>
      <c r="AB120" s="1" t="s">
        <v>998</v>
      </c>
    </row>
    <row r="121" spans="23:36" x14ac:dyDescent="0.3">
      <c r="W121" s="20" t="s">
        <v>158</v>
      </c>
      <c r="X121" s="7">
        <v>5</v>
      </c>
      <c r="Y121" s="7">
        <v>4</v>
      </c>
      <c r="Z121" s="7">
        <v>1</v>
      </c>
      <c r="AA121" s="7">
        <v>0</v>
      </c>
      <c r="AB121" s="7">
        <v>98</v>
      </c>
    </row>
    <row r="124" spans="23:36" x14ac:dyDescent="0.3">
      <c r="W124" s="1" t="s">
        <v>1002</v>
      </c>
      <c r="X124" s="1" t="s">
        <v>995</v>
      </c>
      <c r="Y124" s="1" t="s">
        <v>996</v>
      </c>
      <c r="Z124" s="1" t="s">
        <v>997</v>
      </c>
      <c r="AA124" s="1" t="s">
        <v>999</v>
      </c>
      <c r="AB124" s="1" t="s">
        <v>998</v>
      </c>
    </row>
    <row r="125" spans="23:36" x14ac:dyDescent="0.3">
      <c r="W125" s="20" t="s">
        <v>93</v>
      </c>
      <c r="X125" s="7">
        <v>11</v>
      </c>
      <c r="Y125" s="7">
        <v>5</v>
      </c>
      <c r="Z125" s="7">
        <v>3</v>
      </c>
      <c r="AA125" s="7">
        <v>3</v>
      </c>
      <c r="AB125" s="7">
        <v>64</v>
      </c>
      <c r="AE125" s="1" t="s">
        <v>994</v>
      </c>
      <c r="AF125" s="1" t="s">
        <v>995</v>
      </c>
      <c r="AG125" s="1" t="s">
        <v>996</v>
      </c>
      <c r="AH125" s="1" t="s">
        <v>997</v>
      </c>
      <c r="AI125" s="1" t="s">
        <v>999</v>
      </c>
      <c r="AJ125" s="1" t="s">
        <v>998</v>
      </c>
    </row>
    <row r="126" spans="23:36" x14ac:dyDescent="0.3">
      <c r="AE126" s="1" t="s">
        <v>744</v>
      </c>
      <c r="AF126" s="1">
        <v>10</v>
      </c>
      <c r="AG126" s="1">
        <v>7</v>
      </c>
      <c r="AH126" s="1">
        <v>1</v>
      </c>
      <c r="AI126" s="1">
        <v>2</v>
      </c>
      <c r="AJ126" s="1">
        <v>74</v>
      </c>
    </row>
    <row r="127" spans="23:36" x14ac:dyDescent="0.3">
      <c r="W127" s="1" t="s">
        <v>1002</v>
      </c>
      <c r="X127" s="1" t="s">
        <v>995</v>
      </c>
      <c r="Y127" s="1" t="s">
        <v>996</v>
      </c>
      <c r="Z127" s="1" t="s">
        <v>997</v>
      </c>
      <c r="AA127" s="1" t="s">
        <v>999</v>
      </c>
      <c r="AB127" s="1" t="s">
        <v>998</v>
      </c>
    </row>
    <row r="128" spans="23:36" x14ac:dyDescent="0.3">
      <c r="W128" s="20" t="s">
        <v>393</v>
      </c>
      <c r="X128" s="7">
        <v>16</v>
      </c>
      <c r="Y128" s="7">
        <v>16</v>
      </c>
      <c r="Z128" s="7">
        <v>0</v>
      </c>
      <c r="AA128" s="7">
        <v>0</v>
      </c>
      <c r="AB128" s="7">
        <v>100</v>
      </c>
    </row>
    <row r="129" spans="23:36" x14ac:dyDescent="0.3">
      <c r="AE129" s="1" t="s">
        <v>994</v>
      </c>
      <c r="AF129" s="1" t="s">
        <v>995</v>
      </c>
      <c r="AG129" s="1" t="s">
        <v>996</v>
      </c>
      <c r="AH129" s="1" t="s">
        <v>997</v>
      </c>
      <c r="AI129" s="1" t="s">
        <v>999</v>
      </c>
      <c r="AJ129" s="1" t="s">
        <v>998</v>
      </c>
    </row>
    <row r="130" spans="23:36" x14ac:dyDescent="0.3">
      <c r="W130" s="1" t="s">
        <v>1002</v>
      </c>
      <c r="X130" s="1" t="s">
        <v>995</v>
      </c>
      <c r="Y130" s="1" t="s">
        <v>996</v>
      </c>
      <c r="Z130" s="1" t="s">
        <v>997</v>
      </c>
      <c r="AA130" s="1" t="s">
        <v>999</v>
      </c>
      <c r="AB130" s="1" t="s">
        <v>998</v>
      </c>
      <c r="AE130" s="1" t="s">
        <v>745</v>
      </c>
      <c r="AF130" s="1">
        <v>18</v>
      </c>
      <c r="AG130" s="1">
        <v>18</v>
      </c>
      <c r="AH130" s="1">
        <v>0</v>
      </c>
      <c r="AI130" s="1">
        <v>0</v>
      </c>
      <c r="AJ130" s="1">
        <v>100</v>
      </c>
    </row>
    <row r="131" spans="23:36" x14ac:dyDescent="0.3">
      <c r="W131" s="20" t="s">
        <v>12</v>
      </c>
      <c r="X131" s="7">
        <v>14</v>
      </c>
      <c r="Y131" s="7">
        <v>12</v>
      </c>
      <c r="Z131" s="7">
        <v>2</v>
      </c>
      <c r="AA131" s="7">
        <v>0</v>
      </c>
      <c r="AB131" s="7">
        <v>91</v>
      </c>
    </row>
    <row r="133" spans="23:36" x14ac:dyDescent="0.3">
      <c r="W133" s="1" t="s">
        <v>1002</v>
      </c>
      <c r="X133" s="1" t="s">
        <v>995</v>
      </c>
      <c r="Y133" s="1" t="s">
        <v>996</v>
      </c>
      <c r="Z133" s="1" t="s">
        <v>997</v>
      </c>
      <c r="AA133" s="1" t="s">
        <v>999</v>
      </c>
      <c r="AB133" s="1" t="s">
        <v>998</v>
      </c>
    </row>
    <row r="134" spans="23:36" x14ac:dyDescent="0.3">
      <c r="W134" s="20" t="s">
        <v>89</v>
      </c>
      <c r="X134" s="7">
        <v>1</v>
      </c>
      <c r="Y134" s="7">
        <v>1</v>
      </c>
      <c r="Z134" s="7">
        <v>0</v>
      </c>
      <c r="AA134" s="7">
        <v>0</v>
      </c>
      <c r="AB134" s="7">
        <v>100</v>
      </c>
    </row>
    <row r="136" spans="23:36" x14ac:dyDescent="0.3">
      <c r="W136" s="1" t="s">
        <v>1002</v>
      </c>
      <c r="X136" s="1" t="s">
        <v>995</v>
      </c>
      <c r="Y136" s="1" t="s">
        <v>996</v>
      </c>
      <c r="Z136" s="1" t="s">
        <v>997</v>
      </c>
      <c r="AA136" s="1" t="s">
        <v>999</v>
      </c>
      <c r="AB136" s="1" t="s">
        <v>998</v>
      </c>
    </row>
    <row r="137" spans="23:36" x14ac:dyDescent="0.3">
      <c r="W137" s="20" t="s">
        <v>64</v>
      </c>
      <c r="X137" s="20">
        <v>2</v>
      </c>
      <c r="Y137" s="7">
        <v>2</v>
      </c>
      <c r="Z137" s="7">
        <v>0</v>
      </c>
      <c r="AA137" s="7">
        <v>0</v>
      </c>
      <c r="AB137" s="7">
        <v>100</v>
      </c>
    </row>
    <row r="139" spans="23:36" x14ac:dyDescent="0.3">
      <c r="W139" s="1" t="s">
        <v>1002</v>
      </c>
      <c r="X139" s="1" t="s">
        <v>995</v>
      </c>
      <c r="Y139" s="1" t="s">
        <v>996</v>
      </c>
      <c r="Z139" s="1" t="s">
        <v>997</v>
      </c>
      <c r="AA139" s="1" t="s">
        <v>999</v>
      </c>
      <c r="AB139" s="1" t="s">
        <v>998</v>
      </c>
    </row>
    <row r="140" spans="23:36" x14ac:dyDescent="0.3">
      <c r="W140" s="20" t="s">
        <v>47</v>
      </c>
      <c r="X140" s="7">
        <v>17</v>
      </c>
      <c r="Y140" s="7">
        <v>17</v>
      </c>
      <c r="Z140" s="7">
        <v>0</v>
      </c>
      <c r="AA140" s="7">
        <v>0</v>
      </c>
      <c r="AB140" s="7">
        <v>100</v>
      </c>
    </row>
    <row r="142" spans="23:36" x14ac:dyDescent="0.3">
      <c r="W142" s="1" t="s">
        <v>1002</v>
      </c>
      <c r="X142" s="1" t="s">
        <v>995</v>
      </c>
      <c r="Y142" s="1" t="s">
        <v>996</v>
      </c>
      <c r="Z142" s="1" t="s">
        <v>997</v>
      </c>
      <c r="AA142" s="1" t="s">
        <v>999</v>
      </c>
      <c r="AB142" s="1" t="s">
        <v>998</v>
      </c>
    </row>
    <row r="143" spans="23:36" x14ac:dyDescent="0.3">
      <c r="W143" s="20" t="s">
        <v>238</v>
      </c>
      <c r="X143" s="7">
        <v>2</v>
      </c>
      <c r="Y143" s="7">
        <v>2</v>
      </c>
      <c r="Z143" s="7">
        <v>0</v>
      </c>
      <c r="AA143" s="7">
        <v>0</v>
      </c>
      <c r="AB143" s="7">
        <v>100</v>
      </c>
    </row>
    <row r="145" spans="23:28" x14ac:dyDescent="0.3">
      <c r="W145" s="1" t="s">
        <v>1002</v>
      </c>
      <c r="X145" s="1" t="s">
        <v>995</v>
      </c>
      <c r="Y145" s="1" t="s">
        <v>996</v>
      </c>
      <c r="Z145" s="1" t="s">
        <v>997</v>
      </c>
      <c r="AA145" s="1" t="s">
        <v>999</v>
      </c>
      <c r="AB145" s="1" t="s">
        <v>998</v>
      </c>
    </row>
    <row r="146" spans="23:28" x14ac:dyDescent="0.3">
      <c r="W146" s="20" t="s">
        <v>154</v>
      </c>
      <c r="X146" s="7">
        <v>5</v>
      </c>
      <c r="Y146" s="7">
        <v>5</v>
      </c>
      <c r="Z146" s="7">
        <v>0</v>
      </c>
      <c r="AA146" s="7">
        <v>0</v>
      </c>
      <c r="AB146" s="7">
        <v>100</v>
      </c>
    </row>
    <row r="148" spans="23:28" x14ac:dyDescent="0.3">
      <c r="W148" s="1" t="s">
        <v>1002</v>
      </c>
      <c r="X148" s="1" t="s">
        <v>995</v>
      </c>
      <c r="Y148" s="1" t="s">
        <v>996</v>
      </c>
      <c r="Z148" s="1" t="s">
        <v>997</v>
      </c>
      <c r="AA148" s="1" t="s">
        <v>999</v>
      </c>
      <c r="AB148" s="1" t="s">
        <v>998</v>
      </c>
    </row>
    <row r="149" spans="23:28" x14ac:dyDescent="0.3">
      <c r="W149" s="20" t="s">
        <v>130</v>
      </c>
      <c r="X149" s="7">
        <v>2</v>
      </c>
      <c r="Y149" s="7">
        <v>1</v>
      </c>
      <c r="Z149" s="7">
        <v>0</v>
      </c>
      <c r="AA149" s="7">
        <v>1</v>
      </c>
      <c r="AB149" s="7">
        <v>50</v>
      </c>
    </row>
    <row r="151" spans="23:28" x14ac:dyDescent="0.3">
      <c r="W151" s="1" t="s">
        <v>1002</v>
      </c>
      <c r="X151" s="1" t="s">
        <v>995</v>
      </c>
      <c r="Y151" s="1" t="s">
        <v>996</v>
      </c>
      <c r="Z151" s="1" t="s">
        <v>997</v>
      </c>
      <c r="AA151" s="1" t="s">
        <v>999</v>
      </c>
      <c r="AB151" s="1" t="s">
        <v>998</v>
      </c>
    </row>
    <row r="152" spans="23:28" x14ac:dyDescent="0.3">
      <c r="W152" s="20" t="s">
        <v>194</v>
      </c>
      <c r="X152" s="7">
        <v>4</v>
      </c>
      <c r="Y152" s="7">
        <v>3</v>
      </c>
      <c r="Z152" s="7">
        <v>0</v>
      </c>
      <c r="AA152" s="7">
        <v>4</v>
      </c>
      <c r="AB152" s="7">
        <v>75</v>
      </c>
    </row>
    <row r="154" spans="23:28" x14ac:dyDescent="0.3">
      <c r="W154" s="1" t="s">
        <v>1003</v>
      </c>
      <c r="X154" s="1" t="s">
        <v>995</v>
      </c>
      <c r="Y154" s="1" t="s">
        <v>996</v>
      </c>
      <c r="Z154" s="1" t="s">
        <v>997</v>
      </c>
      <c r="AA154" s="1" t="s">
        <v>999</v>
      </c>
      <c r="AB154" s="1" t="s">
        <v>998</v>
      </c>
    </row>
    <row r="155" spans="23:28" x14ac:dyDescent="0.3">
      <c r="W155" s="7" t="s">
        <v>23</v>
      </c>
      <c r="X155" s="7">
        <v>11</v>
      </c>
      <c r="Y155" s="7">
        <v>8</v>
      </c>
      <c r="Z155" s="7">
        <v>1</v>
      </c>
      <c r="AA155" s="7">
        <v>2</v>
      </c>
      <c r="AB155" s="7">
        <v>77</v>
      </c>
    </row>
    <row r="157" spans="23:28" x14ac:dyDescent="0.3">
      <c r="W157" s="1" t="s">
        <v>1003</v>
      </c>
      <c r="X157" s="1" t="s">
        <v>995</v>
      </c>
      <c r="Y157" s="1" t="s">
        <v>996</v>
      </c>
      <c r="Z157" s="1" t="s">
        <v>997</v>
      </c>
      <c r="AA157" s="1" t="s">
        <v>999</v>
      </c>
      <c r="AB157" s="1" t="s">
        <v>998</v>
      </c>
    </row>
    <row r="158" spans="23:28" x14ac:dyDescent="0.3">
      <c r="W158" s="20" t="s">
        <v>770</v>
      </c>
      <c r="X158" s="7">
        <v>40</v>
      </c>
      <c r="Y158" s="7">
        <v>34</v>
      </c>
      <c r="Z158" s="7">
        <v>3</v>
      </c>
      <c r="AA158" s="7">
        <v>3</v>
      </c>
      <c r="AB158" s="7">
        <v>91</v>
      </c>
    </row>
    <row r="160" spans="23:28" x14ac:dyDescent="0.3">
      <c r="W160" s="1" t="s">
        <v>1003</v>
      </c>
      <c r="X160" s="1" t="s">
        <v>995</v>
      </c>
      <c r="Y160" s="1" t="s">
        <v>996</v>
      </c>
      <c r="Z160" s="1" t="s">
        <v>997</v>
      </c>
      <c r="AA160" s="1" t="s">
        <v>999</v>
      </c>
      <c r="AB160" s="1" t="s">
        <v>998</v>
      </c>
    </row>
    <row r="161" spans="23:28" x14ac:dyDescent="0.3">
      <c r="W161" s="20" t="s">
        <v>19</v>
      </c>
      <c r="X161" s="7">
        <v>27</v>
      </c>
      <c r="Y161" s="7">
        <v>25</v>
      </c>
      <c r="Z161" s="7">
        <v>2</v>
      </c>
      <c r="AA161" s="7">
        <v>0</v>
      </c>
      <c r="AB161" s="7">
        <v>95</v>
      </c>
    </row>
    <row r="163" spans="23:28" x14ac:dyDescent="0.3">
      <c r="W163" s="1" t="s">
        <v>1003</v>
      </c>
      <c r="X163" s="1" t="s">
        <v>995</v>
      </c>
      <c r="Y163" s="1" t="s">
        <v>996</v>
      </c>
      <c r="Z163" s="1" t="s">
        <v>997</v>
      </c>
      <c r="AA163" s="1" t="s">
        <v>999</v>
      </c>
      <c r="AB163" s="1" t="s">
        <v>998</v>
      </c>
    </row>
    <row r="164" spans="23:28" x14ac:dyDescent="0.3">
      <c r="W164" s="20" t="s">
        <v>210</v>
      </c>
      <c r="X164" s="7">
        <v>13</v>
      </c>
      <c r="Y164" s="7">
        <v>11</v>
      </c>
      <c r="Z164" s="7">
        <v>2</v>
      </c>
      <c r="AA164" s="7">
        <v>0</v>
      </c>
      <c r="AB164" s="7">
        <v>94</v>
      </c>
    </row>
    <row r="166" spans="23:28" x14ac:dyDescent="0.3">
      <c r="W166" s="1" t="s">
        <v>1003</v>
      </c>
      <c r="X166" s="1" t="s">
        <v>995</v>
      </c>
      <c r="Y166" s="1" t="s">
        <v>996</v>
      </c>
      <c r="Z166" s="1" t="s">
        <v>997</v>
      </c>
      <c r="AA166" s="1" t="s">
        <v>999</v>
      </c>
      <c r="AB166" s="1" t="s">
        <v>998</v>
      </c>
    </row>
    <row r="167" spans="23:28" x14ac:dyDescent="0.3">
      <c r="W167" s="20" t="s">
        <v>207</v>
      </c>
      <c r="X167" s="7">
        <v>4</v>
      </c>
      <c r="Y167" s="7">
        <v>4</v>
      </c>
      <c r="Z167" s="7">
        <v>0</v>
      </c>
      <c r="AA167" s="7">
        <v>0</v>
      </c>
      <c r="AB167" s="7">
        <v>100</v>
      </c>
    </row>
    <row r="169" spans="23:28" x14ac:dyDescent="0.3">
      <c r="W169" s="1" t="s">
        <v>1003</v>
      </c>
      <c r="X169" s="1" t="s">
        <v>995</v>
      </c>
      <c r="Y169" s="1" t="s">
        <v>996</v>
      </c>
      <c r="Z169" s="1" t="s">
        <v>997</v>
      </c>
      <c r="AA169" s="1" t="s">
        <v>999</v>
      </c>
      <c r="AB169" s="1" t="s">
        <v>998</v>
      </c>
    </row>
  </sheetData>
  <sheetProtection formatCells="0" formatColumns="0" formatRows="0" insertColumns="0" insertRows="0" insertHyperlinks="0" deleteColumns="0" deleteRows="0" sort="0" autoFilter="0" pivotTables="0"/>
  <autoFilter ref="A2:AC104">
    <filterColumn colId="23">
      <filters>
        <filter val="1"/>
        <filter val="10"/>
        <filter val="100"/>
        <filter val="1000"/>
        <filter val="1250"/>
        <filter val="140"/>
        <filter val="15"/>
        <filter val="150"/>
        <filter val="1500"/>
        <filter val="180"/>
        <filter val="2"/>
        <filter val="2,5"/>
        <filter val="20"/>
        <filter val="200"/>
        <filter val="2419"/>
        <filter val="25"/>
        <filter val="3"/>
        <filter val="30"/>
        <filter val="300"/>
        <filter val="32"/>
        <filter val="35"/>
        <filter val="3600"/>
        <filter val="4"/>
        <filter val="40"/>
        <filter val="400"/>
        <filter val="450"/>
        <filter val="5"/>
        <filter val="50"/>
        <filter val="500"/>
        <filter val="52"/>
        <filter val="6"/>
        <filter val="7"/>
        <filter val="75"/>
        <filter val="800"/>
        <filter val="85800"/>
      </filters>
    </filterColumn>
  </autoFilter>
  <mergeCells count="23">
    <mergeCell ref="Y1:Y2"/>
    <mergeCell ref="Z1:Z2"/>
    <mergeCell ref="AA1:AA2"/>
    <mergeCell ref="AB1:AB2"/>
    <mergeCell ref="AC1:AC2"/>
    <mergeCell ref="X1:X2"/>
    <mergeCell ref="M1:M2"/>
    <mergeCell ref="N1:N2"/>
    <mergeCell ref="O1:O2"/>
    <mergeCell ref="P1:P2"/>
    <mergeCell ref="Q1:Q2"/>
    <mergeCell ref="R1:R2"/>
    <mergeCell ref="S1:S2"/>
    <mergeCell ref="T1:T2"/>
    <mergeCell ref="U1:U2"/>
    <mergeCell ref="V1:V2"/>
    <mergeCell ref="W1:W2"/>
    <mergeCell ref="L1:L2"/>
    <mergeCell ref="A1:A2"/>
    <mergeCell ref="B1:B2"/>
    <mergeCell ref="C1:C2"/>
    <mergeCell ref="D1:J1"/>
    <mergeCell ref="K1:K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223"/>
  <sheetViews>
    <sheetView topLeftCell="T1" workbookViewId="0">
      <selection activeCell="AI184" sqref="AI3:AI184"/>
    </sheetView>
  </sheetViews>
  <sheetFormatPr baseColWidth="10" defaultRowHeight="13.8" customHeight="1" x14ac:dyDescent="0.3"/>
  <cols>
    <col min="1" max="1" width="11.5546875" style="62"/>
    <col min="2" max="2" width="8.109375" style="62" customWidth="1"/>
    <col min="3" max="3" width="15.33203125" style="62" customWidth="1"/>
    <col min="4" max="34" width="11.5546875" style="62" customWidth="1"/>
    <col min="35" max="16384" width="11.5546875" style="62"/>
  </cols>
  <sheetData>
    <row r="1" spans="1:35" ht="13.8" customHeight="1" x14ac:dyDescent="0.3">
      <c r="A1" s="102" t="s">
        <v>612</v>
      </c>
      <c r="B1" s="99" t="s">
        <v>0</v>
      </c>
      <c r="C1" s="99" t="s">
        <v>1</v>
      </c>
      <c r="D1" s="99" t="s">
        <v>613</v>
      </c>
      <c r="E1" s="99"/>
      <c r="F1" s="99"/>
      <c r="G1" s="99"/>
      <c r="H1" s="99"/>
      <c r="I1" s="99"/>
      <c r="J1" s="99"/>
      <c r="K1" s="99" t="s">
        <v>2</v>
      </c>
      <c r="L1" s="99" t="s">
        <v>3</v>
      </c>
      <c r="M1" s="99" t="s">
        <v>4</v>
      </c>
      <c r="N1" s="99" t="s">
        <v>5</v>
      </c>
      <c r="O1" s="103" t="s">
        <v>806</v>
      </c>
      <c r="P1" s="99" t="s">
        <v>6</v>
      </c>
      <c r="Q1" s="99" t="s">
        <v>7</v>
      </c>
      <c r="R1" s="99" t="s">
        <v>8</v>
      </c>
      <c r="S1" s="99" t="s">
        <v>9</v>
      </c>
      <c r="T1" s="99" t="s">
        <v>10</v>
      </c>
      <c r="U1" s="99" t="s">
        <v>795</v>
      </c>
      <c r="V1" s="99" t="s">
        <v>11</v>
      </c>
      <c r="W1" s="99" t="s">
        <v>635</v>
      </c>
      <c r="X1" s="99" t="s">
        <v>618</v>
      </c>
      <c r="Y1" s="99" t="s">
        <v>988</v>
      </c>
      <c r="Z1" s="99" t="s">
        <v>615</v>
      </c>
      <c r="AA1" s="99" t="s">
        <v>616</v>
      </c>
      <c r="AB1" s="99" t="s">
        <v>617</v>
      </c>
      <c r="AC1" s="99" t="s">
        <v>992</v>
      </c>
      <c r="AD1" s="100" t="s">
        <v>1086</v>
      </c>
      <c r="AE1" s="99" t="s">
        <v>1004</v>
      </c>
      <c r="AF1" s="99" t="s">
        <v>1005</v>
      </c>
      <c r="AG1" s="99" t="s">
        <v>1014</v>
      </c>
      <c r="AH1" s="99" t="s">
        <v>1006</v>
      </c>
      <c r="AI1" s="99" t="s">
        <v>1085</v>
      </c>
    </row>
    <row r="2" spans="1:35" ht="13.8" customHeight="1" x14ac:dyDescent="0.3">
      <c r="A2" s="102"/>
      <c r="B2" s="99"/>
      <c r="C2" s="99"/>
      <c r="D2" s="63"/>
      <c r="E2" s="63" t="s">
        <v>613</v>
      </c>
      <c r="F2" s="63" t="s">
        <v>10</v>
      </c>
      <c r="G2" s="61" t="s">
        <v>771</v>
      </c>
      <c r="H2" s="61" t="s">
        <v>772</v>
      </c>
      <c r="I2" s="61" t="s">
        <v>773</v>
      </c>
      <c r="J2" s="61" t="s">
        <v>796</v>
      </c>
      <c r="K2" s="99"/>
      <c r="L2" s="99"/>
      <c r="M2" s="99"/>
      <c r="N2" s="99"/>
      <c r="O2" s="103"/>
      <c r="P2" s="99"/>
      <c r="Q2" s="99"/>
      <c r="R2" s="99"/>
      <c r="S2" s="99"/>
      <c r="T2" s="99"/>
      <c r="U2" s="99"/>
      <c r="V2" s="99"/>
      <c r="W2" s="99"/>
      <c r="X2" s="99"/>
      <c r="Y2" s="99"/>
      <c r="Z2" s="99"/>
      <c r="AA2" s="99"/>
      <c r="AB2" s="99"/>
      <c r="AC2" s="99"/>
      <c r="AD2" s="101"/>
      <c r="AE2" s="99"/>
      <c r="AF2" s="99"/>
      <c r="AG2" s="99"/>
      <c r="AH2" s="99"/>
      <c r="AI2" s="99"/>
    </row>
    <row r="3" spans="1:35" ht="13.8" customHeight="1" x14ac:dyDescent="0.3">
      <c r="A3" s="20" t="s">
        <v>741</v>
      </c>
      <c r="B3" s="20">
        <v>41</v>
      </c>
      <c r="C3" s="20" t="s">
        <v>12</v>
      </c>
      <c r="D3" s="21">
        <v>140010051</v>
      </c>
      <c r="E3" s="21" t="s">
        <v>720</v>
      </c>
      <c r="F3" s="20" t="s">
        <v>428</v>
      </c>
      <c r="G3" s="20" t="s">
        <v>774</v>
      </c>
      <c r="H3" s="29">
        <v>77.937399999999997</v>
      </c>
      <c r="I3" s="30">
        <v>2023</v>
      </c>
      <c r="J3" s="30">
        <v>72</v>
      </c>
      <c r="K3" s="30">
        <v>4102</v>
      </c>
      <c r="L3" s="20" t="s">
        <v>13</v>
      </c>
      <c r="M3" s="30">
        <v>4102001</v>
      </c>
      <c r="N3" s="20" t="s">
        <v>14</v>
      </c>
      <c r="O3" s="46"/>
      <c r="P3" s="20" t="s">
        <v>15</v>
      </c>
      <c r="Q3" s="20" t="s">
        <v>16</v>
      </c>
      <c r="R3" s="30">
        <v>410200100</v>
      </c>
      <c r="S3" s="20" t="s">
        <v>17</v>
      </c>
      <c r="T3" s="20" t="s">
        <v>18</v>
      </c>
      <c r="U3" s="30">
        <v>4.2</v>
      </c>
      <c r="V3" s="20" t="s">
        <v>19</v>
      </c>
      <c r="W3" s="22">
        <v>189</v>
      </c>
      <c r="X3" s="22">
        <v>1200</v>
      </c>
      <c r="Y3" s="22">
        <v>300</v>
      </c>
      <c r="Z3" s="22">
        <v>300</v>
      </c>
      <c r="AA3" s="22">
        <v>300</v>
      </c>
      <c r="AB3" s="22">
        <v>300</v>
      </c>
      <c r="AC3" s="22">
        <v>420</v>
      </c>
      <c r="AD3" s="36">
        <f>+AC3/X3*100</f>
        <v>35</v>
      </c>
      <c r="AE3" s="22" t="s">
        <v>947</v>
      </c>
      <c r="AF3" s="22" t="s">
        <v>948</v>
      </c>
      <c r="AG3" s="51">
        <v>283</v>
      </c>
      <c r="AH3" s="35" t="s">
        <v>1021</v>
      </c>
      <c r="AI3" s="65">
        <f>+AG3*100/Z3</f>
        <v>94.333333333333329</v>
      </c>
    </row>
    <row r="4" spans="1:35" ht="13.8" customHeight="1" x14ac:dyDescent="0.3">
      <c r="A4" s="20" t="s">
        <v>741</v>
      </c>
      <c r="B4" s="20">
        <v>41</v>
      </c>
      <c r="C4" s="20" t="s">
        <v>12</v>
      </c>
      <c r="D4" s="21">
        <v>140010051</v>
      </c>
      <c r="E4" s="21" t="s">
        <v>720</v>
      </c>
      <c r="F4" s="20" t="s">
        <v>428</v>
      </c>
      <c r="G4" s="20" t="s">
        <v>774</v>
      </c>
      <c r="H4" s="29">
        <v>77.937399999999997</v>
      </c>
      <c r="I4" s="30">
        <v>2023</v>
      </c>
      <c r="J4" s="30">
        <v>72</v>
      </c>
      <c r="K4" s="30">
        <v>4102</v>
      </c>
      <c r="L4" s="20" t="s">
        <v>13</v>
      </c>
      <c r="M4" s="30">
        <v>4102035</v>
      </c>
      <c r="N4" s="20" t="s">
        <v>24</v>
      </c>
      <c r="O4" s="46" t="s">
        <v>807</v>
      </c>
      <c r="P4" s="20" t="s">
        <v>25</v>
      </c>
      <c r="Q4" s="20" t="s">
        <v>26</v>
      </c>
      <c r="R4" s="30">
        <v>410203501</v>
      </c>
      <c r="S4" s="20" t="s">
        <v>27</v>
      </c>
      <c r="T4" s="20" t="s">
        <v>18</v>
      </c>
      <c r="U4" s="30">
        <v>16.600000000000001</v>
      </c>
      <c r="V4" s="20" t="s">
        <v>19</v>
      </c>
      <c r="W4" s="22">
        <v>1</v>
      </c>
      <c r="X4" s="22">
        <v>1</v>
      </c>
      <c r="Y4" s="22">
        <v>0</v>
      </c>
      <c r="Z4" s="22">
        <v>1</v>
      </c>
      <c r="AA4" s="22">
        <v>0</v>
      </c>
      <c r="AB4" s="22">
        <v>0</v>
      </c>
      <c r="AC4" s="22"/>
      <c r="AD4" s="36">
        <f t="shared" ref="AD4:AD67" si="0">+AC4/X4*100</f>
        <v>0</v>
      </c>
      <c r="AE4" s="22"/>
      <c r="AF4" s="22"/>
      <c r="AG4" s="22">
        <v>0</v>
      </c>
      <c r="AH4" s="35" t="s">
        <v>1022</v>
      </c>
      <c r="AI4" s="65">
        <f t="shared" ref="AI4:AI67" si="1">+AG4*100/Z4</f>
        <v>0</v>
      </c>
    </row>
    <row r="5" spans="1:35" ht="13.8" customHeight="1" x14ac:dyDescent="0.3">
      <c r="A5" s="20" t="s">
        <v>741</v>
      </c>
      <c r="B5" s="20">
        <v>41</v>
      </c>
      <c r="C5" s="20" t="s">
        <v>12</v>
      </c>
      <c r="D5" s="20">
        <v>260020004</v>
      </c>
      <c r="E5" s="20" t="s">
        <v>710</v>
      </c>
      <c r="F5" s="20" t="s">
        <v>18</v>
      </c>
      <c r="G5" s="20" t="s">
        <v>775</v>
      </c>
      <c r="H5" s="29">
        <v>0</v>
      </c>
      <c r="I5" s="30">
        <v>2022</v>
      </c>
      <c r="J5" s="30">
        <v>4</v>
      </c>
      <c r="K5" s="30">
        <v>4101</v>
      </c>
      <c r="L5" s="20" t="s">
        <v>28</v>
      </c>
      <c r="M5" s="30">
        <v>4101011</v>
      </c>
      <c r="N5" s="20" t="s">
        <v>29</v>
      </c>
      <c r="O5" s="46"/>
      <c r="P5" s="20" t="s">
        <v>30</v>
      </c>
      <c r="Q5" s="20" t="s">
        <v>31</v>
      </c>
      <c r="R5" s="30">
        <v>410101100</v>
      </c>
      <c r="S5" s="20" t="s">
        <v>32</v>
      </c>
      <c r="T5" s="20" t="s">
        <v>18</v>
      </c>
      <c r="U5" s="30">
        <v>16.600000000000001</v>
      </c>
      <c r="V5" s="20" t="s">
        <v>19</v>
      </c>
      <c r="W5" s="22">
        <v>1</v>
      </c>
      <c r="X5" s="22">
        <v>4</v>
      </c>
      <c r="Y5" s="22">
        <v>1</v>
      </c>
      <c r="Z5" s="22">
        <v>1</v>
      </c>
      <c r="AA5" s="22">
        <v>1</v>
      </c>
      <c r="AB5" s="22">
        <v>1</v>
      </c>
      <c r="AC5" s="22">
        <v>2</v>
      </c>
      <c r="AD5" s="36">
        <f t="shared" si="0"/>
        <v>50</v>
      </c>
      <c r="AE5" s="22" t="s">
        <v>937</v>
      </c>
      <c r="AF5" s="22" t="s">
        <v>949</v>
      </c>
      <c r="AG5" s="57">
        <v>0</v>
      </c>
      <c r="AH5" s="53" t="s">
        <v>1044</v>
      </c>
      <c r="AI5" s="65">
        <f t="shared" si="1"/>
        <v>0</v>
      </c>
    </row>
    <row r="6" spans="1:35" ht="13.8" customHeight="1" x14ac:dyDescent="0.3">
      <c r="A6" s="20" t="s">
        <v>741</v>
      </c>
      <c r="B6" s="20">
        <v>41</v>
      </c>
      <c r="C6" s="20" t="s">
        <v>12</v>
      </c>
      <c r="D6" s="20">
        <v>260020010</v>
      </c>
      <c r="E6" s="20" t="s">
        <v>711</v>
      </c>
      <c r="F6" s="20" t="s">
        <v>797</v>
      </c>
      <c r="G6" s="20" t="s">
        <v>804</v>
      </c>
      <c r="H6" s="29" t="s">
        <v>803</v>
      </c>
      <c r="I6" s="30" t="s">
        <v>803</v>
      </c>
      <c r="J6" s="30">
        <v>20</v>
      </c>
      <c r="K6" s="30">
        <v>4101</v>
      </c>
      <c r="L6" s="20" t="s">
        <v>28</v>
      </c>
      <c r="M6" s="30">
        <v>4101023</v>
      </c>
      <c r="N6" s="20" t="s">
        <v>34</v>
      </c>
      <c r="O6" s="46"/>
      <c r="P6" s="20" t="s">
        <v>35</v>
      </c>
      <c r="Q6" s="20" t="s">
        <v>36</v>
      </c>
      <c r="R6" s="30">
        <v>410102300</v>
      </c>
      <c r="S6" s="20" t="s">
        <v>37</v>
      </c>
      <c r="T6" s="20" t="s">
        <v>18</v>
      </c>
      <c r="U6" s="30">
        <v>16.3</v>
      </c>
      <c r="V6" s="20" t="s">
        <v>19</v>
      </c>
      <c r="W6" s="22">
        <v>400</v>
      </c>
      <c r="X6" s="22">
        <v>2000</v>
      </c>
      <c r="Y6" s="22">
        <v>500</v>
      </c>
      <c r="Z6" s="22">
        <v>500</v>
      </c>
      <c r="AA6" s="22">
        <v>500</v>
      </c>
      <c r="AB6" s="22">
        <v>500</v>
      </c>
      <c r="AC6" s="22">
        <v>500</v>
      </c>
      <c r="AD6" s="36">
        <f t="shared" si="0"/>
        <v>25</v>
      </c>
      <c r="AE6" s="39" t="s">
        <v>871</v>
      </c>
      <c r="AF6" s="22" t="s">
        <v>950</v>
      </c>
      <c r="AG6" s="57">
        <v>115</v>
      </c>
      <c r="AH6" s="53" t="s">
        <v>1045</v>
      </c>
      <c r="AI6" s="65">
        <f t="shared" si="1"/>
        <v>23</v>
      </c>
    </row>
    <row r="7" spans="1:35" ht="13.8" customHeight="1" x14ac:dyDescent="0.3">
      <c r="A7" s="20" t="s">
        <v>741</v>
      </c>
      <c r="B7" s="20">
        <v>41</v>
      </c>
      <c r="C7" s="20" t="s">
        <v>12</v>
      </c>
      <c r="D7" s="20">
        <v>260020010</v>
      </c>
      <c r="E7" s="20" t="s">
        <v>711</v>
      </c>
      <c r="F7" s="20" t="s">
        <v>797</v>
      </c>
      <c r="G7" s="20" t="s">
        <v>804</v>
      </c>
      <c r="H7" s="29" t="s">
        <v>803</v>
      </c>
      <c r="I7" s="30" t="s">
        <v>803</v>
      </c>
      <c r="J7" s="30">
        <v>20</v>
      </c>
      <c r="K7" s="30">
        <v>4101</v>
      </c>
      <c r="L7" s="20" t="s">
        <v>28</v>
      </c>
      <c r="M7" s="30">
        <v>4101025</v>
      </c>
      <c r="N7" s="20" t="s">
        <v>38</v>
      </c>
      <c r="O7" s="46"/>
      <c r="P7" s="20" t="s">
        <v>39</v>
      </c>
      <c r="Q7" s="20" t="s">
        <v>40</v>
      </c>
      <c r="R7" s="30">
        <v>410102500</v>
      </c>
      <c r="S7" s="20" t="s">
        <v>41</v>
      </c>
      <c r="T7" s="20" t="s">
        <v>18</v>
      </c>
      <c r="U7" s="30">
        <v>16.3</v>
      </c>
      <c r="V7" s="20" t="s">
        <v>19</v>
      </c>
      <c r="W7" s="22">
        <v>20</v>
      </c>
      <c r="X7" s="22">
        <v>80</v>
      </c>
      <c r="Y7" s="22">
        <v>20</v>
      </c>
      <c r="Z7" s="22">
        <v>20</v>
      </c>
      <c r="AA7" s="22">
        <v>20</v>
      </c>
      <c r="AB7" s="22">
        <v>20</v>
      </c>
      <c r="AC7" s="22">
        <v>20</v>
      </c>
      <c r="AD7" s="36">
        <f t="shared" si="0"/>
        <v>25</v>
      </c>
      <c r="AE7" s="39" t="s">
        <v>882</v>
      </c>
      <c r="AF7" s="39" t="s">
        <v>870</v>
      </c>
      <c r="AG7" s="57">
        <v>0</v>
      </c>
      <c r="AH7" s="53" t="s">
        <v>1046</v>
      </c>
      <c r="AI7" s="65">
        <f t="shared" si="1"/>
        <v>0</v>
      </c>
    </row>
    <row r="8" spans="1:35" ht="13.8" customHeight="1" x14ac:dyDescent="0.3">
      <c r="A8" s="20" t="s">
        <v>741</v>
      </c>
      <c r="B8" s="20">
        <v>41</v>
      </c>
      <c r="C8" s="20" t="s">
        <v>12</v>
      </c>
      <c r="D8" s="20">
        <v>260020010</v>
      </c>
      <c r="E8" s="20" t="s">
        <v>711</v>
      </c>
      <c r="F8" s="20" t="s">
        <v>797</v>
      </c>
      <c r="G8" s="20" t="s">
        <v>804</v>
      </c>
      <c r="H8" s="29" t="s">
        <v>803</v>
      </c>
      <c r="I8" s="30" t="s">
        <v>803</v>
      </c>
      <c r="J8" s="30">
        <v>20</v>
      </c>
      <c r="K8" s="30">
        <v>4101</v>
      </c>
      <c r="L8" s="20" t="s">
        <v>28</v>
      </c>
      <c r="M8" s="30">
        <v>4101038</v>
      </c>
      <c r="N8" s="20" t="s">
        <v>43</v>
      </c>
      <c r="O8" s="46" t="s">
        <v>872</v>
      </c>
      <c r="P8" s="20" t="s">
        <v>44</v>
      </c>
      <c r="Q8" s="20" t="s">
        <v>45</v>
      </c>
      <c r="R8" s="30">
        <v>410103800</v>
      </c>
      <c r="S8" s="20" t="s">
        <v>46</v>
      </c>
      <c r="T8" s="20" t="s">
        <v>18</v>
      </c>
      <c r="U8" s="30">
        <v>16.3</v>
      </c>
      <c r="V8" s="20" t="s">
        <v>19</v>
      </c>
      <c r="W8" s="22">
        <v>2</v>
      </c>
      <c r="X8" s="22">
        <v>4</v>
      </c>
      <c r="Y8" s="22">
        <v>1</v>
      </c>
      <c r="Z8" s="22">
        <v>1</v>
      </c>
      <c r="AA8" s="22">
        <v>1</v>
      </c>
      <c r="AB8" s="22">
        <v>1</v>
      </c>
      <c r="AC8" s="22">
        <v>5</v>
      </c>
      <c r="AD8" s="36">
        <f t="shared" si="0"/>
        <v>125</v>
      </c>
      <c r="AE8" s="39" t="s">
        <v>951</v>
      </c>
      <c r="AF8" s="22" t="s">
        <v>873</v>
      </c>
      <c r="AG8" s="57">
        <v>0</v>
      </c>
      <c r="AH8" s="53" t="s">
        <v>1044</v>
      </c>
      <c r="AI8" s="65">
        <f t="shared" si="1"/>
        <v>0</v>
      </c>
    </row>
    <row r="9" spans="1:35" ht="13.8" customHeight="1" x14ac:dyDescent="0.3">
      <c r="A9" s="20" t="s">
        <v>741</v>
      </c>
      <c r="B9" s="20">
        <v>19</v>
      </c>
      <c r="C9" s="20" t="s">
        <v>47</v>
      </c>
      <c r="D9" s="20">
        <v>50020063</v>
      </c>
      <c r="E9" s="20" t="s">
        <v>746</v>
      </c>
      <c r="F9" s="20" t="s">
        <v>747</v>
      </c>
      <c r="G9" s="20" t="s">
        <v>776</v>
      </c>
      <c r="H9" s="29">
        <v>0</v>
      </c>
      <c r="I9" s="30">
        <v>2021</v>
      </c>
      <c r="J9" s="30">
        <v>0</v>
      </c>
      <c r="K9" s="30">
        <v>1903</v>
      </c>
      <c r="L9" s="20" t="s">
        <v>48</v>
      </c>
      <c r="M9" s="30">
        <v>1903038</v>
      </c>
      <c r="N9" s="20" t="s">
        <v>49</v>
      </c>
      <c r="O9" s="46"/>
      <c r="P9" s="20" t="s">
        <v>50</v>
      </c>
      <c r="Q9" s="20" t="s">
        <v>51</v>
      </c>
      <c r="R9" s="30">
        <v>190303800</v>
      </c>
      <c r="S9" s="20" t="s">
        <v>52</v>
      </c>
      <c r="T9" s="20" t="s">
        <v>18</v>
      </c>
      <c r="U9" s="30">
        <v>3.3</v>
      </c>
      <c r="V9" s="20" t="s">
        <v>770</v>
      </c>
      <c r="W9" s="22">
        <v>1</v>
      </c>
      <c r="X9" s="22">
        <v>4</v>
      </c>
      <c r="Y9" s="22">
        <v>1</v>
      </c>
      <c r="Z9" s="22">
        <v>1</v>
      </c>
      <c r="AA9" s="22">
        <v>1</v>
      </c>
      <c r="AB9" s="22">
        <v>1</v>
      </c>
      <c r="AC9" s="22">
        <v>1</v>
      </c>
      <c r="AD9" s="36">
        <f t="shared" si="0"/>
        <v>25</v>
      </c>
      <c r="AE9" s="22"/>
      <c r="AF9" s="22"/>
      <c r="AG9" s="22">
        <v>1</v>
      </c>
      <c r="AH9" s="22" t="s">
        <v>1069</v>
      </c>
      <c r="AI9" s="65">
        <f t="shared" si="1"/>
        <v>100</v>
      </c>
    </row>
    <row r="10" spans="1:35" ht="13.8" customHeight="1" x14ac:dyDescent="0.3">
      <c r="A10" s="20" t="s">
        <v>741</v>
      </c>
      <c r="B10" s="20">
        <v>19</v>
      </c>
      <c r="C10" s="20" t="s">
        <v>47</v>
      </c>
      <c r="D10" s="20">
        <v>80030002</v>
      </c>
      <c r="E10" s="20" t="s">
        <v>752</v>
      </c>
      <c r="F10" s="20" t="s">
        <v>719</v>
      </c>
      <c r="G10" s="20" t="s">
        <v>777</v>
      </c>
      <c r="H10" s="29">
        <v>75.596100000000007</v>
      </c>
      <c r="I10" s="30">
        <v>2022</v>
      </c>
      <c r="J10" s="30">
        <v>85</v>
      </c>
      <c r="K10" s="30">
        <v>1903</v>
      </c>
      <c r="L10" s="20" t="s">
        <v>48</v>
      </c>
      <c r="M10" s="30">
        <v>1903023</v>
      </c>
      <c r="N10" s="20" t="s">
        <v>53</v>
      </c>
      <c r="O10" s="46"/>
      <c r="P10" s="20" t="s">
        <v>54</v>
      </c>
      <c r="Q10" s="20" t="s">
        <v>55</v>
      </c>
      <c r="R10" s="30">
        <v>190302300</v>
      </c>
      <c r="S10" s="20" t="s">
        <v>56</v>
      </c>
      <c r="T10" s="20" t="s">
        <v>18</v>
      </c>
      <c r="U10" s="30">
        <v>3.4</v>
      </c>
      <c r="V10" s="20" t="s">
        <v>770</v>
      </c>
      <c r="W10" s="22">
        <v>12</v>
      </c>
      <c r="X10" s="22">
        <v>12</v>
      </c>
      <c r="Y10" s="22">
        <v>3</v>
      </c>
      <c r="Z10" s="22">
        <v>3</v>
      </c>
      <c r="AA10" s="22">
        <v>3</v>
      </c>
      <c r="AB10" s="22">
        <v>3</v>
      </c>
      <c r="AC10" s="22">
        <v>3</v>
      </c>
      <c r="AD10" s="36">
        <f t="shared" si="0"/>
        <v>25</v>
      </c>
      <c r="AE10" s="22" t="s">
        <v>880</v>
      </c>
      <c r="AF10" s="22" t="s">
        <v>881</v>
      </c>
      <c r="AG10" s="22">
        <v>4</v>
      </c>
      <c r="AH10" s="22" t="s">
        <v>1070</v>
      </c>
      <c r="AI10" s="65">
        <f t="shared" si="1"/>
        <v>133.33333333333334</v>
      </c>
    </row>
    <row r="11" spans="1:35" ht="13.8" customHeight="1" x14ac:dyDescent="0.3">
      <c r="A11" s="20" t="s">
        <v>741</v>
      </c>
      <c r="B11" s="20">
        <v>19</v>
      </c>
      <c r="C11" s="20" t="s">
        <v>47</v>
      </c>
      <c r="D11" s="20">
        <v>50020063</v>
      </c>
      <c r="E11" s="20" t="s">
        <v>746</v>
      </c>
      <c r="F11" s="20" t="s">
        <v>747</v>
      </c>
      <c r="G11" s="20" t="s">
        <v>776</v>
      </c>
      <c r="H11" s="29">
        <v>0</v>
      </c>
      <c r="I11" s="30">
        <v>2021</v>
      </c>
      <c r="J11" s="30">
        <v>0</v>
      </c>
      <c r="K11" s="30">
        <v>1903</v>
      </c>
      <c r="L11" s="20" t="s">
        <v>48</v>
      </c>
      <c r="M11" s="30">
        <v>1903031</v>
      </c>
      <c r="N11" s="20" t="s">
        <v>57</v>
      </c>
      <c r="O11" s="46" t="s">
        <v>808</v>
      </c>
      <c r="P11" s="20" t="s">
        <v>58</v>
      </c>
      <c r="Q11" s="20" t="s">
        <v>59</v>
      </c>
      <c r="R11" s="30">
        <v>190303100</v>
      </c>
      <c r="S11" s="20" t="s">
        <v>58</v>
      </c>
      <c r="T11" s="20" t="s">
        <v>18</v>
      </c>
      <c r="U11" s="30">
        <v>3.4</v>
      </c>
      <c r="V11" s="20" t="s">
        <v>770</v>
      </c>
      <c r="W11" s="22">
        <v>208</v>
      </c>
      <c r="X11" s="22">
        <v>208</v>
      </c>
      <c r="Y11" s="22">
        <v>52</v>
      </c>
      <c r="Z11" s="22">
        <v>52</v>
      </c>
      <c r="AA11" s="22">
        <v>52</v>
      </c>
      <c r="AB11" s="22">
        <v>52</v>
      </c>
      <c r="AC11" s="22">
        <v>52</v>
      </c>
      <c r="AD11" s="36">
        <f t="shared" si="0"/>
        <v>25</v>
      </c>
      <c r="AE11" s="22"/>
      <c r="AF11" s="22"/>
      <c r="AG11" s="22">
        <v>23</v>
      </c>
      <c r="AH11" s="22" t="s">
        <v>1078</v>
      </c>
      <c r="AI11" s="65">
        <f t="shared" si="1"/>
        <v>44.230769230769234</v>
      </c>
    </row>
    <row r="12" spans="1:35" ht="13.8" customHeight="1" x14ac:dyDescent="0.3">
      <c r="A12" s="20" t="s">
        <v>741</v>
      </c>
      <c r="B12" s="20">
        <v>19</v>
      </c>
      <c r="C12" s="20" t="s">
        <v>47</v>
      </c>
      <c r="D12" s="20">
        <v>80030002</v>
      </c>
      <c r="E12" s="20" t="s">
        <v>752</v>
      </c>
      <c r="F12" s="20" t="s">
        <v>719</v>
      </c>
      <c r="G12" s="20" t="s">
        <v>777</v>
      </c>
      <c r="H12" s="29">
        <v>75.596100000000007</v>
      </c>
      <c r="I12" s="30">
        <v>2022</v>
      </c>
      <c r="J12" s="30">
        <v>85</v>
      </c>
      <c r="K12" s="30">
        <v>1903</v>
      </c>
      <c r="L12" s="20" t="s">
        <v>48</v>
      </c>
      <c r="M12" s="30">
        <v>1903011</v>
      </c>
      <c r="N12" s="20" t="s">
        <v>60</v>
      </c>
      <c r="O12" s="46"/>
      <c r="P12" s="20" t="s">
        <v>61</v>
      </c>
      <c r="Q12" s="20" t="s">
        <v>62</v>
      </c>
      <c r="R12" s="30">
        <v>190301100</v>
      </c>
      <c r="S12" s="20" t="s">
        <v>63</v>
      </c>
      <c r="T12" s="20" t="s">
        <v>18</v>
      </c>
      <c r="U12" s="30">
        <v>3.4</v>
      </c>
      <c r="V12" s="20" t="s">
        <v>770</v>
      </c>
      <c r="W12" s="22">
        <v>7</v>
      </c>
      <c r="X12" s="22">
        <v>28</v>
      </c>
      <c r="Y12" s="22">
        <v>7</v>
      </c>
      <c r="Z12" s="22">
        <v>7</v>
      </c>
      <c r="AA12" s="22">
        <v>7</v>
      </c>
      <c r="AB12" s="22">
        <v>7</v>
      </c>
      <c r="AC12" s="22">
        <v>7</v>
      </c>
      <c r="AD12" s="36">
        <f t="shared" si="0"/>
        <v>25</v>
      </c>
      <c r="AE12" s="22"/>
      <c r="AF12" s="22"/>
      <c r="AG12" s="22">
        <v>0</v>
      </c>
      <c r="AH12" s="22"/>
      <c r="AI12" s="65">
        <f t="shared" si="1"/>
        <v>0</v>
      </c>
    </row>
    <row r="13" spans="1:35" ht="13.8" customHeight="1" x14ac:dyDescent="0.3">
      <c r="A13" s="20" t="s">
        <v>741</v>
      </c>
      <c r="B13" s="20">
        <v>22</v>
      </c>
      <c r="C13" s="20" t="s">
        <v>93</v>
      </c>
      <c r="D13" s="20">
        <v>40010006</v>
      </c>
      <c r="E13" s="20" t="s">
        <v>676</v>
      </c>
      <c r="F13" s="20" t="s">
        <v>679</v>
      </c>
      <c r="G13" s="20" t="s">
        <v>778</v>
      </c>
      <c r="H13" s="29">
        <v>101.0859</v>
      </c>
      <c r="I13" s="30">
        <v>2022</v>
      </c>
      <c r="J13" s="30">
        <v>101</v>
      </c>
      <c r="K13" s="30">
        <v>2201</v>
      </c>
      <c r="L13" s="20" t="s">
        <v>94</v>
      </c>
      <c r="M13" s="30">
        <v>2201001</v>
      </c>
      <c r="N13" s="20" t="s">
        <v>95</v>
      </c>
      <c r="O13" s="46" t="s">
        <v>809</v>
      </c>
      <c r="P13" s="20" t="s">
        <v>96</v>
      </c>
      <c r="Q13" s="20" t="s">
        <v>26</v>
      </c>
      <c r="R13" s="30">
        <v>220100100</v>
      </c>
      <c r="S13" s="20" t="s">
        <v>97</v>
      </c>
      <c r="T13" s="20" t="s">
        <v>18</v>
      </c>
      <c r="U13" s="30">
        <v>4.0999999999999996</v>
      </c>
      <c r="V13" s="20" t="s">
        <v>770</v>
      </c>
      <c r="W13" s="22">
        <v>0</v>
      </c>
      <c r="X13" s="22">
        <v>1</v>
      </c>
      <c r="Y13" s="22">
        <v>0</v>
      </c>
      <c r="Z13" s="22">
        <v>0</v>
      </c>
      <c r="AA13" s="22">
        <v>1</v>
      </c>
      <c r="AB13" s="22">
        <v>0</v>
      </c>
      <c r="AC13" s="22"/>
      <c r="AD13" s="22">
        <f t="shared" si="0"/>
        <v>0</v>
      </c>
      <c r="AE13" s="22"/>
      <c r="AF13" s="22"/>
      <c r="AG13" s="22" t="s">
        <v>1048</v>
      </c>
      <c r="AH13" s="22"/>
      <c r="AI13" s="65" t="e">
        <f t="shared" si="1"/>
        <v>#VALUE!</v>
      </c>
    </row>
    <row r="14" spans="1:35" ht="13.8" customHeight="1" x14ac:dyDescent="0.3">
      <c r="A14" s="20" t="s">
        <v>741</v>
      </c>
      <c r="B14" s="20">
        <v>22</v>
      </c>
      <c r="C14" s="20" t="s">
        <v>93</v>
      </c>
      <c r="D14" s="20">
        <v>40010006</v>
      </c>
      <c r="E14" s="20" t="s">
        <v>676</v>
      </c>
      <c r="F14" s="20" t="s">
        <v>679</v>
      </c>
      <c r="G14" s="20" t="s">
        <v>778</v>
      </c>
      <c r="H14" s="29">
        <v>101.0859</v>
      </c>
      <c r="I14" s="30">
        <v>2022</v>
      </c>
      <c r="J14" s="30">
        <v>101</v>
      </c>
      <c r="K14" s="30">
        <v>2201</v>
      </c>
      <c r="L14" s="20" t="s">
        <v>94</v>
      </c>
      <c r="M14" s="30">
        <v>2201003</v>
      </c>
      <c r="N14" s="20" t="s">
        <v>98</v>
      </c>
      <c r="O14" s="46"/>
      <c r="P14" s="20" t="s">
        <v>99</v>
      </c>
      <c r="Q14" s="20" t="s">
        <v>40</v>
      </c>
      <c r="R14" s="30">
        <v>220100300</v>
      </c>
      <c r="S14" s="20" t="s">
        <v>100</v>
      </c>
      <c r="T14" s="20" t="s">
        <v>18</v>
      </c>
      <c r="U14" s="30">
        <v>4.0999999999999996</v>
      </c>
      <c r="V14" s="20" t="s">
        <v>770</v>
      </c>
      <c r="W14" s="22">
        <v>28</v>
      </c>
      <c r="X14" s="22">
        <v>60</v>
      </c>
      <c r="Y14" s="22">
        <v>15</v>
      </c>
      <c r="Z14" s="22">
        <v>15</v>
      </c>
      <c r="AA14" s="22">
        <v>15</v>
      </c>
      <c r="AB14" s="22">
        <v>15</v>
      </c>
      <c r="AC14" s="22">
        <v>25</v>
      </c>
      <c r="AD14" s="36">
        <f t="shared" si="0"/>
        <v>41.666666666666671</v>
      </c>
      <c r="AE14" s="22" t="s">
        <v>937</v>
      </c>
      <c r="AF14" s="22" t="s">
        <v>935</v>
      </c>
      <c r="AG14" s="22">
        <v>0</v>
      </c>
      <c r="AH14" s="22"/>
      <c r="AI14" s="65">
        <f t="shared" si="1"/>
        <v>0</v>
      </c>
    </row>
    <row r="15" spans="1:35" ht="13.8" customHeight="1" x14ac:dyDescent="0.3">
      <c r="A15" s="20" t="s">
        <v>741</v>
      </c>
      <c r="B15" s="20">
        <v>22</v>
      </c>
      <c r="C15" s="20" t="s">
        <v>93</v>
      </c>
      <c r="D15" s="20">
        <v>40010006</v>
      </c>
      <c r="E15" s="20" t="s">
        <v>676</v>
      </c>
      <c r="F15" s="20" t="s">
        <v>679</v>
      </c>
      <c r="G15" s="20" t="s">
        <v>778</v>
      </c>
      <c r="H15" s="29">
        <v>101.0859</v>
      </c>
      <c r="I15" s="30">
        <v>2022</v>
      </c>
      <c r="J15" s="30">
        <v>101</v>
      </c>
      <c r="K15" s="30">
        <v>2201</v>
      </c>
      <c r="L15" s="20" t="s">
        <v>94</v>
      </c>
      <c r="M15" s="30">
        <v>2201006</v>
      </c>
      <c r="N15" s="20" t="s">
        <v>101</v>
      </c>
      <c r="O15" s="46" t="s">
        <v>810</v>
      </c>
      <c r="P15" s="20" t="s">
        <v>102</v>
      </c>
      <c r="Q15" s="20" t="s">
        <v>103</v>
      </c>
      <c r="R15" s="30">
        <v>220100602</v>
      </c>
      <c r="S15" s="20" t="s">
        <v>104</v>
      </c>
      <c r="T15" s="20" t="s">
        <v>18</v>
      </c>
      <c r="U15" s="30">
        <v>4.0999999999999996</v>
      </c>
      <c r="V15" s="20" t="s">
        <v>770</v>
      </c>
      <c r="W15" s="22">
        <v>4</v>
      </c>
      <c r="X15" s="22">
        <v>8</v>
      </c>
      <c r="Y15" s="22">
        <v>2</v>
      </c>
      <c r="Z15" s="22">
        <v>2</v>
      </c>
      <c r="AA15" s="22">
        <v>2</v>
      </c>
      <c r="AB15" s="22">
        <v>2</v>
      </c>
      <c r="AC15" s="22">
        <v>2</v>
      </c>
      <c r="AD15" s="36">
        <f t="shared" si="0"/>
        <v>25</v>
      </c>
      <c r="AE15" s="22" t="s">
        <v>938</v>
      </c>
      <c r="AF15" s="22" t="s">
        <v>939</v>
      </c>
      <c r="AG15" s="22">
        <v>2</v>
      </c>
      <c r="AH15" s="22" t="s">
        <v>1057</v>
      </c>
      <c r="AI15" s="65">
        <f t="shared" si="1"/>
        <v>100</v>
      </c>
    </row>
    <row r="16" spans="1:35" ht="13.8" customHeight="1" x14ac:dyDescent="0.3">
      <c r="A16" s="20" t="s">
        <v>741</v>
      </c>
      <c r="B16" s="20">
        <v>22</v>
      </c>
      <c r="C16" s="20" t="s">
        <v>93</v>
      </c>
      <c r="D16" s="20">
        <v>40010006</v>
      </c>
      <c r="E16" s="20" t="s">
        <v>676</v>
      </c>
      <c r="F16" s="20" t="s">
        <v>679</v>
      </c>
      <c r="G16" s="20" t="s">
        <v>778</v>
      </c>
      <c r="H16" s="29">
        <v>101.0859</v>
      </c>
      <c r="I16" s="30">
        <v>2022</v>
      </c>
      <c r="J16" s="30">
        <v>101</v>
      </c>
      <c r="K16" s="30">
        <v>2201</v>
      </c>
      <c r="L16" s="20" t="s">
        <v>94</v>
      </c>
      <c r="M16" s="30">
        <v>2201018</v>
      </c>
      <c r="N16" s="20" t="s">
        <v>105</v>
      </c>
      <c r="O16" s="46" t="s">
        <v>811</v>
      </c>
      <c r="P16" s="20" t="s">
        <v>106</v>
      </c>
      <c r="Q16" s="20" t="s">
        <v>107</v>
      </c>
      <c r="R16" s="30">
        <v>220101800</v>
      </c>
      <c r="S16" s="20" t="s">
        <v>108</v>
      </c>
      <c r="T16" s="20" t="s">
        <v>18</v>
      </c>
      <c r="U16" s="30">
        <v>17.18</v>
      </c>
      <c r="V16" s="20" t="s">
        <v>770</v>
      </c>
      <c r="W16" s="22">
        <v>4</v>
      </c>
      <c r="X16" s="22">
        <v>4</v>
      </c>
      <c r="Y16" s="22">
        <v>1</v>
      </c>
      <c r="Z16" s="22">
        <v>1</v>
      </c>
      <c r="AA16" s="22">
        <v>1</v>
      </c>
      <c r="AB16" s="22">
        <v>1</v>
      </c>
      <c r="AC16" s="22">
        <v>1</v>
      </c>
      <c r="AD16" s="36">
        <f t="shared" si="0"/>
        <v>25</v>
      </c>
      <c r="AE16" s="22" t="s">
        <v>940</v>
      </c>
      <c r="AF16" s="22" t="s">
        <v>941</v>
      </c>
      <c r="AG16" s="22">
        <v>1</v>
      </c>
      <c r="AH16" s="22" t="s">
        <v>1058</v>
      </c>
      <c r="AI16" s="65">
        <f t="shared" si="1"/>
        <v>100</v>
      </c>
    </row>
    <row r="17" spans="1:35" ht="13.8" customHeight="1" x14ac:dyDescent="0.3">
      <c r="A17" s="20" t="s">
        <v>741</v>
      </c>
      <c r="B17" s="20">
        <v>22</v>
      </c>
      <c r="C17" s="20" t="s">
        <v>93</v>
      </c>
      <c r="D17" s="20">
        <v>40010006</v>
      </c>
      <c r="E17" s="20" t="s">
        <v>676</v>
      </c>
      <c r="F17" s="20" t="s">
        <v>679</v>
      </c>
      <c r="G17" s="20" t="s">
        <v>778</v>
      </c>
      <c r="H17" s="29">
        <v>101.0859</v>
      </c>
      <c r="I17" s="30">
        <v>2022</v>
      </c>
      <c r="J17" s="30">
        <v>101</v>
      </c>
      <c r="K17" s="30">
        <v>2201</v>
      </c>
      <c r="L17" s="20" t="s">
        <v>94</v>
      </c>
      <c r="M17" s="30">
        <v>2201028</v>
      </c>
      <c r="N17" s="20" t="s">
        <v>113</v>
      </c>
      <c r="O17" s="46"/>
      <c r="P17" s="20" t="s">
        <v>114</v>
      </c>
      <c r="Q17" s="20" t="s">
        <v>115</v>
      </c>
      <c r="R17" s="30">
        <v>220102800</v>
      </c>
      <c r="S17" s="20" t="s">
        <v>116</v>
      </c>
      <c r="T17" s="20" t="s">
        <v>18</v>
      </c>
      <c r="U17" s="30">
        <v>4.0999999999999996</v>
      </c>
      <c r="V17" s="20" t="s">
        <v>770</v>
      </c>
      <c r="W17" s="22">
        <v>128350</v>
      </c>
      <c r="X17" s="22">
        <v>362800</v>
      </c>
      <c r="Y17" s="22">
        <v>85800</v>
      </c>
      <c r="Z17" s="22">
        <v>90000</v>
      </c>
      <c r="AA17" s="22">
        <v>93000</v>
      </c>
      <c r="AB17" s="22">
        <v>94000</v>
      </c>
      <c r="AC17" s="22">
        <v>83349</v>
      </c>
      <c r="AD17" s="36">
        <f t="shared" si="0"/>
        <v>22.973814773980155</v>
      </c>
      <c r="AE17" s="22" t="s">
        <v>931</v>
      </c>
      <c r="AF17" s="22" t="s">
        <v>930</v>
      </c>
      <c r="AG17" s="22">
        <v>45360</v>
      </c>
      <c r="AH17" s="22" t="s">
        <v>1059</v>
      </c>
      <c r="AI17" s="65">
        <f t="shared" si="1"/>
        <v>50.4</v>
      </c>
    </row>
    <row r="18" spans="1:35" ht="13.8" customHeight="1" x14ac:dyDescent="0.3">
      <c r="A18" s="20" t="s">
        <v>741</v>
      </c>
      <c r="B18" s="20">
        <v>22</v>
      </c>
      <c r="C18" s="20" t="s">
        <v>93</v>
      </c>
      <c r="D18" s="20">
        <v>40010006</v>
      </c>
      <c r="E18" s="20" t="s">
        <v>676</v>
      </c>
      <c r="F18" s="20" t="s">
        <v>679</v>
      </c>
      <c r="G18" s="20" t="s">
        <v>778</v>
      </c>
      <c r="H18" s="29">
        <v>101.0859</v>
      </c>
      <c r="I18" s="30">
        <v>2022</v>
      </c>
      <c r="J18" s="30">
        <v>101</v>
      </c>
      <c r="K18" s="30">
        <v>2201</v>
      </c>
      <c r="L18" s="20" t="s">
        <v>94</v>
      </c>
      <c r="M18" s="30">
        <v>2201029</v>
      </c>
      <c r="N18" s="20" t="s">
        <v>117</v>
      </c>
      <c r="O18" s="46"/>
      <c r="P18" s="20" t="s">
        <v>118</v>
      </c>
      <c r="Q18" s="20" t="s">
        <v>119</v>
      </c>
      <c r="R18" s="30">
        <v>220102900</v>
      </c>
      <c r="S18" s="20" t="s">
        <v>120</v>
      </c>
      <c r="T18" s="20" t="s">
        <v>18</v>
      </c>
      <c r="U18" s="30">
        <v>4.2</v>
      </c>
      <c r="V18" s="20" t="s">
        <v>770</v>
      </c>
      <c r="W18" s="22">
        <v>25</v>
      </c>
      <c r="X18" s="22">
        <v>122</v>
      </c>
      <c r="Y18" s="22">
        <v>32</v>
      </c>
      <c r="Z18" s="22">
        <v>30</v>
      </c>
      <c r="AA18" s="22">
        <v>30</v>
      </c>
      <c r="AB18" s="22">
        <v>30</v>
      </c>
      <c r="AC18" s="22">
        <v>144</v>
      </c>
      <c r="AD18" s="36">
        <f t="shared" si="0"/>
        <v>118.0327868852459</v>
      </c>
      <c r="AE18" s="22" t="s">
        <v>932</v>
      </c>
      <c r="AF18" s="22" t="s">
        <v>933</v>
      </c>
      <c r="AG18" s="22">
        <v>29</v>
      </c>
      <c r="AH18" s="22" t="s">
        <v>1060</v>
      </c>
      <c r="AI18" s="65">
        <f t="shared" si="1"/>
        <v>96.666666666666671</v>
      </c>
    </row>
    <row r="19" spans="1:35" ht="13.8" customHeight="1" x14ac:dyDescent="0.3">
      <c r="A19" s="20" t="s">
        <v>741</v>
      </c>
      <c r="B19" s="20">
        <v>22</v>
      </c>
      <c r="C19" s="20" t="s">
        <v>93</v>
      </c>
      <c r="D19" s="20">
        <v>40010006</v>
      </c>
      <c r="E19" s="20" t="s">
        <v>676</v>
      </c>
      <c r="F19" s="20" t="s">
        <v>679</v>
      </c>
      <c r="G19" s="20" t="s">
        <v>778</v>
      </c>
      <c r="H19" s="29">
        <v>101.0859</v>
      </c>
      <c r="I19" s="30">
        <v>2022</v>
      </c>
      <c r="J19" s="30">
        <v>101</v>
      </c>
      <c r="K19" s="30">
        <v>2201</v>
      </c>
      <c r="L19" s="20" t="s">
        <v>94</v>
      </c>
      <c r="M19" s="30">
        <v>2201034</v>
      </c>
      <c r="N19" s="20" t="s">
        <v>121</v>
      </c>
      <c r="O19" s="46"/>
      <c r="P19" s="20" t="s">
        <v>122</v>
      </c>
      <c r="Q19" s="20" t="s">
        <v>123</v>
      </c>
      <c r="R19" s="30">
        <v>220103400</v>
      </c>
      <c r="S19" s="20" t="s">
        <v>124</v>
      </c>
      <c r="T19" s="20" t="s">
        <v>18</v>
      </c>
      <c r="U19" s="30">
        <v>4.7</v>
      </c>
      <c r="V19" s="20" t="s">
        <v>770</v>
      </c>
      <c r="W19" s="22">
        <v>0</v>
      </c>
      <c r="X19" s="22">
        <v>60</v>
      </c>
      <c r="Y19" s="22">
        <v>15</v>
      </c>
      <c r="Z19" s="22">
        <v>15</v>
      </c>
      <c r="AA19" s="22">
        <v>15</v>
      </c>
      <c r="AB19" s="22">
        <v>15</v>
      </c>
      <c r="AC19" s="22">
        <v>50</v>
      </c>
      <c r="AD19" s="36">
        <f t="shared" si="0"/>
        <v>83.333333333333343</v>
      </c>
      <c r="AE19" s="22" t="s">
        <v>937</v>
      </c>
      <c r="AF19" s="22" t="s">
        <v>935</v>
      </c>
      <c r="AG19" s="22">
        <v>0</v>
      </c>
      <c r="AH19" s="22"/>
      <c r="AI19" s="65">
        <f t="shared" si="1"/>
        <v>0</v>
      </c>
    </row>
    <row r="20" spans="1:35" ht="13.8" customHeight="1" x14ac:dyDescent="0.3">
      <c r="A20" s="20" t="s">
        <v>741</v>
      </c>
      <c r="B20" s="20">
        <v>22</v>
      </c>
      <c r="C20" s="20" t="s">
        <v>93</v>
      </c>
      <c r="D20" s="20">
        <v>40010028</v>
      </c>
      <c r="E20" s="20" t="s">
        <v>677</v>
      </c>
      <c r="F20" s="20" t="s">
        <v>428</v>
      </c>
      <c r="G20" s="20" t="s">
        <v>779</v>
      </c>
      <c r="H20" s="29">
        <v>11.1111</v>
      </c>
      <c r="I20" s="30">
        <v>2022</v>
      </c>
      <c r="J20" s="30">
        <v>13</v>
      </c>
      <c r="K20" s="30">
        <v>2202</v>
      </c>
      <c r="L20" s="20" t="s">
        <v>125</v>
      </c>
      <c r="M20" s="30">
        <v>2202005</v>
      </c>
      <c r="N20" s="20" t="s">
        <v>126</v>
      </c>
      <c r="O20" s="46" t="s">
        <v>812</v>
      </c>
      <c r="P20" s="20" t="s">
        <v>127</v>
      </c>
      <c r="Q20" s="20" t="s">
        <v>119</v>
      </c>
      <c r="R20" s="30">
        <v>220200500</v>
      </c>
      <c r="S20" s="20" t="s">
        <v>128</v>
      </c>
      <c r="T20" s="20" t="s">
        <v>18</v>
      </c>
      <c r="U20" s="30">
        <v>4.3</v>
      </c>
      <c r="V20" s="20" t="s">
        <v>770</v>
      </c>
      <c r="W20" s="22" t="s">
        <v>636</v>
      </c>
      <c r="X20" s="22">
        <v>75</v>
      </c>
      <c r="Y20" s="22">
        <v>10</v>
      </c>
      <c r="Z20" s="22">
        <v>20</v>
      </c>
      <c r="AA20" s="22">
        <v>20</v>
      </c>
      <c r="AB20" s="22">
        <v>25</v>
      </c>
      <c r="AC20" s="22">
        <v>0</v>
      </c>
      <c r="AD20" s="36">
        <f t="shared" si="0"/>
        <v>0</v>
      </c>
      <c r="AE20" s="22"/>
      <c r="AF20" s="22"/>
      <c r="AG20" s="22">
        <v>0</v>
      </c>
      <c r="AH20" s="22"/>
      <c r="AI20" s="65">
        <f t="shared" si="1"/>
        <v>0</v>
      </c>
    </row>
    <row r="21" spans="1:35" ht="13.8" customHeight="1" x14ac:dyDescent="0.3">
      <c r="A21" s="20" t="s">
        <v>741</v>
      </c>
      <c r="B21" s="20">
        <v>22</v>
      </c>
      <c r="C21" s="20" t="s">
        <v>93</v>
      </c>
      <c r="D21" s="20">
        <v>40010028</v>
      </c>
      <c r="E21" s="20" t="s">
        <v>677</v>
      </c>
      <c r="F21" s="20" t="s">
        <v>428</v>
      </c>
      <c r="G21" s="20" t="s">
        <v>779</v>
      </c>
      <c r="H21" s="29">
        <v>11.1111</v>
      </c>
      <c r="I21" s="30">
        <v>2022</v>
      </c>
      <c r="J21" s="30">
        <v>13</v>
      </c>
      <c r="K21" s="30">
        <v>2202</v>
      </c>
      <c r="L21" s="20" t="s">
        <v>125</v>
      </c>
      <c r="M21" s="30">
        <v>2202005</v>
      </c>
      <c r="N21" s="20" t="s">
        <v>126</v>
      </c>
      <c r="O21" s="46"/>
      <c r="P21" s="20" t="s">
        <v>127</v>
      </c>
      <c r="Q21" s="20" t="s">
        <v>119</v>
      </c>
      <c r="R21" s="30">
        <v>220200503</v>
      </c>
      <c r="S21" s="20" t="s">
        <v>129</v>
      </c>
      <c r="T21" s="20" t="s">
        <v>18</v>
      </c>
      <c r="U21" s="30">
        <v>4.3</v>
      </c>
      <c r="V21" s="20" t="s">
        <v>770</v>
      </c>
      <c r="W21" s="22" t="s">
        <v>636</v>
      </c>
      <c r="X21" s="22">
        <v>8</v>
      </c>
      <c r="Y21" s="22">
        <v>2</v>
      </c>
      <c r="Z21" s="22">
        <v>2</v>
      </c>
      <c r="AA21" s="22">
        <v>2</v>
      </c>
      <c r="AB21" s="22">
        <v>2</v>
      </c>
      <c r="AC21" s="22">
        <v>0</v>
      </c>
      <c r="AD21" s="36">
        <f t="shared" si="0"/>
        <v>0</v>
      </c>
      <c r="AE21" s="22"/>
      <c r="AF21" s="22"/>
      <c r="AG21" s="22">
        <v>0</v>
      </c>
      <c r="AH21" s="22"/>
      <c r="AI21" s="65">
        <f t="shared" si="1"/>
        <v>0</v>
      </c>
    </row>
    <row r="22" spans="1:35" ht="13.8" customHeight="1" x14ac:dyDescent="0.3">
      <c r="A22" s="20" t="s">
        <v>741</v>
      </c>
      <c r="B22" s="20">
        <v>43</v>
      </c>
      <c r="C22" s="20" t="s">
        <v>158</v>
      </c>
      <c r="D22" s="20">
        <v>270030003</v>
      </c>
      <c r="E22" s="20" t="s">
        <v>722</v>
      </c>
      <c r="F22" s="20" t="s">
        <v>797</v>
      </c>
      <c r="G22" s="20" t="s">
        <v>798</v>
      </c>
      <c r="H22" s="29" t="s">
        <v>803</v>
      </c>
      <c r="I22" s="30" t="s">
        <v>803</v>
      </c>
      <c r="J22" s="30">
        <v>480</v>
      </c>
      <c r="K22" s="30">
        <v>4301</v>
      </c>
      <c r="L22" s="20" t="s">
        <v>159</v>
      </c>
      <c r="M22" s="30">
        <v>4301001</v>
      </c>
      <c r="N22" s="20" t="s">
        <v>160</v>
      </c>
      <c r="O22" s="46"/>
      <c r="P22" s="20" t="s">
        <v>161</v>
      </c>
      <c r="Q22" s="20" t="s">
        <v>40</v>
      </c>
      <c r="R22" s="30">
        <v>430100100</v>
      </c>
      <c r="S22" s="20" t="s">
        <v>162</v>
      </c>
      <c r="T22" s="20" t="s">
        <v>18</v>
      </c>
      <c r="U22" s="30">
        <v>3.4</v>
      </c>
      <c r="V22" s="20" t="s">
        <v>770</v>
      </c>
      <c r="W22" s="22">
        <v>3420</v>
      </c>
      <c r="X22" s="22">
        <v>5000</v>
      </c>
      <c r="Y22" s="22">
        <v>1250</v>
      </c>
      <c r="Z22" s="22">
        <v>1250</v>
      </c>
      <c r="AA22" s="22">
        <v>1250</v>
      </c>
      <c r="AB22" s="22">
        <v>1250</v>
      </c>
      <c r="AC22" s="22">
        <v>1100</v>
      </c>
      <c r="AD22" s="36">
        <f t="shared" si="0"/>
        <v>22</v>
      </c>
      <c r="AE22" s="22" t="s">
        <v>945</v>
      </c>
      <c r="AF22" s="22" t="s">
        <v>944</v>
      </c>
      <c r="AG22" s="22">
        <v>1983</v>
      </c>
      <c r="AH22" s="22" t="s">
        <v>1020</v>
      </c>
      <c r="AI22" s="65">
        <f t="shared" si="1"/>
        <v>158.63999999999999</v>
      </c>
    </row>
    <row r="23" spans="1:35" ht="13.8" customHeight="1" x14ac:dyDescent="0.3">
      <c r="A23" s="20" t="s">
        <v>741</v>
      </c>
      <c r="B23" s="20">
        <v>43</v>
      </c>
      <c r="C23" s="20" t="s">
        <v>158</v>
      </c>
      <c r="D23" s="20">
        <v>270030003</v>
      </c>
      <c r="E23" s="20" t="s">
        <v>722</v>
      </c>
      <c r="F23" s="20" t="s">
        <v>797</v>
      </c>
      <c r="G23" s="20" t="s">
        <v>798</v>
      </c>
      <c r="H23" s="29" t="s">
        <v>803</v>
      </c>
      <c r="I23" s="30" t="s">
        <v>803</v>
      </c>
      <c r="J23" s="30">
        <v>480</v>
      </c>
      <c r="K23" s="30">
        <v>4301</v>
      </c>
      <c r="L23" s="20" t="s">
        <v>159</v>
      </c>
      <c r="M23" s="30">
        <v>4301007</v>
      </c>
      <c r="N23" s="20" t="s">
        <v>167</v>
      </c>
      <c r="O23" s="46" t="s">
        <v>813</v>
      </c>
      <c r="P23" s="20" t="s">
        <v>168</v>
      </c>
      <c r="Q23" s="20" t="s">
        <v>169</v>
      </c>
      <c r="R23" s="30">
        <v>430100700</v>
      </c>
      <c r="S23" s="20" t="s">
        <v>170</v>
      </c>
      <c r="T23" s="20" t="s">
        <v>18</v>
      </c>
      <c r="U23" s="30" t="s">
        <v>587</v>
      </c>
      <c r="V23" s="20" t="s">
        <v>770</v>
      </c>
      <c r="W23" s="22">
        <v>780</v>
      </c>
      <c r="X23" s="22">
        <v>1200</v>
      </c>
      <c r="Y23" s="22">
        <v>300</v>
      </c>
      <c r="Z23" s="22">
        <v>300</v>
      </c>
      <c r="AA23" s="22">
        <v>300</v>
      </c>
      <c r="AB23" s="22">
        <v>300</v>
      </c>
      <c r="AC23" s="22">
        <v>310</v>
      </c>
      <c r="AD23" s="36">
        <f t="shared" si="0"/>
        <v>25.833333333333336</v>
      </c>
      <c r="AE23" s="22" t="s">
        <v>943</v>
      </c>
      <c r="AF23" s="22"/>
      <c r="AG23" s="22">
        <v>160</v>
      </c>
      <c r="AH23" s="22" t="s">
        <v>1018</v>
      </c>
      <c r="AI23" s="65">
        <f t="shared" si="1"/>
        <v>53.333333333333336</v>
      </c>
    </row>
    <row r="24" spans="1:35" ht="13.8" customHeight="1" x14ac:dyDescent="0.3">
      <c r="A24" s="20" t="s">
        <v>741</v>
      </c>
      <c r="B24" s="20">
        <v>43</v>
      </c>
      <c r="C24" s="20" t="s">
        <v>158</v>
      </c>
      <c r="D24" s="20">
        <v>270030003</v>
      </c>
      <c r="E24" s="20" t="s">
        <v>722</v>
      </c>
      <c r="F24" s="20" t="s">
        <v>797</v>
      </c>
      <c r="G24" s="20" t="s">
        <v>798</v>
      </c>
      <c r="H24" s="29" t="s">
        <v>803</v>
      </c>
      <c r="I24" s="30" t="s">
        <v>803</v>
      </c>
      <c r="J24" s="30">
        <v>480</v>
      </c>
      <c r="K24" s="30">
        <v>4302</v>
      </c>
      <c r="L24" s="20" t="s">
        <v>183</v>
      </c>
      <c r="M24" s="30">
        <v>4302062</v>
      </c>
      <c r="N24" s="20" t="s">
        <v>186</v>
      </c>
      <c r="O24" s="46"/>
      <c r="P24" s="20" t="s">
        <v>187</v>
      </c>
      <c r="Q24" s="20" t="s">
        <v>188</v>
      </c>
      <c r="R24" s="30">
        <v>430206200</v>
      </c>
      <c r="S24" s="20" t="s">
        <v>189</v>
      </c>
      <c r="T24" s="20" t="s">
        <v>18</v>
      </c>
      <c r="U24" s="30">
        <v>3.4</v>
      </c>
      <c r="V24" s="20" t="s">
        <v>770</v>
      </c>
      <c r="W24" s="22">
        <v>0</v>
      </c>
      <c r="X24" s="22">
        <v>3</v>
      </c>
      <c r="Y24" s="22">
        <v>0</v>
      </c>
      <c r="Z24" s="22">
        <v>1</v>
      </c>
      <c r="AA24" s="22">
        <v>1</v>
      </c>
      <c r="AB24" s="22">
        <v>1</v>
      </c>
      <c r="AC24" s="22"/>
      <c r="AD24" s="36">
        <f t="shared" si="0"/>
        <v>0</v>
      </c>
      <c r="AE24" s="22"/>
      <c r="AF24" s="22"/>
      <c r="AG24" s="22">
        <v>0</v>
      </c>
      <c r="AH24" s="22"/>
      <c r="AI24" s="65">
        <f t="shared" si="1"/>
        <v>0</v>
      </c>
    </row>
    <row r="25" spans="1:35" ht="13.8" customHeight="1" x14ac:dyDescent="0.3">
      <c r="A25" s="20" t="s">
        <v>741</v>
      </c>
      <c r="B25" s="20">
        <v>33</v>
      </c>
      <c r="C25" s="20" t="s">
        <v>83</v>
      </c>
      <c r="D25" s="20">
        <v>270030002</v>
      </c>
      <c r="E25" s="20" t="s">
        <v>760</v>
      </c>
      <c r="F25" s="20" t="s">
        <v>428</v>
      </c>
      <c r="G25" s="20" t="s">
        <v>798</v>
      </c>
      <c r="H25" s="29" t="s">
        <v>803</v>
      </c>
      <c r="I25" s="30" t="s">
        <v>803</v>
      </c>
      <c r="J25" s="30">
        <v>80</v>
      </c>
      <c r="K25" s="30">
        <v>3301</v>
      </c>
      <c r="L25" s="20" t="s">
        <v>84</v>
      </c>
      <c r="M25" s="30">
        <v>3301054</v>
      </c>
      <c r="N25" s="20" t="s">
        <v>190</v>
      </c>
      <c r="O25" s="46" t="s">
        <v>814</v>
      </c>
      <c r="P25" s="20" t="s">
        <v>191</v>
      </c>
      <c r="Q25" s="20" t="s">
        <v>192</v>
      </c>
      <c r="R25" s="30">
        <v>330105400</v>
      </c>
      <c r="S25" s="20" t="s">
        <v>193</v>
      </c>
      <c r="T25" s="20" t="s">
        <v>18</v>
      </c>
      <c r="U25" s="30">
        <v>11.4</v>
      </c>
      <c r="V25" s="20" t="s">
        <v>770</v>
      </c>
      <c r="W25" s="22">
        <v>0</v>
      </c>
      <c r="X25" s="22">
        <v>3</v>
      </c>
      <c r="Y25" s="22">
        <v>0</v>
      </c>
      <c r="Z25" s="22">
        <v>1</v>
      </c>
      <c r="AA25" s="22">
        <v>1</v>
      </c>
      <c r="AB25" s="22">
        <v>1</v>
      </c>
      <c r="AC25" s="22"/>
      <c r="AD25" s="36">
        <f t="shared" si="0"/>
        <v>0</v>
      </c>
      <c r="AE25" s="22"/>
      <c r="AF25" s="22"/>
      <c r="AG25" s="22">
        <v>0</v>
      </c>
      <c r="AH25" s="22"/>
      <c r="AI25" s="65">
        <f t="shared" si="1"/>
        <v>0</v>
      </c>
    </row>
    <row r="26" spans="1:35" ht="13.8" customHeight="1" x14ac:dyDescent="0.3">
      <c r="A26" s="20" t="s">
        <v>741</v>
      </c>
      <c r="B26" s="20">
        <v>41</v>
      </c>
      <c r="C26" s="20" t="s">
        <v>12</v>
      </c>
      <c r="D26" s="20">
        <v>140010051</v>
      </c>
      <c r="E26" s="20" t="s">
        <v>720</v>
      </c>
      <c r="F26" s="20" t="s">
        <v>428</v>
      </c>
      <c r="G26" s="20" t="s">
        <v>774</v>
      </c>
      <c r="H26" s="29">
        <v>77.937399999999997</v>
      </c>
      <c r="I26" s="30">
        <v>2023</v>
      </c>
      <c r="J26" s="30">
        <v>72</v>
      </c>
      <c r="K26" s="30">
        <v>4102</v>
      </c>
      <c r="L26" s="20" t="s">
        <v>13</v>
      </c>
      <c r="M26" s="30">
        <v>4102042</v>
      </c>
      <c r="N26" s="20" t="s">
        <v>345</v>
      </c>
      <c r="O26" s="46"/>
      <c r="P26" s="20" t="s">
        <v>346</v>
      </c>
      <c r="Q26" s="20" t="s">
        <v>347</v>
      </c>
      <c r="R26" s="30">
        <v>410204201</v>
      </c>
      <c r="S26" s="20" t="s">
        <v>348</v>
      </c>
      <c r="T26" s="20" t="s">
        <v>18</v>
      </c>
      <c r="U26" s="30">
        <v>16.7</v>
      </c>
      <c r="V26" s="20" t="s">
        <v>19</v>
      </c>
      <c r="W26" s="22">
        <v>10</v>
      </c>
      <c r="X26" s="22">
        <v>80</v>
      </c>
      <c r="Y26" s="22">
        <v>20</v>
      </c>
      <c r="Z26" s="22">
        <v>20</v>
      </c>
      <c r="AA26" s="22">
        <v>20</v>
      </c>
      <c r="AB26" s="22">
        <v>20</v>
      </c>
      <c r="AC26" s="22">
        <v>20</v>
      </c>
      <c r="AD26" s="36">
        <f t="shared" si="0"/>
        <v>25</v>
      </c>
      <c r="AE26" s="22" t="s">
        <v>957</v>
      </c>
      <c r="AF26" s="22" t="s">
        <v>959</v>
      </c>
      <c r="AG26" s="57">
        <v>5</v>
      </c>
      <c r="AH26" s="53" t="s">
        <v>1047</v>
      </c>
      <c r="AI26" s="65">
        <f t="shared" si="1"/>
        <v>25</v>
      </c>
    </row>
    <row r="27" spans="1:35" ht="13.8" customHeight="1" x14ac:dyDescent="0.3">
      <c r="A27" s="20" t="s">
        <v>741</v>
      </c>
      <c r="B27" s="20">
        <v>41</v>
      </c>
      <c r="C27" s="20" t="s">
        <v>12</v>
      </c>
      <c r="D27" s="20">
        <v>140010051</v>
      </c>
      <c r="E27" s="20" t="s">
        <v>720</v>
      </c>
      <c r="F27" s="20" t="s">
        <v>428</v>
      </c>
      <c r="G27" s="20" t="s">
        <v>774</v>
      </c>
      <c r="H27" s="29">
        <v>77.937399999999997</v>
      </c>
      <c r="I27" s="30">
        <v>2023</v>
      </c>
      <c r="J27" s="30">
        <v>72</v>
      </c>
      <c r="K27" s="30">
        <v>4102</v>
      </c>
      <c r="L27" s="20" t="s">
        <v>13</v>
      </c>
      <c r="M27" s="30">
        <v>4102043</v>
      </c>
      <c r="N27" s="20" t="s">
        <v>349</v>
      </c>
      <c r="O27" s="46"/>
      <c r="P27" s="20" t="s">
        <v>350</v>
      </c>
      <c r="Q27" s="20" t="s">
        <v>351</v>
      </c>
      <c r="R27" s="30">
        <v>410204301</v>
      </c>
      <c r="S27" s="20" t="s">
        <v>352</v>
      </c>
      <c r="T27" s="20" t="s">
        <v>18</v>
      </c>
      <c r="U27" s="30">
        <v>16.3</v>
      </c>
      <c r="V27" s="20" t="s">
        <v>19</v>
      </c>
      <c r="W27" s="22">
        <v>20</v>
      </c>
      <c r="X27" s="22">
        <v>120</v>
      </c>
      <c r="Y27" s="22">
        <v>30</v>
      </c>
      <c r="Z27" s="22">
        <v>30</v>
      </c>
      <c r="AA27" s="22">
        <v>30</v>
      </c>
      <c r="AB27" s="22">
        <v>30</v>
      </c>
      <c r="AC27" s="22">
        <v>42</v>
      </c>
      <c r="AD27" s="36">
        <f t="shared" si="0"/>
        <v>35</v>
      </c>
      <c r="AE27" s="22" t="s">
        <v>957</v>
      </c>
      <c r="AF27" s="22" t="s">
        <v>959</v>
      </c>
      <c r="AG27" s="22">
        <v>24</v>
      </c>
      <c r="AH27" s="52" t="s">
        <v>1023</v>
      </c>
      <c r="AI27" s="65">
        <f t="shared" si="1"/>
        <v>80</v>
      </c>
    </row>
    <row r="28" spans="1:35" ht="13.8" customHeight="1" x14ac:dyDescent="0.3">
      <c r="A28" s="20" t="s">
        <v>741</v>
      </c>
      <c r="B28" s="20">
        <v>43</v>
      </c>
      <c r="C28" s="20" t="s">
        <v>158</v>
      </c>
      <c r="D28" s="20">
        <v>270030003</v>
      </c>
      <c r="E28" s="20" t="s">
        <v>722</v>
      </c>
      <c r="F28" s="20" t="s">
        <v>797</v>
      </c>
      <c r="G28" s="20" t="s">
        <v>798</v>
      </c>
      <c r="H28" s="29" t="s">
        <v>803</v>
      </c>
      <c r="I28" s="30" t="s">
        <v>803</v>
      </c>
      <c r="J28" s="30">
        <v>480</v>
      </c>
      <c r="K28" s="30">
        <v>4301</v>
      </c>
      <c r="L28" s="20" t="s">
        <v>159</v>
      </c>
      <c r="M28" s="30">
        <v>4301037</v>
      </c>
      <c r="N28" s="20" t="s">
        <v>353</v>
      </c>
      <c r="O28" s="46" t="s">
        <v>815</v>
      </c>
      <c r="P28" s="20" t="s">
        <v>354</v>
      </c>
      <c r="Q28" s="20" t="s">
        <v>40</v>
      </c>
      <c r="R28" s="30">
        <v>430103700</v>
      </c>
      <c r="S28" s="20" t="s">
        <v>355</v>
      </c>
      <c r="T28" s="20" t="s">
        <v>18</v>
      </c>
      <c r="U28" s="30">
        <v>3.4</v>
      </c>
      <c r="V28" s="20" t="s">
        <v>770</v>
      </c>
      <c r="W28" s="22">
        <v>2145</v>
      </c>
      <c r="X28" s="22">
        <v>3200</v>
      </c>
      <c r="Y28" s="22">
        <v>800</v>
      </c>
      <c r="Z28" s="22">
        <v>800</v>
      </c>
      <c r="AA28" s="22">
        <v>800</v>
      </c>
      <c r="AB28" s="22">
        <v>800</v>
      </c>
      <c r="AC28" s="22">
        <v>842</v>
      </c>
      <c r="AD28" s="36">
        <f t="shared" si="0"/>
        <v>26.3125</v>
      </c>
      <c r="AE28" s="22" t="s">
        <v>942</v>
      </c>
      <c r="AF28" s="22"/>
      <c r="AG28" s="22">
        <v>280</v>
      </c>
      <c r="AH28" s="22" t="s">
        <v>1019</v>
      </c>
      <c r="AI28" s="65">
        <f t="shared" si="1"/>
        <v>35</v>
      </c>
    </row>
    <row r="29" spans="1:35" ht="13.8" customHeight="1" x14ac:dyDescent="0.3">
      <c r="A29" s="20" t="s">
        <v>741</v>
      </c>
      <c r="B29" s="20">
        <v>22</v>
      </c>
      <c r="C29" s="20" t="s">
        <v>93</v>
      </c>
      <c r="D29" s="20">
        <v>40010006</v>
      </c>
      <c r="E29" s="20" t="s">
        <v>676</v>
      </c>
      <c r="F29" s="20" t="s">
        <v>679</v>
      </c>
      <c r="G29" s="20" t="s">
        <v>778</v>
      </c>
      <c r="H29" s="29">
        <v>101.0859</v>
      </c>
      <c r="I29" s="30">
        <v>2022</v>
      </c>
      <c r="J29" s="30">
        <v>101</v>
      </c>
      <c r="K29" s="30">
        <v>2201</v>
      </c>
      <c r="L29" s="20" t="s">
        <v>94</v>
      </c>
      <c r="M29" s="30">
        <v>2201049</v>
      </c>
      <c r="N29" s="20" t="s">
        <v>186</v>
      </c>
      <c r="O29" s="46"/>
      <c r="P29" s="20" t="s">
        <v>360</v>
      </c>
      <c r="Q29" s="20" t="s">
        <v>40</v>
      </c>
      <c r="R29" s="30">
        <v>220104902</v>
      </c>
      <c r="S29" s="20" t="s">
        <v>361</v>
      </c>
      <c r="T29" s="20" t="s">
        <v>18</v>
      </c>
      <c r="U29" s="30">
        <v>4.7</v>
      </c>
      <c r="V29" s="20" t="s">
        <v>770</v>
      </c>
      <c r="W29" s="22">
        <v>1</v>
      </c>
      <c r="X29" s="22">
        <v>4</v>
      </c>
      <c r="Y29" s="22">
        <v>1</v>
      </c>
      <c r="Z29" s="22">
        <v>1</v>
      </c>
      <c r="AA29" s="22">
        <v>1</v>
      </c>
      <c r="AB29" s="22">
        <v>1</v>
      </c>
      <c r="AC29" s="22">
        <v>0</v>
      </c>
      <c r="AD29" s="36">
        <f t="shared" si="0"/>
        <v>0</v>
      </c>
      <c r="AE29" s="22"/>
      <c r="AF29" s="22"/>
      <c r="AG29" s="22">
        <v>1</v>
      </c>
      <c r="AH29" s="22" t="s">
        <v>1061</v>
      </c>
      <c r="AI29" s="65">
        <f t="shared" si="1"/>
        <v>100</v>
      </c>
    </row>
    <row r="30" spans="1:35" ht="13.8" customHeight="1" x14ac:dyDescent="0.3">
      <c r="A30" s="20" t="s">
        <v>741</v>
      </c>
      <c r="B30" s="20">
        <v>22</v>
      </c>
      <c r="C30" s="20" t="s">
        <v>93</v>
      </c>
      <c r="D30" s="20">
        <v>40010006</v>
      </c>
      <c r="E30" s="20" t="s">
        <v>676</v>
      </c>
      <c r="F30" s="20" t="s">
        <v>679</v>
      </c>
      <c r="G30" s="20" t="s">
        <v>778</v>
      </c>
      <c r="H30" s="29">
        <v>101.0859</v>
      </c>
      <c r="I30" s="30">
        <v>2022</v>
      </c>
      <c r="J30" s="30">
        <v>101</v>
      </c>
      <c r="K30" s="30">
        <v>2201</v>
      </c>
      <c r="L30" s="20" t="s">
        <v>94</v>
      </c>
      <c r="M30" s="30">
        <v>2201069</v>
      </c>
      <c r="N30" s="20" t="s">
        <v>362</v>
      </c>
      <c r="O30" s="46"/>
      <c r="P30" s="20" t="s">
        <v>363</v>
      </c>
      <c r="Q30" s="20" t="s">
        <v>318</v>
      </c>
      <c r="R30" s="30">
        <v>220106900</v>
      </c>
      <c r="S30" s="20" t="s">
        <v>364</v>
      </c>
      <c r="T30" s="20" t="s">
        <v>18</v>
      </c>
      <c r="U30" s="30" t="s">
        <v>590</v>
      </c>
      <c r="V30" s="20" t="s">
        <v>770</v>
      </c>
      <c r="W30" s="22">
        <v>1</v>
      </c>
      <c r="X30" s="22">
        <v>2</v>
      </c>
      <c r="Y30" s="22">
        <v>0</v>
      </c>
      <c r="Z30" s="22">
        <v>1</v>
      </c>
      <c r="AA30" s="22">
        <v>0</v>
      </c>
      <c r="AB30" s="22">
        <v>1</v>
      </c>
      <c r="AC30" s="22"/>
      <c r="AD30" s="36">
        <f t="shared" si="0"/>
        <v>0</v>
      </c>
      <c r="AE30" s="22"/>
      <c r="AF30" s="22"/>
      <c r="AG30" s="22">
        <v>0</v>
      </c>
      <c r="AH30" s="22"/>
      <c r="AI30" s="65">
        <f t="shared" si="1"/>
        <v>0</v>
      </c>
    </row>
    <row r="31" spans="1:35" ht="13.8" customHeight="1" x14ac:dyDescent="0.3">
      <c r="A31" s="20" t="s">
        <v>741</v>
      </c>
      <c r="B31" s="20">
        <v>33</v>
      </c>
      <c r="C31" s="20" t="s">
        <v>83</v>
      </c>
      <c r="D31" s="20">
        <v>270030002</v>
      </c>
      <c r="E31" s="20" t="s">
        <v>760</v>
      </c>
      <c r="F31" s="20" t="s">
        <v>428</v>
      </c>
      <c r="G31" s="20" t="s">
        <v>798</v>
      </c>
      <c r="H31" s="29" t="s">
        <v>803</v>
      </c>
      <c r="I31" s="30" t="s">
        <v>803</v>
      </c>
      <c r="J31" s="30">
        <v>80</v>
      </c>
      <c r="K31" s="30">
        <v>3301</v>
      </c>
      <c r="L31" s="20" t="s">
        <v>84</v>
      </c>
      <c r="M31" s="30">
        <v>3301085</v>
      </c>
      <c r="N31" s="20" t="s">
        <v>365</v>
      </c>
      <c r="O31" s="46"/>
      <c r="P31" s="20" t="s">
        <v>366</v>
      </c>
      <c r="Q31" s="20" t="s">
        <v>367</v>
      </c>
      <c r="R31" s="30">
        <v>330108500</v>
      </c>
      <c r="S31" s="20" t="s">
        <v>368</v>
      </c>
      <c r="T31" s="20" t="s">
        <v>18</v>
      </c>
      <c r="U31" s="30" t="s">
        <v>590</v>
      </c>
      <c r="V31" s="20" t="s">
        <v>770</v>
      </c>
      <c r="W31" s="22">
        <v>650</v>
      </c>
      <c r="X31" s="22">
        <v>800</v>
      </c>
      <c r="Y31" s="22">
        <v>200</v>
      </c>
      <c r="Z31" s="22">
        <v>200</v>
      </c>
      <c r="AA31" s="22">
        <v>200</v>
      </c>
      <c r="AB31" s="22">
        <v>200</v>
      </c>
      <c r="AC31" s="22">
        <v>756</v>
      </c>
      <c r="AD31" s="36">
        <f t="shared" si="0"/>
        <v>94.5</v>
      </c>
      <c r="AE31" s="22" t="s">
        <v>909</v>
      </c>
      <c r="AF31" s="22" t="s">
        <v>910</v>
      </c>
      <c r="AG31" s="22">
        <v>100</v>
      </c>
      <c r="AH31" s="22"/>
      <c r="AI31" s="65">
        <f t="shared" si="1"/>
        <v>50</v>
      </c>
    </row>
    <row r="32" spans="1:35" ht="13.8" customHeight="1" x14ac:dyDescent="0.3">
      <c r="A32" s="20" t="s">
        <v>741</v>
      </c>
      <c r="B32" s="20">
        <v>22</v>
      </c>
      <c r="C32" s="20" t="s">
        <v>93</v>
      </c>
      <c r="D32" s="20">
        <v>40010006</v>
      </c>
      <c r="E32" s="20" t="s">
        <v>676</v>
      </c>
      <c r="F32" s="20" t="s">
        <v>679</v>
      </c>
      <c r="G32" s="20" t="s">
        <v>778</v>
      </c>
      <c r="H32" s="29">
        <v>101.0859</v>
      </c>
      <c r="I32" s="30">
        <v>2022</v>
      </c>
      <c r="J32" s="30">
        <v>101</v>
      </c>
      <c r="K32" s="30">
        <v>2201</v>
      </c>
      <c r="L32" s="20" t="s">
        <v>94</v>
      </c>
      <c r="M32" s="30">
        <v>2201073</v>
      </c>
      <c r="N32" s="20" t="s">
        <v>370</v>
      </c>
      <c r="O32" s="46" t="s">
        <v>816</v>
      </c>
      <c r="P32" s="20" t="s">
        <v>371</v>
      </c>
      <c r="Q32" s="20" t="s">
        <v>123</v>
      </c>
      <c r="R32" s="30">
        <v>220107304</v>
      </c>
      <c r="S32" s="20" t="s">
        <v>372</v>
      </c>
      <c r="T32" s="20" t="s">
        <v>18</v>
      </c>
      <c r="U32" s="30">
        <v>17.18</v>
      </c>
      <c r="V32" s="20" t="s">
        <v>770</v>
      </c>
      <c r="W32" s="22">
        <v>138</v>
      </c>
      <c r="X32" s="22">
        <v>200</v>
      </c>
      <c r="Y32" s="22">
        <v>50</v>
      </c>
      <c r="Z32" s="22">
        <v>50</v>
      </c>
      <c r="AA32" s="22">
        <v>50</v>
      </c>
      <c r="AB32" s="22">
        <v>50</v>
      </c>
      <c r="AC32" s="22">
        <v>30</v>
      </c>
      <c r="AD32" s="36">
        <f t="shared" si="0"/>
        <v>15</v>
      </c>
      <c r="AE32" s="22" t="s">
        <v>934</v>
      </c>
      <c r="AF32" s="22" t="s">
        <v>936</v>
      </c>
      <c r="AG32" s="22">
        <v>30</v>
      </c>
      <c r="AH32" s="22" t="s">
        <v>1062</v>
      </c>
      <c r="AI32" s="65">
        <f t="shared" si="1"/>
        <v>60</v>
      </c>
    </row>
    <row r="33" spans="1:35" ht="13.8" customHeight="1" x14ac:dyDescent="0.3">
      <c r="A33" s="20" t="s">
        <v>741</v>
      </c>
      <c r="B33" s="20">
        <v>33</v>
      </c>
      <c r="C33" s="20" t="s">
        <v>83</v>
      </c>
      <c r="D33" s="20">
        <v>270030002</v>
      </c>
      <c r="E33" s="20" t="s">
        <v>760</v>
      </c>
      <c r="F33" s="20" t="s">
        <v>428</v>
      </c>
      <c r="G33" s="20" t="s">
        <v>798</v>
      </c>
      <c r="H33" s="29" t="s">
        <v>803</v>
      </c>
      <c r="I33" s="30" t="s">
        <v>803</v>
      </c>
      <c r="J33" s="30">
        <v>80</v>
      </c>
      <c r="K33" s="30">
        <v>3301</v>
      </c>
      <c r="L33" s="20" t="s">
        <v>84</v>
      </c>
      <c r="M33" s="30">
        <v>3301053</v>
      </c>
      <c r="N33" s="20" t="s">
        <v>373</v>
      </c>
      <c r="O33" s="46" t="s">
        <v>817</v>
      </c>
      <c r="P33" s="20" t="s">
        <v>374</v>
      </c>
      <c r="Q33" s="20" t="s">
        <v>375</v>
      </c>
      <c r="R33" s="30">
        <v>330105300</v>
      </c>
      <c r="S33" s="20" t="s">
        <v>376</v>
      </c>
      <c r="T33" s="20" t="s">
        <v>18</v>
      </c>
      <c r="U33" s="30">
        <v>11.4</v>
      </c>
      <c r="V33" s="20" t="s">
        <v>770</v>
      </c>
      <c r="W33" s="22">
        <v>10</v>
      </c>
      <c r="X33" s="22">
        <v>20</v>
      </c>
      <c r="Y33" s="22">
        <v>5</v>
      </c>
      <c r="Z33" s="22">
        <v>5</v>
      </c>
      <c r="AA33" s="22">
        <v>5</v>
      </c>
      <c r="AB33" s="22">
        <v>5</v>
      </c>
      <c r="AC33" s="22">
        <v>15</v>
      </c>
      <c r="AD33" s="36">
        <f t="shared" si="0"/>
        <v>75</v>
      </c>
      <c r="AE33" s="39" t="s">
        <v>879</v>
      </c>
      <c r="AF33" s="22" t="s">
        <v>878</v>
      </c>
      <c r="AG33" s="22">
        <v>0</v>
      </c>
      <c r="AH33" s="22"/>
      <c r="AI33" s="65">
        <f t="shared" si="1"/>
        <v>0</v>
      </c>
    </row>
    <row r="34" spans="1:35" ht="13.8" customHeight="1" x14ac:dyDescent="0.3">
      <c r="A34" s="20" t="s">
        <v>741</v>
      </c>
      <c r="B34" s="20">
        <v>33</v>
      </c>
      <c r="C34" s="20" t="s">
        <v>83</v>
      </c>
      <c r="D34" s="20">
        <v>270030002</v>
      </c>
      <c r="E34" s="20" t="s">
        <v>760</v>
      </c>
      <c r="F34" s="20" t="s">
        <v>428</v>
      </c>
      <c r="G34" s="20" t="s">
        <v>798</v>
      </c>
      <c r="H34" s="29" t="s">
        <v>803</v>
      </c>
      <c r="I34" s="30" t="s">
        <v>803</v>
      </c>
      <c r="J34" s="30">
        <v>80</v>
      </c>
      <c r="K34" s="30">
        <v>3301</v>
      </c>
      <c r="L34" s="20" t="s">
        <v>84</v>
      </c>
      <c r="M34" s="30">
        <v>3301073</v>
      </c>
      <c r="N34" s="20" t="s">
        <v>377</v>
      </c>
      <c r="O34" s="46" t="s">
        <v>818</v>
      </c>
      <c r="P34" s="20" t="s">
        <v>378</v>
      </c>
      <c r="Q34" s="20" t="s">
        <v>379</v>
      </c>
      <c r="R34" s="30">
        <v>330107300</v>
      </c>
      <c r="S34" s="20" t="s">
        <v>380</v>
      </c>
      <c r="T34" s="20" t="s">
        <v>18</v>
      </c>
      <c r="U34" s="30">
        <v>11.4</v>
      </c>
      <c r="V34" s="20" t="s">
        <v>770</v>
      </c>
      <c r="W34" s="22">
        <v>7</v>
      </c>
      <c r="X34" s="22">
        <v>12</v>
      </c>
      <c r="Y34" s="22">
        <v>3</v>
      </c>
      <c r="Z34" s="22">
        <v>3</v>
      </c>
      <c r="AA34" s="22">
        <v>3</v>
      </c>
      <c r="AB34" s="22">
        <v>3</v>
      </c>
      <c r="AC34" s="22">
        <v>5</v>
      </c>
      <c r="AD34" s="36">
        <f t="shared" si="0"/>
        <v>41.666666666666671</v>
      </c>
      <c r="AE34" s="39" t="s">
        <v>879</v>
      </c>
      <c r="AF34" s="22" t="s">
        <v>946</v>
      </c>
      <c r="AG34" s="22">
        <v>3</v>
      </c>
      <c r="AH34" s="22" t="s">
        <v>1055</v>
      </c>
      <c r="AI34" s="65">
        <f t="shared" si="1"/>
        <v>100</v>
      </c>
    </row>
    <row r="35" spans="1:35" ht="13.8" customHeight="1" x14ac:dyDescent="0.3">
      <c r="A35" s="20" t="s">
        <v>741</v>
      </c>
      <c r="B35" s="20">
        <v>33</v>
      </c>
      <c r="C35" s="20" t="s">
        <v>83</v>
      </c>
      <c r="D35" s="20">
        <v>270030002</v>
      </c>
      <c r="E35" s="20" t="s">
        <v>760</v>
      </c>
      <c r="F35" s="20" t="s">
        <v>760</v>
      </c>
      <c r="G35" s="20" t="s">
        <v>798</v>
      </c>
      <c r="H35" s="29" t="s">
        <v>803</v>
      </c>
      <c r="I35" s="30" t="s">
        <v>803</v>
      </c>
      <c r="J35" s="30">
        <v>80</v>
      </c>
      <c r="K35" s="30">
        <v>3301</v>
      </c>
      <c r="L35" s="20" t="s">
        <v>84</v>
      </c>
      <c r="M35" s="30">
        <v>3301126</v>
      </c>
      <c r="N35" s="20" t="s">
        <v>381</v>
      </c>
      <c r="O35" s="46" t="s">
        <v>819</v>
      </c>
      <c r="P35" s="20" t="s">
        <v>382</v>
      </c>
      <c r="Q35" s="20" t="s">
        <v>383</v>
      </c>
      <c r="R35" s="30">
        <v>330112600</v>
      </c>
      <c r="S35" s="20" t="s">
        <v>384</v>
      </c>
      <c r="T35" s="20" t="s">
        <v>18</v>
      </c>
      <c r="U35" s="30" t="s">
        <v>590</v>
      </c>
      <c r="V35" s="20" t="s">
        <v>770</v>
      </c>
      <c r="W35" s="22">
        <v>3</v>
      </c>
      <c r="X35" s="22">
        <v>16</v>
      </c>
      <c r="Y35" s="22">
        <v>4</v>
      </c>
      <c r="Z35" s="22">
        <v>4</v>
      </c>
      <c r="AA35" s="22">
        <v>4</v>
      </c>
      <c r="AB35" s="22">
        <v>4</v>
      </c>
      <c r="AC35" s="22">
        <v>4</v>
      </c>
      <c r="AD35" s="36">
        <f t="shared" si="0"/>
        <v>25</v>
      </c>
      <c r="AE35" s="39" t="s">
        <v>879</v>
      </c>
      <c r="AF35" s="22" t="s">
        <v>878</v>
      </c>
      <c r="AG35" s="22">
        <v>4</v>
      </c>
      <c r="AH35" s="22" t="s">
        <v>1056</v>
      </c>
      <c r="AI35" s="65">
        <f t="shared" si="1"/>
        <v>100</v>
      </c>
    </row>
    <row r="36" spans="1:35" ht="13.8" customHeight="1" x14ac:dyDescent="0.3">
      <c r="A36" s="20" t="s">
        <v>741</v>
      </c>
      <c r="B36" s="20">
        <v>41</v>
      </c>
      <c r="C36" s="20" t="s">
        <v>12</v>
      </c>
      <c r="D36" s="24">
        <v>20100040</v>
      </c>
      <c r="E36" s="20" t="s">
        <v>763</v>
      </c>
      <c r="F36" s="20" t="s">
        <v>719</v>
      </c>
      <c r="G36" s="20" t="s">
        <v>780</v>
      </c>
      <c r="H36" s="29">
        <v>0</v>
      </c>
      <c r="I36" s="30">
        <v>2021</v>
      </c>
      <c r="J36" s="30">
        <v>0</v>
      </c>
      <c r="K36" s="30">
        <v>4104</v>
      </c>
      <c r="L36" s="20" t="s">
        <v>482</v>
      </c>
      <c r="M36" s="30">
        <v>4104008</v>
      </c>
      <c r="N36" s="20" t="s">
        <v>483</v>
      </c>
      <c r="O36" s="46"/>
      <c r="P36" s="20" t="s">
        <v>484</v>
      </c>
      <c r="Q36" s="20" t="s">
        <v>485</v>
      </c>
      <c r="R36" s="30">
        <v>410400800</v>
      </c>
      <c r="S36" s="20" t="s">
        <v>486</v>
      </c>
      <c r="T36" s="20" t="s">
        <v>18</v>
      </c>
      <c r="U36" s="30">
        <v>1.3</v>
      </c>
      <c r="V36" s="20" t="s">
        <v>770</v>
      </c>
      <c r="W36" s="22">
        <v>700</v>
      </c>
      <c r="X36" s="22">
        <v>720</v>
      </c>
      <c r="Y36" s="22">
        <v>180</v>
      </c>
      <c r="Z36" s="22">
        <v>180</v>
      </c>
      <c r="AA36" s="22">
        <v>180</v>
      </c>
      <c r="AB36" s="22">
        <v>180</v>
      </c>
      <c r="AC36" s="22">
        <v>200</v>
      </c>
      <c r="AD36" s="36">
        <f t="shared" si="0"/>
        <v>27.777777777777779</v>
      </c>
      <c r="AE36" s="22" t="s">
        <v>975</v>
      </c>
      <c r="AF36" s="22" t="s">
        <v>976</v>
      </c>
      <c r="AG36" s="22">
        <v>180</v>
      </c>
      <c r="AH36" s="22" t="s">
        <v>1064</v>
      </c>
      <c r="AI36" s="65">
        <f t="shared" si="1"/>
        <v>100</v>
      </c>
    </row>
    <row r="37" spans="1:35" ht="13.8" customHeight="1" x14ac:dyDescent="0.3">
      <c r="A37" s="20" t="s">
        <v>741</v>
      </c>
      <c r="B37" s="20">
        <v>41</v>
      </c>
      <c r="C37" s="20" t="s">
        <v>12</v>
      </c>
      <c r="D37" s="24">
        <v>20100040</v>
      </c>
      <c r="E37" s="20" t="s">
        <v>763</v>
      </c>
      <c r="F37" s="20" t="s">
        <v>719</v>
      </c>
      <c r="G37" s="20" t="s">
        <v>780</v>
      </c>
      <c r="H37" s="29">
        <v>0</v>
      </c>
      <c r="I37" s="30">
        <v>2021</v>
      </c>
      <c r="J37" s="30">
        <v>0</v>
      </c>
      <c r="K37" s="30">
        <v>4104</v>
      </c>
      <c r="L37" s="20" t="s">
        <v>482</v>
      </c>
      <c r="M37" s="30">
        <v>4104014</v>
      </c>
      <c r="N37" s="20" t="s">
        <v>487</v>
      </c>
      <c r="O37" s="46"/>
      <c r="P37" s="20" t="s">
        <v>488</v>
      </c>
      <c r="Q37" s="20" t="s">
        <v>489</v>
      </c>
      <c r="R37" s="30">
        <v>410401400</v>
      </c>
      <c r="S37" s="20" t="s">
        <v>490</v>
      </c>
      <c r="T37" s="20" t="s">
        <v>18</v>
      </c>
      <c r="U37" s="30">
        <v>1.3</v>
      </c>
      <c r="V37" s="20" t="s">
        <v>770</v>
      </c>
      <c r="W37" s="22">
        <v>0</v>
      </c>
      <c r="X37" s="22">
        <v>1</v>
      </c>
      <c r="Y37" s="22">
        <v>0</v>
      </c>
      <c r="Z37" s="22">
        <v>0</v>
      </c>
      <c r="AA37" s="22">
        <v>1</v>
      </c>
      <c r="AB37" s="22">
        <v>0</v>
      </c>
      <c r="AC37" s="22"/>
      <c r="AD37" s="22">
        <f t="shared" si="0"/>
        <v>0</v>
      </c>
      <c r="AE37" s="22"/>
      <c r="AF37" s="22"/>
      <c r="AG37" s="22" t="s">
        <v>1048</v>
      </c>
      <c r="AH37" s="22"/>
      <c r="AI37" s="65" t="e">
        <f t="shared" si="1"/>
        <v>#VALUE!</v>
      </c>
    </row>
    <row r="38" spans="1:35" ht="13.8" customHeight="1" x14ac:dyDescent="0.3">
      <c r="A38" s="20" t="s">
        <v>741</v>
      </c>
      <c r="B38" s="20">
        <v>41</v>
      </c>
      <c r="C38" s="20" t="s">
        <v>12</v>
      </c>
      <c r="D38" s="24">
        <v>20100040</v>
      </c>
      <c r="E38" s="20" t="s">
        <v>763</v>
      </c>
      <c r="F38" s="20" t="s">
        <v>719</v>
      </c>
      <c r="G38" s="20" t="s">
        <v>780</v>
      </c>
      <c r="H38" s="29">
        <v>0</v>
      </c>
      <c r="I38" s="30">
        <v>2021</v>
      </c>
      <c r="J38" s="30">
        <v>0</v>
      </c>
      <c r="K38" s="30">
        <v>4104</v>
      </c>
      <c r="L38" s="20" t="s">
        <v>482</v>
      </c>
      <c r="M38" s="30">
        <v>4104020</v>
      </c>
      <c r="N38" s="20" t="s">
        <v>491</v>
      </c>
      <c r="O38" s="46"/>
      <c r="P38" s="20" t="s">
        <v>492</v>
      </c>
      <c r="Q38" s="20" t="s">
        <v>40</v>
      </c>
      <c r="R38" s="30">
        <v>410402000</v>
      </c>
      <c r="S38" s="20" t="s">
        <v>493</v>
      </c>
      <c r="T38" s="20" t="s">
        <v>18</v>
      </c>
      <c r="U38" s="30">
        <v>1.3</v>
      </c>
      <c r="V38" s="20" t="s">
        <v>770</v>
      </c>
      <c r="W38" s="22" t="s">
        <v>636</v>
      </c>
      <c r="X38" s="22">
        <v>100</v>
      </c>
      <c r="Y38" s="22">
        <v>25</v>
      </c>
      <c r="Z38" s="22">
        <v>25</v>
      </c>
      <c r="AA38" s="22">
        <v>25</v>
      </c>
      <c r="AB38" s="22">
        <v>25</v>
      </c>
      <c r="AC38" s="22">
        <v>30</v>
      </c>
      <c r="AD38" s="36">
        <f t="shared" si="0"/>
        <v>30</v>
      </c>
      <c r="AE38" s="22" t="s">
        <v>977</v>
      </c>
      <c r="AF38" s="22" t="s">
        <v>978</v>
      </c>
      <c r="AG38" s="22">
        <v>0</v>
      </c>
      <c r="AH38" s="22" t="s">
        <v>1065</v>
      </c>
      <c r="AI38" s="65">
        <f t="shared" si="1"/>
        <v>0</v>
      </c>
    </row>
    <row r="39" spans="1:35" ht="13.8" customHeight="1" x14ac:dyDescent="0.3">
      <c r="A39" s="20" t="s">
        <v>741</v>
      </c>
      <c r="B39" s="20">
        <v>41</v>
      </c>
      <c r="C39" s="20" t="s">
        <v>12</v>
      </c>
      <c r="D39" s="20">
        <v>140010004</v>
      </c>
      <c r="E39" s="20" t="s">
        <v>709</v>
      </c>
      <c r="F39" s="20" t="s">
        <v>679</v>
      </c>
      <c r="G39" s="20" t="s">
        <v>774</v>
      </c>
      <c r="H39" s="29">
        <v>30.7</v>
      </c>
      <c r="I39" s="30">
        <v>2018</v>
      </c>
      <c r="J39" s="30">
        <v>35</v>
      </c>
      <c r="K39" s="30">
        <v>4104</v>
      </c>
      <c r="L39" s="20" t="s">
        <v>482</v>
      </c>
      <c r="M39" s="30">
        <v>4104027</v>
      </c>
      <c r="N39" s="20" t="s">
        <v>494</v>
      </c>
      <c r="O39" s="46"/>
      <c r="P39" s="20" t="s">
        <v>495</v>
      </c>
      <c r="Q39" s="20" t="s">
        <v>40</v>
      </c>
      <c r="R39" s="30">
        <v>410402700</v>
      </c>
      <c r="S39" s="20" t="s">
        <v>496</v>
      </c>
      <c r="T39" s="20" t="s">
        <v>18</v>
      </c>
      <c r="U39" s="30">
        <v>1.3</v>
      </c>
      <c r="V39" s="20" t="s">
        <v>19</v>
      </c>
      <c r="W39" s="22">
        <v>5</v>
      </c>
      <c r="X39" s="22">
        <v>20</v>
      </c>
      <c r="Y39" s="22">
        <v>5</v>
      </c>
      <c r="Z39" s="22">
        <v>5</v>
      </c>
      <c r="AA39" s="22">
        <v>5</v>
      </c>
      <c r="AB39" s="22">
        <v>5</v>
      </c>
      <c r="AC39" s="22">
        <v>1</v>
      </c>
      <c r="AD39" s="36">
        <f t="shared" si="0"/>
        <v>5</v>
      </c>
      <c r="AE39" s="22"/>
      <c r="AF39" s="22" t="s">
        <v>955</v>
      </c>
      <c r="AG39" s="22">
        <v>0</v>
      </c>
      <c r="AH39" s="53" t="s">
        <v>1024</v>
      </c>
      <c r="AI39" s="65">
        <f t="shared" si="1"/>
        <v>0</v>
      </c>
    </row>
    <row r="40" spans="1:35" ht="13.8" customHeight="1" x14ac:dyDescent="0.3">
      <c r="A40" s="20" t="s">
        <v>741</v>
      </c>
      <c r="B40" s="20">
        <v>19</v>
      </c>
      <c r="C40" s="20" t="s">
        <v>47</v>
      </c>
      <c r="D40" s="20">
        <v>80030002</v>
      </c>
      <c r="E40" s="20" t="s">
        <v>752</v>
      </c>
      <c r="F40" s="20" t="s">
        <v>719</v>
      </c>
      <c r="G40" s="20" t="s">
        <v>777</v>
      </c>
      <c r="H40" s="29">
        <v>75.596100000000007</v>
      </c>
      <c r="I40" s="30">
        <v>2022</v>
      </c>
      <c r="J40" s="30">
        <v>85</v>
      </c>
      <c r="K40" s="30">
        <v>1906</v>
      </c>
      <c r="L40" s="20" t="s">
        <v>479</v>
      </c>
      <c r="M40" s="30">
        <v>1906005</v>
      </c>
      <c r="N40" s="25" t="s">
        <v>599</v>
      </c>
      <c r="O40" s="46"/>
      <c r="P40" s="25" t="s">
        <v>738</v>
      </c>
      <c r="Q40" s="25" t="s">
        <v>481</v>
      </c>
      <c r="R40" s="32">
        <v>190600500</v>
      </c>
      <c r="S40" s="25" t="s">
        <v>599</v>
      </c>
      <c r="T40" s="25" t="s">
        <v>18</v>
      </c>
      <c r="U40" s="30">
        <v>3.8</v>
      </c>
      <c r="V40" s="20" t="s">
        <v>770</v>
      </c>
      <c r="W40" s="22">
        <v>1</v>
      </c>
      <c r="X40" s="22">
        <v>1</v>
      </c>
      <c r="Y40" s="22">
        <v>0</v>
      </c>
      <c r="Z40" s="22">
        <v>0</v>
      </c>
      <c r="AA40" s="22">
        <v>1</v>
      </c>
      <c r="AB40" s="22">
        <v>0</v>
      </c>
      <c r="AC40" s="22"/>
      <c r="AD40" s="22">
        <f t="shared" si="0"/>
        <v>0</v>
      </c>
      <c r="AE40" s="22"/>
      <c r="AF40" s="22"/>
      <c r="AG40" s="22" t="s">
        <v>1048</v>
      </c>
      <c r="AH40" s="22"/>
      <c r="AI40" s="65" t="e">
        <f t="shared" si="1"/>
        <v>#VALUE!</v>
      </c>
    </row>
    <row r="41" spans="1:35" ht="13.8" customHeight="1" x14ac:dyDescent="0.3">
      <c r="A41" s="20" t="s">
        <v>741</v>
      </c>
      <c r="B41" s="20">
        <v>19</v>
      </c>
      <c r="C41" s="20" t="s">
        <v>47</v>
      </c>
      <c r="D41" s="20">
        <v>80030002</v>
      </c>
      <c r="E41" s="20" t="s">
        <v>752</v>
      </c>
      <c r="F41" s="20" t="s">
        <v>719</v>
      </c>
      <c r="G41" s="20" t="s">
        <v>777</v>
      </c>
      <c r="H41" s="29">
        <v>75.596100000000007</v>
      </c>
      <c r="I41" s="30">
        <v>2022</v>
      </c>
      <c r="J41" s="30">
        <v>85</v>
      </c>
      <c r="K41" s="30">
        <v>1905</v>
      </c>
      <c r="L41" s="20" t="s">
        <v>497</v>
      </c>
      <c r="M41" s="30">
        <v>1905015</v>
      </c>
      <c r="N41" s="20" t="s">
        <v>95</v>
      </c>
      <c r="O41" s="46" t="s">
        <v>820</v>
      </c>
      <c r="P41" s="20" t="s">
        <v>356</v>
      </c>
      <c r="Q41" s="20" t="s">
        <v>26</v>
      </c>
      <c r="R41" s="30">
        <v>190501500</v>
      </c>
      <c r="S41" s="20" t="s">
        <v>338</v>
      </c>
      <c r="T41" s="20" t="s">
        <v>18</v>
      </c>
      <c r="U41" s="30" t="s">
        <v>594</v>
      </c>
      <c r="V41" s="20" t="s">
        <v>770</v>
      </c>
      <c r="W41" s="22">
        <v>1</v>
      </c>
      <c r="X41" s="22">
        <v>4</v>
      </c>
      <c r="Y41" s="22">
        <v>1</v>
      </c>
      <c r="Z41" s="22">
        <v>1</v>
      </c>
      <c r="AA41" s="22">
        <v>1</v>
      </c>
      <c r="AB41" s="22">
        <v>1</v>
      </c>
      <c r="AC41" s="22">
        <v>2</v>
      </c>
      <c r="AD41" s="36">
        <f t="shared" si="0"/>
        <v>50</v>
      </c>
      <c r="AE41" s="64" t="s">
        <v>874</v>
      </c>
      <c r="AF41" s="39" t="s">
        <v>875</v>
      </c>
      <c r="AG41" s="39">
        <v>2</v>
      </c>
      <c r="AH41" s="39" t="s">
        <v>1071</v>
      </c>
      <c r="AI41" s="65">
        <f t="shared" si="1"/>
        <v>200</v>
      </c>
    </row>
    <row r="42" spans="1:35" ht="13.8" customHeight="1" x14ac:dyDescent="0.3">
      <c r="A42" s="20" t="s">
        <v>741</v>
      </c>
      <c r="B42" s="20">
        <v>19</v>
      </c>
      <c r="C42" s="20" t="s">
        <v>47</v>
      </c>
      <c r="D42" s="20">
        <v>50020001</v>
      </c>
      <c r="E42" s="20" t="s">
        <v>753</v>
      </c>
      <c r="F42" s="20" t="s">
        <v>754</v>
      </c>
      <c r="G42" s="20" t="s">
        <v>781</v>
      </c>
      <c r="H42" s="29">
        <v>4.6224999999999996</v>
      </c>
      <c r="I42" s="30">
        <v>2020</v>
      </c>
      <c r="J42" s="30">
        <v>2</v>
      </c>
      <c r="K42" s="30">
        <v>1905</v>
      </c>
      <c r="L42" s="20" t="s">
        <v>497</v>
      </c>
      <c r="M42" s="30">
        <v>1905020</v>
      </c>
      <c r="N42" s="20" t="s">
        <v>501</v>
      </c>
      <c r="O42" s="46"/>
      <c r="P42" s="20" t="s">
        <v>502</v>
      </c>
      <c r="Q42" s="20" t="s">
        <v>229</v>
      </c>
      <c r="R42" s="30">
        <v>190502000</v>
      </c>
      <c r="S42" s="20" t="s">
        <v>503</v>
      </c>
      <c r="T42" s="20" t="s">
        <v>504</v>
      </c>
      <c r="U42" s="30">
        <v>3.5</v>
      </c>
      <c r="V42" s="20" t="s">
        <v>770</v>
      </c>
      <c r="W42" s="22">
        <v>1</v>
      </c>
      <c r="X42" s="22">
        <v>4</v>
      </c>
      <c r="Y42" s="22">
        <v>1</v>
      </c>
      <c r="Z42" s="22">
        <v>1</v>
      </c>
      <c r="AA42" s="22">
        <v>1</v>
      </c>
      <c r="AB42" s="22">
        <v>1</v>
      </c>
      <c r="AC42" s="22">
        <v>1</v>
      </c>
      <c r="AD42" s="36">
        <f t="shared" si="0"/>
        <v>25</v>
      </c>
      <c r="AE42" s="22"/>
      <c r="AF42" s="22"/>
      <c r="AG42" s="22">
        <v>1</v>
      </c>
      <c r="AH42" s="22" t="s">
        <v>1072</v>
      </c>
      <c r="AI42" s="65">
        <f t="shared" si="1"/>
        <v>100</v>
      </c>
    </row>
    <row r="43" spans="1:35" ht="13.8" customHeight="1" x14ac:dyDescent="0.3">
      <c r="A43" s="20" t="s">
        <v>741</v>
      </c>
      <c r="B43" s="20">
        <v>19</v>
      </c>
      <c r="C43" s="20" t="s">
        <v>47</v>
      </c>
      <c r="D43" s="20">
        <v>50020043</v>
      </c>
      <c r="E43" s="20" t="s">
        <v>748</v>
      </c>
      <c r="F43" s="20" t="s">
        <v>749</v>
      </c>
      <c r="G43" s="20" t="s">
        <v>782</v>
      </c>
      <c r="H43" s="29">
        <v>47.413800000000002</v>
      </c>
      <c r="I43" s="30">
        <v>2021</v>
      </c>
      <c r="J43" s="30">
        <v>15</v>
      </c>
      <c r="K43" s="30">
        <v>1905</v>
      </c>
      <c r="L43" s="20" t="s">
        <v>497</v>
      </c>
      <c r="M43" s="30">
        <v>1905021</v>
      </c>
      <c r="N43" s="20" t="s">
        <v>505</v>
      </c>
      <c r="O43" s="46"/>
      <c r="P43" s="20" t="s">
        <v>506</v>
      </c>
      <c r="Q43" s="20" t="s">
        <v>229</v>
      </c>
      <c r="R43" s="30">
        <v>190502100</v>
      </c>
      <c r="S43" s="20" t="s">
        <v>507</v>
      </c>
      <c r="T43" s="20" t="s">
        <v>18</v>
      </c>
      <c r="U43" s="30">
        <v>3.7</v>
      </c>
      <c r="V43" s="20" t="s">
        <v>770</v>
      </c>
      <c r="W43" s="22">
        <v>1</v>
      </c>
      <c r="X43" s="22">
        <v>4</v>
      </c>
      <c r="Y43" s="22">
        <v>1</v>
      </c>
      <c r="Z43" s="22">
        <v>1</v>
      </c>
      <c r="AA43" s="22">
        <v>1</v>
      </c>
      <c r="AB43" s="22">
        <v>1</v>
      </c>
      <c r="AC43" s="22">
        <v>1</v>
      </c>
      <c r="AD43" s="36">
        <f>+AC43/X43*100</f>
        <v>25</v>
      </c>
      <c r="AE43" s="22"/>
      <c r="AF43" s="22"/>
      <c r="AG43" s="22">
        <v>1</v>
      </c>
      <c r="AH43" s="22" t="s">
        <v>1074</v>
      </c>
      <c r="AI43" s="65">
        <f t="shared" si="1"/>
        <v>100</v>
      </c>
    </row>
    <row r="44" spans="1:35" ht="13.8" customHeight="1" x14ac:dyDescent="0.3">
      <c r="A44" s="20" t="s">
        <v>741</v>
      </c>
      <c r="B44" s="20">
        <v>19</v>
      </c>
      <c r="C44" s="20" t="s">
        <v>47</v>
      </c>
      <c r="D44" s="20">
        <v>50020030</v>
      </c>
      <c r="E44" s="20" t="s">
        <v>750</v>
      </c>
      <c r="F44" s="20" t="s">
        <v>751</v>
      </c>
      <c r="G44" s="20" t="s">
        <v>782</v>
      </c>
      <c r="H44" s="29">
        <v>0</v>
      </c>
      <c r="I44" s="30">
        <v>2020</v>
      </c>
      <c r="J44" s="30">
        <v>0</v>
      </c>
      <c r="K44" s="30">
        <v>1905</v>
      </c>
      <c r="L44" s="20" t="s">
        <v>497</v>
      </c>
      <c r="M44" s="30">
        <v>1905022</v>
      </c>
      <c r="N44" s="20" t="s">
        <v>508</v>
      </c>
      <c r="O44" s="46"/>
      <c r="P44" s="20" t="s">
        <v>509</v>
      </c>
      <c r="Q44" s="20" t="s">
        <v>229</v>
      </c>
      <c r="R44" s="30">
        <v>190502200</v>
      </c>
      <c r="S44" s="20" t="s">
        <v>510</v>
      </c>
      <c r="T44" s="20" t="s">
        <v>18</v>
      </c>
      <c r="U44" s="30">
        <v>3.4</v>
      </c>
      <c r="V44" s="20" t="s">
        <v>770</v>
      </c>
      <c r="W44" s="22">
        <v>1</v>
      </c>
      <c r="X44" s="22">
        <v>4</v>
      </c>
      <c r="Y44" s="22">
        <v>1</v>
      </c>
      <c r="Z44" s="22">
        <v>1</v>
      </c>
      <c r="AA44" s="22">
        <v>1</v>
      </c>
      <c r="AB44" s="22">
        <v>1</v>
      </c>
      <c r="AC44" s="22">
        <v>1</v>
      </c>
      <c r="AD44" s="36">
        <f t="shared" si="0"/>
        <v>25</v>
      </c>
      <c r="AE44" s="22"/>
      <c r="AF44" s="22"/>
      <c r="AG44" s="22">
        <v>2</v>
      </c>
      <c r="AH44" s="22" t="s">
        <v>1073</v>
      </c>
      <c r="AI44" s="65">
        <f t="shared" si="1"/>
        <v>200</v>
      </c>
    </row>
    <row r="45" spans="1:35" ht="13.8" customHeight="1" x14ac:dyDescent="0.3">
      <c r="A45" s="20" t="s">
        <v>741</v>
      </c>
      <c r="B45" s="20">
        <v>19</v>
      </c>
      <c r="C45" s="20" t="s">
        <v>47</v>
      </c>
      <c r="D45" s="20">
        <v>50020001</v>
      </c>
      <c r="E45" s="20" t="s">
        <v>753</v>
      </c>
      <c r="F45" s="20" t="s">
        <v>754</v>
      </c>
      <c r="G45" s="20" t="s">
        <v>781</v>
      </c>
      <c r="H45" s="29">
        <v>4.6224999999999996</v>
      </c>
      <c r="I45" s="30">
        <v>2020</v>
      </c>
      <c r="J45" s="30">
        <v>2</v>
      </c>
      <c r="K45" s="30">
        <v>1905</v>
      </c>
      <c r="L45" s="20" t="s">
        <v>497</v>
      </c>
      <c r="M45" s="30">
        <v>1905023</v>
      </c>
      <c r="N45" s="20" t="s">
        <v>511</v>
      </c>
      <c r="O45" s="46"/>
      <c r="P45" s="20" t="s">
        <v>512</v>
      </c>
      <c r="Q45" s="20" t="s">
        <v>229</v>
      </c>
      <c r="R45" s="30">
        <v>190502300</v>
      </c>
      <c r="S45" s="20" t="s">
        <v>513</v>
      </c>
      <c r="T45" s="20" t="s">
        <v>18</v>
      </c>
      <c r="U45" s="30">
        <v>3.4</v>
      </c>
      <c r="V45" s="20" t="s">
        <v>770</v>
      </c>
      <c r="W45" s="22">
        <v>1</v>
      </c>
      <c r="X45" s="22">
        <v>4</v>
      </c>
      <c r="Y45" s="22">
        <v>1</v>
      </c>
      <c r="Z45" s="22">
        <v>1</v>
      </c>
      <c r="AA45" s="22">
        <v>1</v>
      </c>
      <c r="AB45" s="22">
        <v>1</v>
      </c>
      <c r="AC45" s="22">
        <v>1</v>
      </c>
      <c r="AD45" s="36">
        <f t="shared" si="0"/>
        <v>25</v>
      </c>
      <c r="AE45" s="22"/>
      <c r="AF45" s="22"/>
      <c r="AG45" s="22">
        <v>1</v>
      </c>
      <c r="AH45" s="22" t="s">
        <v>1074</v>
      </c>
      <c r="AI45" s="65">
        <f t="shared" si="1"/>
        <v>100</v>
      </c>
    </row>
    <row r="46" spans="1:35" ht="13.8" customHeight="1" x14ac:dyDescent="0.3">
      <c r="A46" s="20" t="s">
        <v>741</v>
      </c>
      <c r="B46" s="20">
        <v>19</v>
      </c>
      <c r="C46" s="20" t="s">
        <v>47</v>
      </c>
      <c r="D46" s="20">
        <v>50020001</v>
      </c>
      <c r="E46" s="20" t="s">
        <v>753</v>
      </c>
      <c r="F46" s="20" t="s">
        <v>754</v>
      </c>
      <c r="G46" s="20" t="s">
        <v>781</v>
      </c>
      <c r="H46" s="29">
        <v>4.6224999999999996</v>
      </c>
      <c r="I46" s="30">
        <v>2020</v>
      </c>
      <c r="J46" s="30">
        <v>2</v>
      </c>
      <c r="K46" s="30">
        <v>1905</v>
      </c>
      <c r="L46" s="20" t="s">
        <v>497</v>
      </c>
      <c r="M46" s="30">
        <v>1905024</v>
      </c>
      <c r="N46" s="20" t="s">
        <v>514</v>
      </c>
      <c r="O46" s="46"/>
      <c r="P46" s="20" t="s">
        <v>515</v>
      </c>
      <c r="Q46" s="20" t="s">
        <v>229</v>
      </c>
      <c r="R46" s="30">
        <v>190502400</v>
      </c>
      <c r="S46" s="20" t="s">
        <v>805</v>
      </c>
      <c r="T46" s="20" t="s">
        <v>18</v>
      </c>
      <c r="U46" s="30">
        <v>3.3</v>
      </c>
      <c r="V46" s="20" t="s">
        <v>770</v>
      </c>
      <c r="W46" s="22">
        <v>1</v>
      </c>
      <c r="X46" s="22">
        <v>4</v>
      </c>
      <c r="Y46" s="22">
        <v>1</v>
      </c>
      <c r="Z46" s="22">
        <v>1</v>
      </c>
      <c r="AA46" s="22">
        <v>1</v>
      </c>
      <c r="AB46" s="22">
        <v>1</v>
      </c>
      <c r="AC46" s="22">
        <v>1</v>
      </c>
      <c r="AD46" s="36">
        <f t="shared" si="0"/>
        <v>25</v>
      </c>
      <c r="AE46" s="22"/>
      <c r="AF46" s="22"/>
      <c r="AG46" s="22">
        <v>1</v>
      </c>
      <c r="AH46" s="22" t="s">
        <v>1074</v>
      </c>
      <c r="AI46" s="65">
        <f t="shared" si="1"/>
        <v>100</v>
      </c>
    </row>
    <row r="47" spans="1:35" ht="13.8" customHeight="1" x14ac:dyDescent="0.3">
      <c r="A47" s="20" t="s">
        <v>741</v>
      </c>
      <c r="B47" s="20">
        <v>19</v>
      </c>
      <c r="C47" s="20" t="s">
        <v>47</v>
      </c>
      <c r="D47" s="20">
        <v>50020001</v>
      </c>
      <c r="E47" s="20" t="s">
        <v>753</v>
      </c>
      <c r="F47" s="20" t="s">
        <v>754</v>
      </c>
      <c r="G47" s="20" t="s">
        <v>781</v>
      </c>
      <c r="H47" s="29">
        <v>4.6224999999999996</v>
      </c>
      <c r="I47" s="30">
        <v>2020</v>
      </c>
      <c r="J47" s="30">
        <v>2</v>
      </c>
      <c r="K47" s="30">
        <v>1905</v>
      </c>
      <c r="L47" s="20" t="s">
        <v>497</v>
      </c>
      <c r="M47" s="30">
        <v>1905025</v>
      </c>
      <c r="N47" s="20" t="s">
        <v>516</v>
      </c>
      <c r="O47" s="46" t="s">
        <v>821</v>
      </c>
      <c r="P47" s="20" t="s">
        <v>517</v>
      </c>
      <c r="Q47" s="20" t="s">
        <v>229</v>
      </c>
      <c r="R47" s="30">
        <v>190502500</v>
      </c>
      <c r="S47" s="20" t="s">
        <v>518</v>
      </c>
      <c r="T47" s="20" t="s">
        <v>18</v>
      </c>
      <c r="U47" s="30">
        <v>8.8000000000000007</v>
      </c>
      <c r="V47" s="20" t="s">
        <v>770</v>
      </c>
      <c r="W47" s="22">
        <v>1</v>
      </c>
      <c r="X47" s="22">
        <v>4</v>
      </c>
      <c r="Y47" s="22">
        <v>1</v>
      </c>
      <c r="Z47" s="22">
        <v>1</v>
      </c>
      <c r="AA47" s="22">
        <v>1</v>
      </c>
      <c r="AB47" s="22">
        <v>1</v>
      </c>
      <c r="AC47" s="22">
        <v>1</v>
      </c>
      <c r="AD47" s="36">
        <f t="shared" si="0"/>
        <v>25</v>
      </c>
      <c r="AE47" s="22"/>
      <c r="AF47" s="22"/>
      <c r="AG47" s="22">
        <v>1</v>
      </c>
      <c r="AH47" s="22" t="s">
        <v>1074</v>
      </c>
      <c r="AI47" s="65">
        <f t="shared" si="1"/>
        <v>100</v>
      </c>
    </row>
    <row r="48" spans="1:35" ht="13.8" customHeight="1" x14ac:dyDescent="0.3">
      <c r="A48" s="20" t="s">
        <v>741</v>
      </c>
      <c r="B48" s="20">
        <v>19</v>
      </c>
      <c r="C48" s="20" t="s">
        <v>47</v>
      </c>
      <c r="D48" s="20">
        <v>50020001</v>
      </c>
      <c r="E48" s="20" t="s">
        <v>753</v>
      </c>
      <c r="F48" s="20" t="s">
        <v>754</v>
      </c>
      <c r="G48" s="20" t="s">
        <v>781</v>
      </c>
      <c r="H48" s="29">
        <v>4.6224999999999996</v>
      </c>
      <c r="I48" s="30">
        <v>2020</v>
      </c>
      <c r="J48" s="30">
        <v>2</v>
      </c>
      <c r="K48" s="30">
        <v>1905</v>
      </c>
      <c r="L48" s="20" t="s">
        <v>497</v>
      </c>
      <c r="M48" s="30">
        <v>1905027</v>
      </c>
      <c r="N48" s="20" t="s">
        <v>519</v>
      </c>
      <c r="O48" s="46"/>
      <c r="P48" s="20" t="s">
        <v>520</v>
      </c>
      <c r="Q48" s="20" t="s">
        <v>229</v>
      </c>
      <c r="R48" s="30">
        <v>190502700</v>
      </c>
      <c r="S48" s="20" t="s">
        <v>521</v>
      </c>
      <c r="T48" s="20" t="s">
        <v>18</v>
      </c>
      <c r="U48" s="30">
        <v>3.8</v>
      </c>
      <c r="V48" s="20" t="s">
        <v>770</v>
      </c>
      <c r="W48" s="22">
        <v>1</v>
      </c>
      <c r="X48" s="22">
        <v>4</v>
      </c>
      <c r="Y48" s="22">
        <v>1</v>
      </c>
      <c r="Z48" s="22">
        <v>1</v>
      </c>
      <c r="AA48" s="22">
        <v>1</v>
      </c>
      <c r="AB48" s="22">
        <v>1</v>
      </c>
      <c r="AC48" s="22">
        <v>1</v>
      </c>
      <c r="AD48" s="36">
        <f t="shared" si="0"/>
        <v>25</v>
      </c>
      <c r="AE48" s="22"/>
      <c r="AF48" s="22"/>
      <c r="AG48" s="22">
        <v>1</v>
      </c>
      <c r="AH48" s="22" t="s">
        <v>1074</v>
      </c>
      <c r="AI48" s="65">
        <f t="shared" si="1"/>
        <v>100</v>
      </c>
    </row>
    <row r="49" spans="1:35" ht="13.8" customHeight="1" x14ac:dyDescent="0.3">
      <c r="A49" s="20" t="s">
        <v>741</v>
      </c>
      <c r="B49" s="20">
        <v>19</v>
      </c>
      <c r="C49" s="20" t="s">
        <v>47</v>
      </c>
      <c r="D49" s="20">
        <v>50020001</v>
      </c>
      <c r="E49" s="20" t="s">
        <v>753</v>
      </c>
      <c r="F49" s="20" t="s">
        <v>754</v>
      </c>
      <c r="G49" s="20" t="s">
        <v>781</v>
      </c>
      <c r="H49" s="29">
        <v>4.6224999999999996</v>
      </c>
      <c r="I49" s="30">
        <v>2020</v>
      </c>
      <c r="J49" s="30">
        <v>2</v>
      </c>
      <c r="K49" s="30">
        <v>1906</v>
      </c>
      <c r="L49" s="20" t="s">
        <v>479</v>
      </c>
      <c r="M49" s="30">
        <v>1906033</v>
      </c>
      <c r="N49" s="20" t="s">
        <v>522</v>
      </c>
      <c r="O49" s="46"/>
      <c r="P49" s="20" t="s">
        <v>523</v>
      </c>
      <c r="Q49" s="20" t="s">
        <v>524</v>
      </c>
      <c r="R49" s="30">
        <v>190603300</v>
      </c>
      <c r="S49" s="20" t="s">
        <v>522</v>
      </c>
      <c r="T49" s="20" t="s">
        <v>18</v>
      </c>
      <c r="U49" s="30">
        <v>3.8</v>
      </c>
      <c r="V49" s="20" t="s">
        <v>770</v>
      </c>
      <c r="W49" s="22">
        <v>0</v>
      </c>
      <c r="X49" s="22">
        <v>1</v>
      </c>
      <c r="Y49" s="22">
        <v>0</v>
      </c>
      <c r="Z49" s="22">
        <v>0</v>
      </c>
      <c r="AA49" s="22">
        <v>0</v>
      </c>
      <c r="AB49" s="22">
        <v>1</v>
      </c>
      <c r="AC49" s="22"/>
      <c r="AD49" s="22">
        <f t="shared" si="0"/>
        <v>0</v>
      </c>
      <c r="AE49" s="22"/>
      <c r="AF49" s="22"/>
      <c r="AG49" s="22" t="s">
        <v>1048</v>
      </c>
      <c r="AH49" s="22"/>
      <c r="AI49" s="65" t="e">
        <f t="shared" si="1"/>
        <v>#VALUE!</v>
      </c>
    </row>
    <row r="50" spans="1:35" ht="13.8" customHeight="1" x14ac:dyDescent="0.3">
      <c r="A50" s="20" t="s">
        <v>741</v>
      </c>
      <c r="B50" s="20">
        <v>19</v>
      </c>
      <c r="C50" s="20" t="s">
        <v>47</v>
      </c>
      <c r="D50" s="20">
        <v>50020001</v>
      </c>
      <c r="E50" s="20" t="s">
        <v>753</v>
      </c>
      <c r="F50" s="20" t="s">
        <v>754</v>
      </c>
      <c r="G50" s="20" t="s">
        <v>781</v>
      </c>
      <c r="H50" s="29">
        <v>4.6224999999999996</v>
      </c>
      <c r="I50" s="30">
        <v>2020</v>
      </c>
      <c r="J50" s="30">
        <v>2</v>
      </c>
      <c r="K50" s="30">
        <v>1905</v>
      </c>
      <c r="L50" s="20" t="s">
        <v>497</v>
      </c>
      <c r="M50" s="30">
        <v>1905031</v>
      </c>
      <c r="N50" s="20" t="s">
        <v>525</v>
      </c>
      <c r="O50" s="46"/>
      <c r="P50" s="20" t="s">
        <v>526</v>
      </c>
      <c r="Q50" s="20" t="s">
        <v>229</v>
      </c>
      <c r="R50" s="30">
        <v>190503100</v>
      </c>
      <c r="S50" s="20" t="s">
        <v>527</v>
      </c>
      <c r="T50" s="20" t="s">
        <v>18</v>
      </c>
      <c r="U50" s="30">
        <v>3.4</v>
      </c>
      <c r="V50" s="20" t="s">
        <v>770</v>
      </c>
      <c r="W50" s="22">
        <v>1</v>
      </c>
      <c r="X50" s="22">
        <v>4</v>
      </c>
      <c r="Y50" s="22">
        <v>1</v>
      </c>
      <c r="Z50" s="22">
        <v>1</v>
      </c>
      <c r="AA50" s="22">
        <v>1</v>
      </c>
      <c r="AB50" s="22">
        <v>1</v>
      </c>
      <c r="AC50" s="22">
        <v>1</v>
      </c>
      <c r="AD50" s="36">
        <f t="shared" si="0"/>
        <v>25</v>
      </c>
      <c r="AE50" s="22"/>
      <c r="AF50" s="22"/>
      <c r="AG50" s="22">
        <v>1</v>
      </c>
      <c r="AH50" s="22" t="s">
        <v>1074</v>
      </c>
      <c r="AI50" s="65">
        <f t="shared" si="1"/>
        <v>100</v>
      </c>
    </row>
    <row r="51" spans="1:35" ht="13.8" customHeight="1" x14ac:dyDescent="0.3">
      <c r="A51" s="20" t="s">
        <v>741</v>
      </c>
      <c r="B51" s="20">
        <v>41</v>
      </c>
      <c r="C51" s="20" t="s">
        <v>12</v>
      </c>
      <c r="D51" s="20">
        <v>260020010</v>
      </c>
      <c r="E51" s="20" t="s">
        <v>711</v>
      </c>
      <c r="F51" s="20" t="s">
        <v>797</v>
      </c>
      <c r="G51" s="20" t="s">
        <v>804</v>
      </c>
      <c r="H51" s="29" t="s">
        <v>803</v>
      </c>
      <c r="I51" s="30" t="s">
        <v>803</v>
      </c>
      <c r="J51" s="30">
        <v>20</v>
      </c>
      <c r="K51" s="30">
        <v>4101</v>
      </c>
      <c r="L51" s="20" t="s">
        <v>28</v>
      </c>
      <c r="M51" s="30">
        <v>4101091</v>
      </c>
      <c r="N51" s="20" t="s">
        <v>541</v>
      </c>
      <c r="O51" s="46"/>
      <c r="P51" s="20" t="s">
        <v>542</v>
      </c>
      <c r="Q51" s="20" t="s">
        <v>33</v>
      </c>
      <c r="R51" s="30">
        <v>410109100</v>
      </c>
      <c r="S51" s="20" t="s">
        <v>543</v>
      </c>
      <c r="T51" s="20" t="s">
        <v>18</v>
      </c>
      <c r="U51" s="30">
        <v>16.3</v>
      </c>
      <c r="V51" s="20" t="s">
        <v>19</v>
      </c>
      <c r="W51" s="22" t="s">
        <v>636</v>
      </c>
      <c r="X51" s="22">
        <v>20</v>
      </c>
      <c r="Y51" s="22">
        <v>5</v>
      </c>
      <c r="Z51" s="22">
        <v>5</v>
      </c>
      <c r="AA51" s="22">
        <v>5</v>
      </c>
      <c r="AB51" s="22">
        <v>5</v>
      </c>
      <c r="AC51" s="22">
        <v>5</v>
      </c>
      <c r="AD51" s="36">
        <f t="shared" si="0"/>
        <v>25</v>
      </c>
      <c r="AE51" s="22" t="s">
        <v>952</v>
      </c>
      <c r="AF51" s="46" t="s">
        <v>953</v>
      </c>
      <c r="AG51" s="57">
        <v>0</v>
      </c>
      <c r="AH51" s="53" t="s">
        <v>1043</v>
      </c>
      <c r="AI51" s="65">
        <f t="shared" si="1"/>
        <v>0</v>
      </c>
    </row>
    <row r="52" spans="1:35" ht="13.8" customHeight="1" x14ac:dyDescent="0.3">
      <c r="A52" s="20" t="s">
        <v>741</v>
      </c>
      <c r="B52" s="20">
        <v>41</v>
      </c>
      <c r="C52" s="20" t="s">
        <v>12</v>
      </c>
      <c r="D52" s="20">
        <v>260020010</v>
      </c>
      <c r="E52" s="20" t="s">
        <v>711</v>
      </c>
      <c r="F52" s="20" t="s">
        <v>797</v>
      </c>
      <c r="G52" s="20" t="s">
        <v>804</v>
      </c>
      <c r="H52" s="29" t="s">
        <v>803</v>
      </c>
      <c r="I52" s="30" t="s">
        <v>803</v>
      </c>
      <c r="J52" s="30">
        <v>20</v>
      </c>
      <c r="K52" s="30">
        <v>4101</v>
      </c>
      <c r="L52" s="20" t="s">
        <v>28</v>
      </c>
      <c r="M52" s="30">
        <v>4101101</v>
      </c>
      <c r="N52" s="20" t="s">
        <v>544</v>
      </c>
      <c r="O52" s="46"/>
      <c r="P52" s="20" t="s">
        <v>545</v>
      </c>
      <c r="Q52" s="20" t="s">
        <v>546</v>
      </c>
      <c r="R52" s="30">
        <v>410110100</v>
      </c>
      <c r="S52" s="20" t="s">
        <v>547</v>
      </c>
      <c r="T52" s="20" t="s">
        <v>18</v>
      </c>
      <c r="U52" s="30">
        <v>16.3</v>
      </c>
      <c r="V52" s="20" t="s">
        <v>770</v>
      </c>
      <c r="W52" s="22">
        <v>3</v>
      </c>
      <c r="X52" s="22">
        <v>16</v>
      </c>
      <c r="Y52" s="22">
        <v>4</v>
      </c>
      <c r="Z52" s="22">
        <v>4</v>
      </c>
      <c r="AA52" s="22">
        <v>4</v>
      </c>
      <c r="AB52" s="22">
        <v>4</v>
      </c>
      <c r="AC52" s="22">
        <v>20</v>
      </c>
      <c r="AD52" s="36">
        <f t="shared" si="0"/>
        <v>125</v>
      </c>
      <c r="AE52" s="22" t="s">
        <v>971</v>
      </c>
      <c r="AF52" s="22" t="s">
        <v>984</v>
      </c>
      <c r="AG52" s="22">
        <v>0</v>
      </c>
      <c r="AH52" s="22"/>
      <c r="AI52" s="65">
        <f t="shared" si="1"/>
        <v>0</v>
      </c>
    </row>
    <row r="53" spans="1:35" ht="13.8" customHeight="1" x14ac:dyDescent="0.3">
      <c r="A53" s="20" t="s">
        <v>741</v>
      </c>
      <c r="B53" s="20">
        <v>41</v>
      </c>
      <c r="C53" s="20" t="s">
        <v>12</v>
      </c>
      <c r="D53" s="20">
        <v>260020004</v>
      </c>
      <c r="E53" s="20" t="s">
        <v>710</v>
      </c>
      <c r="F53" s="20" t="s">
        <v>18</v>
      </c>
      <c r="G53" s="20" t="s">
        <v>775</v>
      </c>
      <c r="H53" s="29">
        <v>0</v>
      </c>
      <c r="I53" s="30">
        <v>2022</v>
      </c>
      <c r="J53" s="30">
        <v>4</v>
      </c>
      <c r="K53" s="30">
        <v>4101</v>
      </c>
      <c r="L53" s="20" t="s">
        <v>28</v>
      </c>
      <c r="M53" s="30">
        <v>4101103</v>
      </c>
      <c r="N53" s="20" t="s">
        <v>95</v>
      </c>
      <c r="O53" s="46"/>
      <c r="P53" s="20" t="s">
        <v>548</v>
      </c>
      <c r="Q53" s="20" t="s">
        <v>26</v>
      </c>
      <c r="R53" s="30">
        <v>410110300</v>
      </c>
      <c r="S53" s="20" t="s">
        <v>338</v>
      </c>
      <c r="T53" s="20" t="s">
        <v>18</v>
      </c>
      <c r="U53" s="30">
        <v>16.600000000000001</v>
      </c>
      <c r="V53" s="20" t="s">
        <v>19</v>
      </c>
      <c r="W53" s="22">
        <v>4</v>
      </c>
      <c r="X53" s="22">
        <v>10</v>
      </c>
      <c r="Y53" s="22">
        <v>4</v>
      </c>
      <c r="Z53" s="22">
        <v>2</v>
      </c>
      <c r="AA53" s="22">
        <v>2</v>
      </c>
      <c r="AB53" s="22">
        <v>2</v>
      </c>
      <c r="AC53" s="22">
        <v>2</v>
      </c>
      <c r="AD53" s="36">
        <f t="shared" si="0"/>
        <v>20</v>
      </c>
      <c r="AE53" s="22" t="s">
        <v>954</v>
      </c>
      <c r="AF53" s="22" t="s">
        <v>954</v>
      </c>
      <c r="AG53" s="54">
        <v>1</v>
      </c>
      <c r="AH53" s="55" t="s">
        <v>1025</v>
      </c>
      <c r="AI53" s="65">
        <f t="shared" si="1"/>
        <v>50</v>
      </c>
    </row>
    <row r="54" spans="1:35" ht="13.8" customHeight="1" x14ac:dyDescent="0.3">
      <c r="A54" s="20" t="s">
        <v>741</v>
      </c>
      <c r="B54" s="20">
        <v>33</v>
      </c>
      <c r="C54" s="20" t="s">
        <v>83</v>
      </c>
      <c r="D54" s="20">
        <v>270030002</v>
      </c>
      <c r="E54" s="20" t="s">
        <v>760</v>
      </c>
      <c r="F54" s="20" t="s">
        <v>428</v>
      </c>
      <c r="G54" s="20" t="s">
        <v>798</v>
      </c>
      <c r="H54" s="29" t="s">
        <v>803</v>
      </c>
      <c r="I54" s="30" t="s">
        <v>803</v>
      </c>
      <c r="J54" s="30">
        <v>80</v>
      </c>
      <c r="K54" s="30">
        <v>3301</v>
      </c>
      <c r="L54" s="20" t="s">
        <v>84</v>
      </c>
      <c r="M54" s="30">
        <v>3301129</v>
      </c>
      <c r="N54" s="20" t="s">
        <v>95</v>
      </c>
      <c r="O54" s="46" t="s">
        <v>822</v>
      </c>
      <c r="P54" s="20" t="s">
        <v>548</v>
      </c>
      <c r="Q54" s="20" t="s">
        <v>26</v>
      </c>
      <c r="R54" s="30">
        <v>330112900</v>
      </c>
      <c r="S54" s="20" t="s">
        <v>552</v>
      </c>
      <c r="T54" s="20" t="s">
        <v>18</v>
      </c>
      <c r="U54" s="30">
        <v>11.4</v>
      </c>
      <c r="V54" s="20" t="s">
        <v>770</v>
      </c>
      <c r="W54" s="22">
        <v>1</v>
      </c>
      <c r="X54" s="22">
        <v>1</v>
      </c>
      <c r="Y54" s="22">
        <v>0</v>
      </c>
      <c r="Z54" s="22">
        <v>0</v>
      </c>
      <c r="AA54" s="22">
        <v>1</v>
      </c>
      <c r="AB54" s="22">
        <v>0</v>
      </c>
      <c r="AC54" s="22"/>
      <c r="AD54" s="22">
        <f t="shared" si="0"/>
        <v>0</v>
      </c>
      <c r="AE54" s="22"/>
      <c r="AF54" s="22"/>
      <c r="AG54" s="22" t="s">
        <v>1048</v>
      </c>
      <c r="AH54" s="22"/>
      <c r="AI54" s="65" t="e">
        <f t="shared" si="1"/>
        <v>#VALUE!</v>
      </c>
    </row>
    <row r="55" spans="1:35" ht="13.8" customHeight="1" x14ac:dyDescent="0.3">
      <c r="A55" s="20" t="s">
        <v>741</v>
      </c>
      <c r="B55" s="20">
        <v>19</v>
      </c>
      <c r="C55" s="20" t="s">
        <v>47</v>
      </c>
      <c r="D55" s="20">
        <v>50020001</v>
      </c>
      <c r="E55" s="20" t="s">
        <v>753</v>
      </c>
      <c r="F55" s="20" t="s">
        <v>754</v>
      </c>
      <c r="G55" s="20" t="s">
        <v>781</v>
      </c>
      <c r="H55" s="29">
        <v>4.6224999999999996</v>
      </c>
      <c r="I55" s="30">
        <v>2020</v>
      </c>
      <c r="J55" s="30">
        <v>2</v>
      </c>
      <c r="K55" s="30">
        <v>1905</v>
      </c>
      <c r="L55" s="20" t="s">
        <v>497</v>
      </c>
      <c r="M55" s="30">
        <v>1905049</v>
      </c>
      <c r="N55" s="20" t="s">
        <v>553</v>
      </c>
      <c r="O55" s="46" t="s">
        <v>823</v>
      </c>
      <c r="P55" s="20" t="s">
        <v>554</v>
      </c>
      <c r="Q55" s="20" t="s">
        <v>555</v>
      </c>
      <c r="R55" s="30">
        <v>190504900</v>
      </c>
      <c r="S55" s="20" t="s">
        <v>556</v>
      </c>
      <c r="T55" s="20" t="s">
        <v>18</v>
      </c>
      <c r="U55" s="30">
        <v>3.8</v>
      </c>
      <c r="V55" s="20" t="s">
        <v>770</v>
      </c>
      <c r="W55" s="22">
        <v>1</v>
      </c>
      <c r="X55" s="22">
        <v>4</v>
      </c>
      <c r="Y55" s="22">
        <v>1</v>
      </c>
      <c r="Z55" s="22">
        <v>1</v>
      </c>
      <c r="AA55" s="22">
        <v>1</v>
      </c>
      <c r="AB55" s="22">
        <v>1</v>
      </c>
      <c r="AC55" s="22">
        <v>1</v>
      </c>
      <c r="AD55" s="36">
        <f t="shared" si="0"/>
        <v>25</v>
      </c>
      <c r="AE55" s="22"/>
      <c r="AF55" s="22"/>
      <c r="AG55" s="22">
        <v>1</v>
      </c>
      <c r="AH55" s="22" t="s">
        <v>1075</v>
      </c>
      <c r="AI55" s="65">
        <f t="shared" si="1"/>
        <v>100</v>
      </c>
    </row>
    <row r="56" spans="1:35" ht="13.8" customHeight="1" x14ac:dyDescent="0.3">
      <c r="A56" s="20" t="s">
        <v>741</v>
      </c>
      <c r="B56" s="20">
        <v>19</v>
      </c>
      <c r="C56" s="20" t="s">
        <v>47</v>
      </c>
      <c r="D56" s="20">
        <v>50010004</v>
      </c>
      <c r="E56" s="20" t="s">
        <v>708</v>
      </c>
      <c r="F56" s="20" t="s">
        <v>679</v>
      </c>
      <c r="G56" s="20" t="s">
        <v>781</v>
      </c>
      <c r="H56" s="29">
        <v>99.391400000000004</v>
      </c>
      <c r="I56" s="30">
        <v>2021</v>
      </c>
      <c r="J56" s="30">
        <v>100</v>
      </c>
      <c r="K56" s="30">
        <v>1906</v>
      </c>
      <c r="L56" s="20" t="s">
        <v>479</v>
      </c>
      <c r="M56" s="30">
        <v>1906035</v>
      </c>
      <c r="N56" s="20" t="s">
        <v>557</v>
      </c>
      <c r="O56" s="46" t="s">
        <v>823</v>
      </c>
      <c r="P56" s="20" t="s">
        <v>558</v>
      </c>
      <c r="Q56" s="20" t="s">
        <v>559</v>
      </c>
      <c r="R56" s="30">
        <v>190603500</v>
      </c>
      <c r="S56" s="20" t="s">
        <v>560</v>
      </c>
      <c r="T56" s="20" t="s">
        <v>18</v>
      </c>
      <c r="U56" s="30">
        <v>3.8</v>
      </c>
      <c r="V56" s="20" t="s">
        <v>770</v>
      </c>
      <c r="W56" s="22">
        <v>1</v>
      </c>
      <c r="X56" s="22">
        <v>4</v>
      </c>
      <c r="Y56" s="22">
        <v>1</v>
      </c>
      <c r="Z56" s="22">
        <v>1</v>
      </c>
      <c r="AA56" s="22">
        <v>1</v>
      </c>
      <c r="AB56" s="22">
        <v>1</v>
      </c>
      <c r="AC56" s="22">
        <v>1</v>
      </c>
      <c r="AD56" s="36">
        <f t="shared" si="0"/>
        <v>25</v>
      </c>
      <c r="AE56" s="22" t="s">
        <v>924</v>
      </c>
      <c r="AF56" s="22" t="s">
        <v>923</v>
      </c>
      <c r="AG56" s="22">
        <v>1</v>
      </c>
      <c r="AH56" s="22" t="s">
        <v>1076</v>
      </c>
      <c r="AI56" s="65">
        <f t="shared" si="1"/>
        <v>100</v>
      </c>
    </row>
    <row r="57" spans="1:35" ht="13.8" customHeight="1" x14ac:dyDescent="0.3">
      <c r="A57" s="20" t="s">
        <v>741</v>
      </c>
      <c r="B57" s="20">
        <v>19</v>
      </c>
      <c r="C57" s="20" t="s">
        <v>47</v>
      </c>
      <c r="D57" s="20">
        <v>50010004</v>
      </c>
      <c r="E57" s="20" t="s">
        <v>708</v>
      </c>
      <c r="F57" s="20" t="s">
        <v>679</v>
      </c>
      <c r="G57" s="20" t="s">
        <v>781</v>
      </c>
      <c r="H57" s="29">
        <v>99.391400000000004</v>
      </c>
      <c r="I57" s="30">
        <v>2021</v>
      </c>
      <c r="J57" s="30">
        <v>100</v>
      </c>
      <c r="K57" s="30">
        <v>1906</v>
      </c>
      <c r="L57" s="20" t="s">
        <v>479</v>
      </c>
      <c r="M57" s="30">
        <v>1906042</v>
      </c>
      <c r="N57" s="20" t="s">
        <v>561</v>
      </c>
      <c r="O57" s="46"/>
      <c r="P57" s="20" t="s">
        <v>562</v>
      </c>
      <c r="Q57" s="20" t="s">
        <v>442</v>
      </c>
      <c r="R57" s="30">
        <v>190604200</v>
      </c>
      <c r="S57" s="20" t="s">
        <v>563</v>
      </c>
      <c r="T57" s="20" t="s">
        <v>18</v>
      </c>
      <c r="U57" s="30" t="s">
        <v>594</v>
      </c>
      <c r="V57" s="20" t="s">
        <v>770</v>
      </c>
      <c r="W57" s="22">
        <v>1</v>
      </c>
      <c r="X57" s="22">
        <v>4</v>
      </c>
      <c r="Y57" s="22">
        <v>1</v>
      </c>
      <c r="Z57" s="22">
        <v>1</v>
      </c>
      <c r="AA57" s="22">
        <v>1</v>
      </c>
      <c r="AB57" s="22">
        <v>1</v>
      </c>
      <c r="AC57" s="22">
        <v>1</v>
      </c>
      <c r="AD57" s="36">
        <f t="shared" si="0"/>
        <v>25</v>
      </c>
      <c r="AE57" s="22"/>
      <c r="AF57" s="22"/>
      <c r="AG57" s="22">
        <v>1</v>
      </c>
      <c r="AH57" s="22" t="s">
        <v>1077</v>
      </c>
      <c r="AI57" s="65">
        <f t="shared" si="1"/>
        <v>100</v>
      </c>
    </row>
    <row r="58" spans="1:35" ht="13.8" customHeight="1" x14ac:dyDescent="0.3">
      <c r="A58" s="20" t="s">
        <v>741</v>
      </c>
      <c r="B58" s="20">
        <v>19</v>
      </c>
      <c r="C58" s="20" t="s">
        <v>47</v>
      </c>
      <c r="D58" s="20">
        <v>50010004</v>
      </c>
      <c r="E58" s="20" t="s">
        <v>708</v>
      </c>
      <c r="F58" s="20" t="s">
        <v>679</v>
      </c>
      <c r="G58" s="20" t="s">
        <v>781</v>
      </c>
      <c r="H58" s="29">
        <v>99.391400000000004</v>
      </c>
      <c r="I58" s="30">
        <v>2021</v>
      </c>
      <c r="J58" s="30">
        <v>100</v>
      </c>
      <c r="K58" s="30">
        <v>1906</v>
      </c>
      <c r="L58" s="20" t="s">
        <v>479</v>
      </c>
      <c r="M58" s="30">
        <v>1906044</v>
      </c>
      <c r="N58" s="20" t="s">
        <v>564</v>
      </c>
      <c r="O58" s="46"/>
      <c r="P58" s="20" t="s">
        <v>565</v>
      </c>
      <c r="Q58" s="20" t="s">
        <v>40</v>
      </c>
      <c r="R58" s="30">
        <v>190604400</v>
      </c>
      <c r="S58" s="20" t="s">
        <v>566</v>
      </c>
      <c r="T58" s="20" t="s">
        <v>18</v>
      </c>
      <c r="U58" s="30" t="s">
        <v>594</v>
      </c>
      <c r="V58" s="20" t="s">
        <v>770</v>
      </c>
      <c r="W58" s="22">
        <v>2391</v>
      </c>
      <c r="X58" s="22">
        <v>2419</v>
      </c>
      <c r="Y58" s="22">
        <v>2419</v>
      </c>
      <c r="Z58" s="22">
        <v>2419</v>
      </c>
      <c r="AA58" s="22">
        <v>2419</v>
      </c>
      <c r="AB58" s="22">
        <v>2419</v>
      </c>
      <c r="AC58" s="22">
        <v>2419</v>
      </c>
      <c r="AD58" s="36">
        <f t="shared" si="0"/>
        <v>100</v>
      </c>
      <c r="AE58" s="22"/>
      <c r="AF58" s="22"/>
      <c r="AG58" s="60">
        <v>2350</v>
      </c>
      <c r="AH58" s="22" t="s">
        <v>1084</v>
      </c>
      <c r="AI58" s="65">
        <f t="shared" si="1"/>
        <v>97.14758164530798</v>
      </c>
    </row>
    <row r="59" spans="1:35" ht="13.8" customHeight="1" x14ac:dyDescent="0.3">
      <c r="A59" s="20" t="s">
        <v>741</v>
      </c>
      <c r="B59" s="20">
        <v>41</v>
      </c>
      <c r="C59" s="20" t="s">
        <v>12</v>
      </c>
      <c r="D59" s="20">
        <v>140010051</v>
      </c>
      <c r="E59" s="20" t="s">
        <v>720</v>
      </c>
      <c r="F59" s="20" t="s">
        <v>428</v>
      </c>
      <c r="G59" s="20" t="s">
        <v>774</v>
      </c>
      <c r="H59" s="29">
        <v>77.937399999999997</v>
      </c>
      <c r="I59" s="30">
        <v>2023</v>
      </c>
      <c r="J59" s="30">
        <v>72</v>
      </c>
      <c r="K59" s="30">
        <v>4102</v>
      </c>
      <c r="L59" s="20" t="s">
        <v>13</v>
      </c>
      <c r="M59" s="30">
        <v>4102052</v>
      </c>
      <c r="N59" s="20" t="s">
        <v>571</v>
      </c>
      <c r="O59" s="46" t="s">
        <v>824</v>
      </c>
      <c r="P59" s="20" t="s">
        <v>572</v>
      </c>
      <c r="Q59" s="20" t="s">
        <v>169</v>
      </c>
      <c r="R59" s="30">
        <v>410205200</v>
      </c>
      <c r="S59" s="20" t="s">
        <v>573</v>
      </c>
      <c r="T59" s="20" t="s">
        <v>18</v>
      </c>
      <c r="U59" s="30">
        <v>16.2</v>
      </c>
      <c r="V59" s="20" t="s">
        <v>19</v>
      </c>
      <c r="W59" s="22">
        <v>90</v>
      </c>
      <c r="X59" s="22">
        <v>140</v>
      </c>
      <c r="Y59" s="22">
        <v>35</v>
      </c>
      <c r="Z59" s="22">
        <v>35</v>
      </c>
      <c r="AA59" s="22">
        <v>35</v>
      </c>
      <c r="AB59" s="22">
        <v>35</v>
      </c>
      <c r="AC59" s="22">
        <v>39</v>
      </c>
      <c r="AD59" s="36">
        <f t="shared" si="0"/>
        <v>27.857142857142858</v>
      </c>
      <c r="AE59" s="22" t="s">
        <v>957</v>
      </c>
      <c r="AF59" s="22" t="s">
        <v>958</v>
      </c>
      <c r="AG59" s="22">
        <v>24</v>
      </c>
      <c r="AH59" s="56" t="s">
        <v>1023</v>
      </c>
      <c r="AI59" s="65">
        <f t="shared" si="1"/>
        <v>68.571428571428569</v>
      </c>
    </row>
    <row r="60" spans="1:35" ht="13.8" customHeight="1" x14ac:dyDescent="0.3">
      <c r="A60" s="35" t="s">
        <v>742</v>
      </c>
      <c r="B60" s="20">
        <v>21</v>
      </c>
      <c r="C60" s="20" t="s">
        <v>64</v>
      </c>
      <c r="D60" s="20">
        <v>110150001</v>
      </c>
      <c r="E60" s="20" t="s">
        <v>718</v>
      </c>
      <c r="F60" s="20" t="s">
        <v>719</v>
      </c>
      <c r="G60" s="20" t="s">
        <v>783</v>
      </c>
      <c r="H60" s="29">
        <v>19.034400000000002</v>
      </c>
      <c r="I60" s="30">
        <v>2017</v>
      </c>
      <c r="J60" s="30">
        <v>17</v>
      </c>
      <c r="K60" s="30">
        <v>2104</v>
      </c>
      <c r="L60" s="20" t="s">
        <v>72</v>
      </c>
      <c r="M60" s="30">
        <v>2104012</v>
      </c>
      <c r="N60" s="20" t="s">
        <v>73</v>
      </c>
      <c r="O60" s="46"/>
      <c r="P60" s="20" t="s">
        <v>74</v>
      </c>
      <c r="Q60" s="20" t="s">
        <v>75</v>
      </c>
      <c r="R60" s="30">
        <v>210401200</v>
      </c>
      <c r="S60" s="20" t="s">
        <v>76</v>
      </c>
      <c r="T60" s="20" t="s">
        <v>18</v>
      </c>
      <c r="U60" s="30">
        <v>16.600000000000001</v>
      </c>
      <c r="V60" s="20" t="s">
        <v>19</v>
      </c>
      <c r="W60" s="22">
        <v>0</v>
      </c>
      <c r="X60" s="22">
        <v>12</v>
      </c>
      <c r="Y60" s="22">
        <v>3</v>
      </c>
      <c r="Z60" s="22">
        <v>3</v>
      </c>
      <c r="AA60" s="22">
        <v>3</v>
      </c>
      <c r="AB60" s="22">
        <v>3</v>
      </c>
      <c r="AC60" s="22">
        <v>25</v>
      </c>
      <c r="AD60" s="36">
        <f t="shared" si="0"/>
        <v>208.33333333333334</v>
      </c>
      <c r="AE60" s="22"/>
      <c r="AF60" s="22"/>
      <c r="AG60" s="22">
        <v>5</v>
      </c>
      <c r="AH60" s="53" t="s">
        <v>1026</v>
      </c>
      <c r="AI60" s="65">
        <f t="shared" si="1"/>
        <v>166.66666666666666</v>
      </c>
    </row>
    <row r="61" spans="1:35" ht="13.8" customHeight="1" x14ac:dyDescent="0.3">
      <c r="A61" s="20" t="s">
        <v>742</v>
      </c>
      <c r="B61" s="20">
        <v>21</v>
      </c>
      <c r="C61" s="20" t="s">
        <v>64</v>
      </c>
      <c r="D61" s="20">
        <v>110150001</v>
      </c>
      <c r="E61" s="20" t="s">
        <v>718</v>
      </c>
      <c r="F61" s="20" t="s">
        <v>719</v>
      </c>
      <c r="G61" s="20" t="s">
        <v>783</v>
      </c>
      <c r="H61" s="29">
        <v>19.034400000000002</v>
      </c>
      <c r="I61" s="30">
        <v>2017</v>
      </c>
      <c r="J61" s="30">
        <v>17</v>
      </c>
      <c r="K61" s="30">
        <v>2104</v>
      </c>
      <c r="L61" s="20" t="s">
        <v>72</v>
      </c>
      <c r="M61" s="30">
        <v>2104010</v>
      </c>
      <c r="N61" s="20" t="s">
        <v>77</v>
      </c>
      <c r="O61" s="46"/>
      <c r="P61" s="20" t="s">
        <v>78</v>
      </c>
      <c r="Q61" s="20" t="s">
        <v>40</v>
      </c>
      <c r="R61" s="30">
        <v>210401001</v>
      </c>
      <c r="S61" s="20" t="s">
        <v>79</v>
      </c>
      <c r="T61" s="20" t="s">
        <v>18</v>
      </c>
      <c r="U61" s="30">
        <v>4.4000000000000004</v>
      </c>
      <c r="V61" s="20" t="s">
        <v>19</v>
      </c>
      <c r="W61" s="22" t="s">
        <v>636</v>
      </c>
      <c r="X61" s="22">
        <v>6</v>
      </c>
      <c r="Y61" s="22">
        <v>0</v>
      </c>
      <c r="Z61" s="22">
        <v>2</v>
      </c>
      <c r="AA61" s="22">
        <v>2</v>
      </c>
      <c r="AB61" s="22">
        <v>2</v>
      </c>
      <c r="AC61" s="22">
        <v>3</v>
      </c>
      <c r="AD61" s="36">
        <f t="shared" si="0"/>
        <v>50</v>
      </c>
      <c r="AE61" s="22"/>
      <c r="AF61" s="22"/>
      <c r="AG61" s="22">
        <v>2</v>
      </c>
      <c r="AH61" s="53" t="s">
        <v>1027</v>
      </c>
      <c r="AI61" s="65">
        <f t="shared" si="1"/>
        <v>100</v>
      </c>
    </row>
    <row r="62" spans="1:35" ht="13.8" customHeight="1" x14ac:dyDescent="0.3">
      <c r="A62" s="20" t="s">
        <v>742</v>
      </c>
      <c r="B62" s="20">
        <v>21</v>
      </c>
      <c r="C62" s="20" t="s">
        <v>64</v>
      </c>
      <c r="D62" s="20">
        <v>110150001</v>
      </c>
      <c r="E62" s="20" t="s">
        <v>718</v>
      </c>
      <c r="F62" s="20" t="s">
        <v>719</v>
      </c>
      <c r="G62" s="20" t="s">
        <v>783</v>
      </c>
      <c r="H62" s="29">
        <v>19.034400000000002</v>
      </c>
      <c r="I62" s="30">
        <v>2017</v>
      </c>
      <c r="J62" s="30">
        <v>17</v>
      </c>
      <c r="K62" s="30">
        <v>2104</v>
      </c>
      <c r="L62" s="20" t="s">
        <v>72</v>
      </c>
      <c r="M62" s="30">
        <v>2104004</v>
      </c>
      <c r="N62" s="20" t="s">
        <v>80</v>
      </c>
      <c r="O62" s="46"/>
      <c r="P62" s="20" t="s">
        <v>81</v>
      </c>
      <c r="Q62" s="20" t="s">
        <v>75</v>
      </c>
      <c r="R62" s="30">
        <v>210400400</v>
      </c>
      <c r="S62" s="20" t="s">
        <v>82</v>
      </c>
      <c r="T62" s="20" t="s">
        <v>18</v>
      </c>
      <c r="U62" s="30">
        <v>8.3000000000000007</v>
      </c>
      <c r="V62" s="20" t="s">
        <v>19</v>
      </c>
      <c r="W62" s="22" t="s">
        <v>636</v>
      </c>
      <c r="X62" s="22">
        <v>9</v>
      </c>
      <c r="Y62" s="22">
        <v>0</v>
      </c>
      <c r="Z62" s="22">
        <v>3</v>
      </c>
      <c r="AA62" s="22">
        <v>3</v>
      </c>
      <c r="AB62" s="22">
        <v>3</v>
      </c>
      <c r="AC62" s="22">
        <v>25</v>
      </c>
      <c r="AD62" s="36">
        <f t="shared" si="0"/>
        <v>277.77777777777777</v>
      </c>
      <c r="AE62" s="22"/>
      <c r="AF62" s="22"/>
      <c r="AG62" s="22">
        <v>1</v>
      </c>
      <c r="AH62" s="53" t="s">
        <v>1028</v>
      </c>
      <c r="AI62" s="65">
        <f t="shared" si="1"/>
        <v>33.333333333333336</v>
      </c>
    </row>
    <row r="63" spans="1:35" ht="13.8" customHeight="1" x14ac:dyDescent="0.3">
      <c r="A63" s="20" t="s">
        <v>742</v>
      </c>
      <c r="B63" s="20">
        <v>36</v>
      </c>
      <c r="C63" s="20" t="s">
        <v>154</v>
      </c>
      <c r="D63" s="20">
        <v>160020005</v>
      </c>
      <c r="E63" s="20" t="s">
        <v>717</v>
      </c>
      <c r="F63" s="20" t="s">
        <v>799</v>
      </c>
      <c r="G63" s="20" t="s">
        <v>774</v>
      </c>
      <c r="H63" s="29" t="s">
        <v>800</v>
      </c>
      <c r="I63" s="30" t="s">
        <v>800</v>
      </c>
      <c r="J63" s="30">
        <v>0</v>
      </c>
      <c r="K63" s="30">
        <v>3604</v>
      </c>
      <c r="L63" s="20" t="s">
        <v>155</v>
      </c>
      <c r="M63" s="30">
        <v>3604004</v>
      </c>
      <c r="N63" s="20" t="s">
        <v>156</v>
      </c>
      <c r="O63" s="46"/>
      <c r="P63" s="20" t="s">
        <v>157</v>
      </c>
      <c r="Q63" s="20" t="s">
        <v>40</v>
      </c>
      <c r="R63" s="30">
        <v>360400400</v>
      </c>
      <c r="S63" s="20" t="s">
        <v>100</v>
      </c>
      <c r="T63" s="20" t="s">
        <v>18</v>
      </c>
      <c r="U63" s="30">
        <v>16.100000000000001</v>
      </c>
      <c r="V63" s="20" t="s">
        <v>19</v>
      </c>
      <c r="W63" s="22" t="s">
        <v>636</v>
      </c>
      <c r="X63" s="22">
        <v>80</v>
      </c>
      <c r="Y63" s="22">
        <v>20</v>
      </c>
      <c r="Z63" s="22">
        <v>20</v>
      </c>
      <c r="AA63" s="22">
        <v>20</v>
      </c>
      <c r="AB63" s="22">
        <v>20</v>
      </c>
      <c r="AC63" s="22">
        <v>0</v>
      </c>
      <c r="AD63" s="36">
        <f t="shared" si="0"/>
        <v>0</v>
      </c>
      <c r="AE63" s="22"/>
      <c r="AF63" s="22"/>
      <c r="AG63" s="22">
        <v>0</v>
      </c>
      <c r="AH63" s="22"/>
      <c r="AI63" s="65">
        <f t="shared" si="1"/>
        <v>0</v>
      </c>
    </row>
    <row r="64" spans="1:35" ht="13.8" customHeight="1" x14ac:dyDescent="0.3">
      <c r="A64" s="20" t="s">
        <v>742</v>
      </c>
      <c r="B64" s="20">
        <v>35</v>
      </c>
      <c r="C64" s="20" t="s">
        <v>243</v>
      </c>
      <c r="D64" s="20">
        <v>160090004</v>
      </c>
      <c r="E64" s="20" t="s">
        <v>737</v>
      </c>
      <c r="F64" s="20" t="s">
        <v>797</v>
      </c>
      <c r="G64" s="20" t="s">
        <v>798</v>
      </c>
      <c r="H64" s="29">
        <v>0</v>
      </c>
      <c r="I64" s="30">
        <v>2021</v>
      </c>
      <c r="J64" s="30">
        <v>4</v>
      </c>
      <c r="K64" s="30">
        <v>3502</v>
      </c>
      <c r="L64" s="20" t="s">
        <v>244</v>
      </c>
      <c r="M64" s="30">
        <v>3502045</v>
      </c>
      <c r="N64" s="20" t="s">
        <v>268</v>
      </c>
      <c r="O64" s="46" t="s">
        <v>825</v>
      </c>
      <c r="P64" s="20" t="s">
        <v>269</v>
      </c>
      <c r="Q64" s="20" t="s">
        <v>40</v>
      </c>
      <c r="R64" s="30">
        <v>350204500</v>
      </c>
      <c r="S64" s="20" t="s">
        <v>100</v>
      </c>
      <c r="T64" s="20" t="s">
        <v>18</v>
      </c>
      <c r="U64" s="30">
        <v>4.4000000000000004</v>
      </c>
      <c r="V64" s="20" t="s">
        <v>210</v>
      </c>
      <c r="W64" s="22" t="s">
        <v>636</v>
      </c>
      <c r="X64" s="22">
        <v>60</v>
      </c>
      <c r="Y64" s="22">
        <v>15</v>
      </c>
      <c r="Z64" s="22">
        <v>15</v>
      </c>
      <c r="AA64" s="22">
        <v>15</v>
      </c>
      <c r="AB64" s="22">
        <v>15</v>
      </c>
      <c r="AC64" s="22">
        <v>16</v>
      </c>
      <c r="AD64" s="36">
        <f t="shared" si="0"/>
        <v>26.666666666666668</v>
      </c>
      <c r="AE64" s="22" t="s">
        <v>898</v>
      </c>
      <c r="AF64" s="22" t="s">
        <v>899</v>
      </c>
      <c r="AG64" s="50">
        <v>0</v>
      </c>
      <c r="AH64" s="22"/>
      <c r="AI64" s="65">
        <f t="shared" si="1"/>
        <v>0</v>
      </c>
    </row>
    <row r="65" spans="1:35" ht="13.8" customHeight="1" x14ac:dyDescent="0.3">
      <c r="A65" s="20" t="s">
        <v>742</v>
      </c>
      <c r="B65" s="20">
        <v>35</v>
      </c>
      <c r="C65" s="20" t="s">
        <v>243</v>
      </c>
      <c r="D65" s="20">
        <v>160090004</v>
      </c>
      <c r="E65" s="20" t="s">
        <v>737</v>
      </c>
      <c r="F65" s="20" t="s">
        <v>797</v>
      </c>
      <c r="G65" s="20" t="s">
        <v>798</v>
      </c>
      <c r="H65" s="29">
        <v>0</v>
      </c>
      <c r="I65" s="30">
        <v>2021</v>
      </c>
      <c r="J65" s="30">
        <v>4</v>
      </c>
      <c r="K65" s="30">
        <v>3502</v>
      </c>
      <c r="L65" s="20" t="s">
        <v>244</v>
      </c>
      <c r="M65" s="30">
        <v>3502046</v>
      </c>
      <c r="N65" s="20" t="s">
        <v>270</v>
      </c>
      <c r="O65" s="46" t="s">
        <v>826</v>
      </c>
      <c r="P65" s="20" t="s">
        <v>271</v>
      </c>
      <c r="Q65" s="20" t="s">
        <v>229</v>
      </c>
      <c r="R65" s="30">
        <v>350204600</v>
      </c>
      <c r="S65" s="20" t="s">
        <v>272</v>
      </c>
      <c r="T65" s="20" t="s">
        <v>18</v>
      </c>
      <c r="U65" s="30">
        <v>8.9</v>
      </c>
      <c r="V65" s="20" t="s">
        <v>210</v>
      </c>
      <c r="W65" s="22">
        <v>1</v>
      </c>
      <c r="X65" s="22">
        <v>7</v>
      </c>
      <c r="Y65" s="22">
        <v>1</v>
      </c>
      <c r="Z65" s="22">
        <v>2</v>
      </c>
      <c r="AA65" s="22">
        <v>2</v>
      </c>
      <c r="AB65" s="22">
        <v>2</v>
      </c>
      <c r="AC65" s="22">
        <v>4</v>
      </c>
      <c r="AD65" s="36">
        <f t="shared" si="0"/>
        <v>57.142857142857139</v>
      </c>
      <c r="AE65" s="22" t="s">
        <v>896</v>
      </c>
      <c r="AF65" s="22" t="s">
        <v>897</v>
      </c>
      <c r="AG65" s="22">
        <v>1</v>
      </c>
      <c r="AH65" s="22" t="s">
        <v>1007</v>
      </c>
      <c r="AI65" s="65">
        <f t="shared" si="1"/>
        <v>50</v>
      </c>
    </row>
    <row r="66" spans="1:35" ht="13.8" customHeight="1" x14ac:dyDescent="0.3">
      <c r="A66" s="20" t="s">
        <v>742</v>
      </c>
      <c r="B66" s="20">
        <v>36</v>
      </c>
      <c r="C66" s="20" t="s">
        <v>154</v>
      </c>
      <c r="D66" s="20">
        <v>160090003</v>
      </c>
      <c r="E66" s="20" t="s">
        <v>730</v>
      </c>
      <c r="F66" s="20" t="s">
        <v>797</v>
      </c>
      <c r="G66" s="20" t="s">
        <v>798</v>
      </c>
      <c r="H66" s="29">
        <v>3</v>
      </c>
      <c r="I66" s="30">
        <v>2023</v>
      </c>
      <c r="J66" s="30">
        <v>3</v>
      </c>
      <c r="K66" s="30">
        <v>3602</v>
      </c>
      <c r="L66" s="20" t="s">
        <v>304</v>
      </c>
      <c r="M66" s="30">
        <v>3602017</v>
      </c>
      <c r="N66" s="20" t="s">
        <v>305</v>
      </c>
      <c r="O66" s="46"/>
      <c r="P66" s="20" t="s">
        <v>306</v>
      </c>
      <c r="Q66" s="20" t="s">
        <v>307</v>
      </c>
      <c r="R66" s="30">
        <v>360201701</v>
      </c>
      <c r="S66" s="20" t="s">
        <v>308</v>
      </c>
      <c r="T66" s="20" t="s">
        <v>18</v>
      </c>
      <c r="U66" s="30">
        <v>8.3000000000000007</v>
      </c>
      <c r="V66" s="20" t="s">
        <v>210</v>
      </c>
      <c r="W66" s="22">
        <v>0</v>
      </c>
      <c r="X66" s="22">
        <v>70</v>
      </c>
      <c r="Y66" s="22">
        <v>40</v>
      </c>
      <c r="Z66" s="22">
        <v>10</v>
      </c>
      <c r="AA66" s="22">
        <v>10</v>
      </c>
      <c r="AB66" s="22">
        <v>10</v>
      </c>
      <c r="AC66" s="22">
        <v>40</v>
      </c>
      <c r="AD66" s="36">
        <f t="shared" si="0"/>
        <v>57.142857142857139</v>
      </c>
      <c r="AE66" s="22" t="s">
        <v>885</v>
      </c>
      <c r="AF66" s="22" t="s">
        <v>912</v>
      </c>
      <c r="AG66" s="22">
        <v>0</v>
      </c>
      <c r="AH66" s="22"/>
      <c r="AI66" s="65">
        <f t="shared" si="1"/>
        <v>0</v>
      </c>
    </row>
    <row r="67" spans="1:35" ht="13.8" customHeight="1" x14ac:dyDescent="0.3">
      <c r="A67" s="20" t="s">
        <v>742</v>
      </c>
      <c r="B67" s="20">
        <v>36</v>
      </c>
      <c r="C67" s="20" t="s">
        <v>154</v>
      </c>
      <c r="D67" s="20">
        <v>160090003</v>
      </c>
      <c r="E67" s="20" t="s">
        <v>730</v>
      </c>
      <c r="F67" s="20" t="s">
        <v>797</v>
      </c>
      <c r="G67" s="20" t="s">
        <v>798</v>
      </c>
      <c r="H67" s="29">
        <v>3</v>
      </c>
      <c r="I67" s="30">
        <v>2023</v>
      </c>
      <c r="J67" s="30">
        <v>3</v>
      </c>
      <c r="K67" s="30">
        <v>3602</v>
      </c>
      <c r="L67" s="20" t="s">
        <v>304</v>
      </c>
      <c r="M67" s="30">
        <v>3602006</v>
      </c>
      <c r="N67" s="20" t="s">
        <v>315</v>
      </c>
      <c r="O67" s="46" t="s">
        <v>827</v>
      </c>
      <c r="P67" s="20" t="s">
        <v>316</v>
      </c>
      <c r="Q67" s="20" t="s">
        <v>40</v>
      </c>
      <c r="R67" s="30">
        <v>360200603</v>
      </c>
      <c r="S67" s="20" t="s">
        <v>317</v>
      </c>
      <c r="T67" s="20" t="s">
        <v>18</v>
      </c>
      <c r="U67" s="30">
        <v>8.5</v>
      </c>
      <c r="V67" s="20" t="s">
        <v>19</v>
      </c>
      <c r="W67" s="22">
        <v>1</v>
      </c>
      <c r="X67" s="22">
        <v>4</v>
      </c>
      <c r="Y67" s="22">
        <v>1</v>
      </c>
      <c r="Z67" s="22">
        <v>1</v>
      </c>
      <c r="AA67" s="22">
        <v>1</v>
      </c>
      <c r="AB67" s="22">
        <v>1</v>
      </c>
      <c r="AC67" s="22">
        <v>2</v>
      </c>
      <c r="AD67" s="36">
        <f t="shared" si="0"/>
        <v>50</v>
      </c>
      <c r="AE67" s="22" t="s">
        <v>971</v>
      </c>
      <c r="AF67" s="22" t="s">
        <v>972</v>
      </c>
      <c r="AG67" s="22">
        <v>1</v>
      </c>
      <c r="AH67" s="53" t="s">
        <v>1029</v>
      </c>
      <c r="AI67" s="65">
        <f t="shared" si="1"/>
        <v>100</v>
      </c>
    </row>
    <row r="68" spans="1:35" ht="13.8" customHeight="1" x14ac:dyDescent="0.3">
      <c r="A68" s="20" t="s">
        <v>742</v>
      </c>
      <c r="B68" s="20">
        <v>36</v>
      </c>
      <c r="C68" s="20" t="s">
        <v>154</v>
      </c>
      <c r="D68" s="20">
        <v>160020005</v>
      </c>
      <c r="E68" s="20" t="s">
        <v>717</v>
      </c>
      <c r="F68" s="20" t="s">
        <v>799</v>
      </c>
      <c r="G68" s="20" t="s">
        <v>712</v>
      </c>
      <c r="H68" s="29" t="s">
        <v>800</v>
      </c>
      <c r="I68" s="30" t="s">
        <v>800</v>
      </c>
      <c r="J68" s="30">
        <v>0</v>
      </c>
      <c r="K68" s="30">
        <v>3604</v>
      </c>
      <c r="L68" s="20" t="s">
        <v>155</v>
      </c>
      <c r="M68" s="30">
        <v>3604020</v>
      </c>
      <c r="N68" s="20" t="s">
        <v>326</v>
      </c>
      <c r="O68" s="46"/>
      <c r="P68" s="20" t="s">
        <v>327</v>
      </c>
      <c r="Q68" s="20" t="s">
        <v>40</v>
      </c>
      <c r="R68" s="30">
        <v>360402000</v>
      </c>
      <c r="S68" s="20" t="s">
        <v>100</v>
      </c>
      <c r="T68" s="20" t="s">
        <v>18</v>
      </c>
      <c r="U68" s="30">
        <v>8.6999999999999993</v>
      </c>
      <c r="V68" s="20" t="s">
        <v>19</v>
      </c>
      <c r="W68" s="22">
        <v>200</v>
      </c>
      <c r="X68" s="22">
        <v>400</v>
      </c>
      <c r="Y68" s="22">
        <v>100</v>
      </c>
      <c r="Z68" s="22">
        <v>100</v>
      </c>
      <c r="AA68" s="22">
        <v>100</v>
      </c>
      <c r="AB68" s="22">
        <v>100</v>
      </c>
      <c r="AC68" s="22">
        <v>136</v>
      </c>
      <c r="AD68" s="36">
        <f t="shared" ref="AD68:AD131" si="2">+AC68/X68*100</f>
        <v>34</v>
      </c>
      <c r="AE68" s="22"/>
      <c r="AF68" s="22" t="s">
        <v>956</v>
      </c>
      <c r="AG68" s="22">
        <v>0</v>
      </c>
      <c r="AH68" s="22"/>
      <c r="AI68" s="65">
        <f t="shared" ref="AI68:AI131" si="3">+AG68*100/Z68</f>
        <v>0</v>
      </c>
    </row>
    <row r="69" spans="1:35" ht="13.8" customHeight="1" x14ac:dyDescent="0.3">
      <c r="A69" s="20" t="s">
        <v>742</v>
      </c>
      <c r="B69" s="20">
        <v>36</v>
      </c>
      <c r="C69" s="20" t="s">
        <v>154</v>
      </c>
      <c r="D69" s="24">
        <v>20100040</v>
      </c>
      <c r="E69" s="20" t="s">
        <v>763</v>
      </c>
      <c r="F69" s="20" t="s">
        <v>719</v>
      </c>
      <c r="G69" s="20" t="s">
        <v>780</v>
      </c>
      <c r="H69" s="29">
        <v>0</v>
      </c>
      <c r="I69" s="30">
        <v>2021</v>
      </c>
      <c r="J69" s="30">
        <v>0</v>
      </c>
      <c r="K69" s="30">
        <v>3601</v>
      </c>
      <c r="L69" s="20" t="s">
        <v>328</v>
      </c>
      <c r="M69" s="30">
        <v>3601012</v>
      </c>
      <c r="N69" s="20" t="s">
        <v>329</v>
      </c>
      <c r="O69" s="46"/>
      <c r="P69" s="20" t="s">
        <v>330</v>
      </c>
      <c r="Q69" s="20" t="s">
        <v>331</v>
      </c>
      <c r="R69" s="30">
        <v>360101200</v>
      </c>
      <c r="S69" s="20" t="s">
        <v>332</v>
      </c>
      <c r="T69" s="20" t="s">
        <v>18</v>
      </c>
      <c r="U69" s="30">
        <v>1.3</v>
      </c>
      <c r="V69" s="20" t="s">
        <v>770</v>
      </c>
      <c r="W69" s="22">
        <v>1500</v>
      </c>
      <c r="X69" s="22">
        <v>1600</v>
      </c>
      <c r="Y69" s="22">
        <v>400</v>
      </c>
      <c r="Z69" s="22">
        <v>400</v>
      </c>
      <c r="AA69" s="22">
        <v>400</v>
      </c>
      <c r="AB69" s="22">
        <v>400</v>
      </c>
      <c r="AC69" s="22">
        <v>416</v>
      </c>
      <c r="AD69" s="36">
        <f t="shared" si="2"/>
        <v>26</v>
      </c>
      <c r="AE69" s="22" t="s">
        <v>979</v>
      </c>
      <c r="AF69" s="22" t="s">
        <v>980</v>
      </c>
      <c r="AG69" s="22">
        <v>380</v>
      </c>
      <c r="AH69" s="22" t="s">
        <v>1068</v>
      </c>
      <c r="AI69" s="65">
        <f t="shared" si="3"/>
        <v>95</v>
      </c>
    </row>
    <row r="70" spans="1:35" ht="13.8" customHeight="1" x14ac:dyDescent="0.3">
      <c r="A70" s="20" t="s">
        <v>742</v>
      </c>
      <c r="B70" s="20">
        <v>21</v>
      </c>
      <c r="C70" s="20" t="s">
        <v>64</v>
      </c>
      <c r="D70" s="20">
        <v>110150001</v>
      </c>
      <c r="E70" s="20" t="s">
        <v>718</v>
      </c>
      <c r="F70" s="20" t="s">
        <v>719</v>
      </c>
      <c r="G70" s="20" t="s">
        <v>783</v>
      </c>
      <c r="H70" s="29">
        <v>19.034400000000002</v>
      </c>
      <c r="I70" s="30">
        <v>2017</v>
      </c>
      <c r="J70" s="30">
        <v>17</v>
      </c>
      <c r="K70" s="30">
        <v>2105</v>
      </c>
      <c r="L70" s="20" t="s">
        <v>333</v>
      </c>
      <c r="M70" s="30">
        <v>2105019</v>
      </c>
      <c r="N70" s="20" t="s">
        <v>334</v>
      </c>
      <c r="O70" s="46"/>
      <c r="P70" s="20" t="s">
        <v>335</v>
      </c>
      <c r="Q70" s="20" t="s">
        <v>40</v>
      </c>
      <c r="R70" s="30">
        <v>210501900</v>
      </c>
      <c r="S70" s="20" t="s">
        <v>336</v>
      </c>
      <c r="T70" s="20" t="s">
        <v>18</v>
      </c>
      <c r="U70" s="30">
        <v>12.2</v>
      </c>
      <c r="V70" s="20" t="s">
        <v>19</v>
      </c>
      <c r="W70" s="22" t="s">
        <v>636</v>
      </c>
      <c r="X70" s="22">
        <v>450</v>
      </c>
      <c r="Y70" s="22">
        <v>50</v>
      </c>
      <c r="Z70" s="22">
        <v>100</v>
      </c>
      <c r="AA70" s="22">
        <v>150</v>
      </c>
      <c r="AB70" s="22">
        <v>150</v>
      </c>
      <c r="AC70" s="22">
        <v>54</v>
      </c>
      <c r="AD70" s="36">
        <f t="shared" si="2"/>
        <v>12</v>
      </c>
      <c r="AE70" s="22"/>
      <c r="AF70" s="22"/>
      <c r="AG70" s="22">
        <v>0</v>
      </c>
      <c r="AH70" s="22"/>
      <c r="AI70" s="65">
        <f t="shared" si="3"/>
        <v>0</v>
      </c>
    </row>
    <row r="71" spans="1:35" ht="13.8" customHeight="1" x14ac:dyDescent="0.3">
      <c r="A71" s="20" t="s">
        <v>742</v>
      </c>
      <c r="B71" s="20">
        <v>35</v>
      </c>
      <c r="C71" s="20" t="s">
        <v>243</v>
      </c>
      <c r="D71" s="20">
        <v>160090004</v>
      </c>
      <c r="E71" s="20" t="s">
        <v>737</v>
      </c>
      <c r="F71" s="20" t="s">
        <v>797</v>
      </c>
      <c r="G71" s="20" t="s">
        <v>798</v>
      </c>
      <c r="H71" s="29">
        <v>0</v>
      </c>
      <c r="I71" s="30">
        <v>2021</v>
      </c>
      <c r="J71" s="30">
        <v>4</v>
      </c>
      <c r="K71" s="30">
        <v>3502</v>
      </c>
      <c r="L71" s="20" t="s">
        <v>244</v>
      </c>
      <c r="M71" s="30">
        <v>3502047</v>
      </c>
      <c r="N71" s="20" t="s">
        <v>95</v>
      </c>
      <c r="O71" s="46" t="s">
        <v>828</v>
      </c>
      <c r="P71" s="20" t="s">
        <v>337</v>
      </c>
      <c r="Q71" s="20" t="s">
        <v>26</v>
      </c>
      <c r="R71" s="30">
        <v>350204700</v>
      </c>
      <c r="S71" s="20" t="s">
        <v>338</v>
      </c>
      <c r="T71" s="20" t="s">
        <v>18</v>
      </c>
      <c r="U71" s="30">
        <v>8.1999999999999993</v>
      </c>
      <c r="V71" s="20" t="s">
        <v>210</v>
      </c>
      <c r="W71" s="22">
        <v>0</v>
      </c>
      <c r="X71" s="22">
        <v>1</v>
      </c>
      <c r="Y71" s="22">
        <v>0</v>
      </c>
      <c r="Z71" s="22">
        <v>1</v>
      </c>
      <c r="AA71" s="22">
        <v>0</v>
      </c>
      <c r="AB71" s="22">
        <v>0</v>
      </c>
      <c r="AC71" s="22">
        <v>1</v>
      </c>
      <c r="AD71" s="36">
        <f t="shared" si="2"/>
        <v>100</v>
      </c>
      <c r="AE71" s="22" t="s">
        <v>895</v>
      </c>
      <c r="AF71" s="22" t="s">
        <v>895</v>
      </c>
      <c r="AG71" s="22">
        <v>1</v>
      </c>
      <c r="AH71" s="22" t="s">
        <v>1008</v>
      </c>
      <c r="AI71" s="65">
        <f t="shared" si="3"/>
        <v>100</v>
      </c>
    </row>
    <row r="72" spans="1:35" ht="13.8" customHeight="1" x14ac:dyDescent="0.3">
      <c r="A72" s="20" t="s">
        <v>742</v>
      </c>
      <c r="B72" s="20">
        <v>21</v>
      </c>
      <c r="C72" s="20" t="s">
        <v>64</v>
      </c>
      <c r="D72" s="20">
        <v>110150001</v>
      </c>
      <c r="E72" s="20" t="s">
        <v>718</v>
      </c>
      <c r="F72" s="20" t="s">
        <v>719</v>
      </c>
      <c r="G72" s="20" t="s">
        <v>783</v>
      </c>
      <c r="H72" s="29">
        <v>19.034400000000002</v>
      </c>
      <c r="I72" s="30">
        <v>2017</v>
      </c>
      <c r="J72" s="30">
        <v>17</v>
      </c>
      <c r="K72" s="30">
        <v>2104</v>
      </c>
      <c r="L72" s="20" t="s">
        <v>72</v>
      </c>
      <c r="M72" s="30">
        <v>2104018</v>
      </c>
      <c r="N72" s="20" t="s">
        <v>339</v>
      </c>
      <c r="O72" s="46"/>
      <c r="P72" s="20" t="s">
        <v>340</v>
      </c>
      <c r="Q72" s="20" t="s">
        <v>341</v>
      </c>
      <c r="R72" s="30">
        <v>210401804</v>
      </c>
      <c r="S72" s="20" t="s">
        <v>342</v>
      </c>
      <c r="T72" s="20" t="s">
        <v>18</v>
      </c>
      <c r="U72" s="30">
        <v>8.6999999999999993</v>
      </c>
      <c r="V72" s="20" t="s">
        <v>19</v>
      </c>
      <c r="W72" s="22" t="s">
        <v>636</v>
      </c>
      <c r="X72" s="22">
        <v>15</v>
      </c>
      <c r="Y72" s="22">
        <v>0</v>
      </c>
      <c r="Z72" s="22">
        <v>5</v>
      </c>
      <c r="AA72" s="22">
        <v>5</v>
      </c>
      <c r="AB72" s="22">
        <v>5</v>
      </c>
      <c r="AC72" s="22"/>
      <c r="AD72" s="36">
        <f t="shared" si="2"/>
        <v>0</v>
      </c>
      <c r="AE72" s="22"/>
      <c r="AF72" s="22"/>
      <c r="AG72" s="22">
        <v>0</v>
      </c>
      <c r="AH72" s="22"/>
      <c r="AI72" s="65">
        <f t="shared" si="3"/>
        <v>0</v>
      </c>
    </row>
    <row r="73" spans="1:35" ht="13.8" customHeight="1" x14ac:dyDescent="0.3">
      <c r="A73" s="20" t="s">
        <v>742</v>
      </c>
      <c r="B73" s="20">
        <v>21</v>
      </c>
      <c r="C73" s="20" t="s">
        <v>64</v>
      </c>
      <c r="D73" s="20">
        <v>110150001</v>
      </c>
      <c r="E73" s="20" t="s">
        <v>718</v>
      </c>
      <c r="F73" s="20" t="s">
        <v>719</v>
      </c>
      <c r="G73" s="20" t="s">
        <v>783</v>
      </c>
      <c r="H73" s="29">
        <v>19.034400000000002</v>
      </c>
      <c r="I73" s="30">
        <v>2017</v>
      </c>
      <c r="J73" s="30">
        <v>17</v>
      </c>
      <c r="K73" s="30">
        <v>2104</v>
      </c>
      <c r="L73" s="20" t="s">
        <v>72</v>
      </c>
      <c r="M73" s="30">
        <v>2104024</v>
      </c>
      <c r="N73" s="20" t="s">
        <v>343</v>
      </c>
      <c r="O73" s="46"/>
      <c r="P73" s="20" t="s">
        <v>344</v>
      </c>
      <c r="Q73" s="20" t="s">
        <v>40</v>
      </c>
      <c r="R73" s="30">
        <v>210402400</v>
      </c>
      <c r="S73" s="20" t="s">
        <v>100</v>
      </c>
      <c r="T73" s="20" t="s">
        <v>18</v>
      </c>
      <c r="U73" s="30">
        <v>4.4000000000000004</v>
      </c>
      <c r="V73" s="20" t="s">
        <v>19</v>
      </c>
      <c r="W73" s="22" t="s">
        <v>636</v>
      </c>
      <c r="X73" s="22">
        <v>90</v>
      </c>
      <c r="Y73" s="22">
        <v>0</v>
      </c>
      <c r="Z73" s="22">
        <v>30</v>
      </c>
      <c r="AA73" s="22">
        <v>30</v>
      </c>
      <c r="AB73" s="22">
        <v>30</v>
      </c>
      <c r="AC73" s="22">
        <v>28</v>
      </c>
      <c r="AD73" s="36">
        <f t="shared" si="2"/>
        <v>31.111111111111111</v>
      </c>
      <c r="AE73" s="22"/>
      <c r="AF73" s="22"/>
      <c r="AG73" s="22">
        <v>0</v>
      </c>
      <c r="AH73" s="22"/>
      <c r="AI73" s="65">
        <f t="shared" si="3"/>
        <v>0</v>
      </c>
    </row>
    <row r="74" spans="1:35" ht="13.8" customHeight="1" x14ac:dyDescent="0.3">
      <c r="A74" s="20" t="s">
        <v>743</v>
      </c>
      <c r="B74" s="20">
        <v>17</v>
      </c>
      <c r="C74" s="20" t="s">
        <v>208</v>
      </c>
      <c r="D74" s="20">
        <v>120060005</v>
      </c>
      <c r="E74" s="20" t="s">
        <v>678</v>
      </c>
      <c r="F74" s="20" t="s">
        <v>679</v>
      </c>
      <c r="G74" s="20" t="s">
        <v>784</v>
      </c>
      <c r="H74" s="29">
        <v>22.276399999999999</v>
      </c>
      <c r="I74" s="30">
        <v>2014</v>
      </c>
      <c r="J74" s="30">
        <v>50</v>
      </c>
      <c r="K74" s="30">
        <v>1707</v>
      </c>
      <c r="L74" s="20" t="s">
        <v>211</v>
      </c>
      <c r="M74" s="30">
        <v>1707024</v>
      </c>
      <c r="N74" s="20" t="s">
        <v>212</v>
      </c>
      <c r="O74" s="46"/>
      <c r="P74" s="20" t="s">
        <v>213</v>
      </c>
      <c r="Q74" s="20" t="s">
        <v>214</v>
      </c>
      <c r="R74" s="30">
        <v>170702400</v>
      </c>
      <c r="S74" s="20" t="s">
        <v>215</v>
      </c>
      <c r="T74" s="20" t="s">
        <v>18</v>
      </c>
      <c r="U74" s="30" t="s">
        <v>594</v>
      </c>
      <c r="V74" s="20" t="s">
        <v>210</v>
      </c>
      <c r="W74" s="22">
        <v>500</v>
      </c>
      <c r="X74" s="22">
        <v>560</v>
      </c>
      <c r="Y74" s="22">
        <v>140</v>
      </c>
      <c r="Z74" s="22">
        <v>140</v>
      </c>
      <c r="AA74" s="22">
        <v>140</v>
      </c>
      <c r="AB74" s="22">
        <v>140</v>
      </c>
      <c r="AC74" s="22">
        <v>71</v>
      </c>
      <c r="AD74" s="36">
        <f t="shared" si="2"/>
        <v>12.678571428571427</v>
      </c>
      <c r="AE74" s="22" t="s">
        <v>883</v>
      </c>
      <c r="AF74" s="22" t="s">
        <v>884</v>
      </c>
      <c r="AG74" s="22">
        <v>30</v>
      </c>
      <c r="AH74" s="22" t="s">
        <v>1009</v>
      </c>
      <c r="AI74" s="65">
        <f t="shared" si="3"/>
        <v>21.428571428571427</v>
      </c>
    </row>
    <row r="75" spans="1:35" ht="13.8" customHeight="1" x14ac:dyDescent="0.3">
      <c r="A75" s="20" t="s">
        <v>743</v>
      </c>
      <c r="B75" s="20">
        <v>32</v>
      </c>
      <c r="C75" s="20" t="s">
        <v>216</v>
      </c>
      <c r="D75" s="20">
        <v>110070013</v>
      </c>
      <c r="E75" s="20" t="s">
        <v>714</v>
      </c>
      <c r="F75" s="20" t="s">
        <v>715</v>
      </c>
      <c r="G75" s="20" t="s">
        <v>785</v>
      </c>
      <c r="H75" s="29" t="s">
        <v>803</v>
      </c>
      <c r="I75" s="30" t="s">
        <v>803</v>
      </c>
      <c r="J75" s="30">
        <v>1</v>
      </c>
      <c r="K75" s="30">
        <v>3202</v>
      </c>
      <c r="L75" s="20" t="s">
        <v>217</v>
      </c>
      <c r="M75" s="30">
        <v>3202014</v>
      </c>
      <c r="N75" s="20" t="s">
        <v>218</v>
      </c>
      <c r="O75" s="46"/>
      <c r="P75" s="20" t="s">
        <v>219</v>
      </c>
      <c r="Q75" s="20" t="s">
        <v>40</v>
      </c>
      <c r="R75" s="30">
        <v>320201402</v>
      </c>
      <c r="S75" s="20" t="s">
        <v>220</v>
      </c>
      <c r="T75" s="20" t="s">
        <v>18</v>
      </c>
      <c r="U75" s="30">
        <v>12.8</v>
      </c>
      <c r="V75" s="20" t="s">
        <v>210</v>
      </c>
      <c r="W75" s="22">
        <v>8</v>
      </c>
      <c r="X75" s="22">
        <v>8</v>
      </c>
      <c r="Y75" s="22">
        <v>2</v>
      </c>
      <c r="Z75" s="22">
        <v>2</v>
      </c>
      <c r="AA75" s="22">
        <v>2</v>
      </c>
      <c r="AB75" s="22">
        <v>2</v>
      </c>
      <c r="AC75" s="22">
        <v>2</v>
      </c>
      <c r="AD75" s="36">
        <f t="shared" si="2"/>
        <v>25</v>
      </c>
      <c r="AE75" s="22" t="s">
        <v>885</v>
      </c>
      <c r="AF75" s="22" t="s">
        <v>886</v>
      </c>
      <c r="AG75" s="22">
        <v>0</v>
      </c>
      <c r="AH75" s="22"/>
      <c r="AI75" s="65">
        <f t="shared" si="3"/>
        <v>0</v>
      </c>
    </row>
    <row r="76" spans="1:35" ht="13.8" customHeight="1" x14ac:dyDescent="0.3">
      <c r="A76" s="47" t="s">
        <v>743</v>
      </c>
      <c r="B76" s="20">
        <v>32</v>
      </c>
      <c r="C76" s="47" t="s">
        <v>216</v>
      </c>
      <c r="D76" s="20">
        <v>110150012</v>
      </c>
      <c r="E76" s="20" t="s">
        <v>716</v>
      </c>
      <c r="F76" s="20" t="s">
        <v>428</v>
      </c>
      <c r="G76" s="20" t="s">
        <v>783</v>
      </c>
      <c r="H76" s="29" t="s">
        <v>803</v>
      </c>
      <c r="I76" s="30" t="s">
        <v>803</v>
      </c>
      <c r="J76" s="30">
        <v>50</v>
      </c>
      <c r="K76" s="30">
        <v>3201</v>
      </c>
      <c r="L76" s="47" t="s">
        <v>221</v>
      </c>
      <c r="M76" s="48">
        <v>3201008</v>
      </c>
      <c r="N76" s="47" t="s">
        <v>222</v>
      </c>
      <c r="O76" s="46"/>
      <c r="P76" s="20" t="s">
        <v>223</v>
      </c>
      <c r="Q76" s="20" t="s">
        <v>224</v>
      </c>
      <c r="R76" s="30">
        <v>320100805</v>
      </c>
      <c r="S76" s="47" t="s">
        <v>225</v>
      </c>
      <c r="T76" s="47" t="s">
        <v>18</v>
      </c>
      <c r="U76" s="48">
        <v>12.8</v>
      </c>
      <c r="V76" s="47" t="s">
        <v>210</v>
      </c>
      <c r="W76" s="49">
        <v>0</v>
      </c>
      <c r="X76" s="49">
        <v>1</v>
      </c>
      <c r="Y76" s="49">
        <v>0</v>
      </c>
      <c r="Z76" s="49">
        <v>0</v>
      </c>
      <c r="AA76" s="49">
        <v>1</v>
      </c>
      <c r="AB76" s="49">
        <v>0</v>
      </c>
      <c r="AC76" s="49"/>
      <c r="AD76" s="49">
        <f t="shared" si="2"/>
        <v>0</v>
      </c>
      <c r="AE76" s="49"/>
      <c r="AF76" s="49"/>
      <c r="AG76" s="49" t="s">
        <v>1048</v>
      </c>
      <c r="AH76" s="49"/>
      <c r="AI76" s="65" t="e">
        <f t="shared" si="3"/>
        <v>#VALUE!</v>
      </c>
    </row>
    <row r="77" spans="1:35" ht="13.8" customHeight="1" x14ac:dyDescent="0.3">
      <c r="A77" s="20" t="s">
        <v>743</v>
      </c>
      <c r="B77" s="20">
        <v>32</v>
      </c>
      <c r="C77" s="20" t="s">
        <v>216</v>
      </c>
      <c r="D77" s="20">
        <v>110130003</v>
      </c>
      <c r="E77" s="20" t="s">
        <v>731</v>
      </c>
      <c r="F77" s="20" t="s">
        <v>732</v>
      </c>
      <c r="G77" s="20" t="s">
        <v>786</v>
      </c>
      <c r="H77" s="29">
        <v>27626016</v>
      </c>
      <c r="I77" s="30">
        <v>2020</v>
      </c>
      <c r="J77" s="30">
        <v>812000000</v>
      </c>
      <c r="K77" s="30">
        <v>3206</v>
      </c>
      <c r="L77" s="20" t="s">
        <v>226</v>
      </c>
      <c r="M77" s="30">
        <v>3206005</v>
      </c>
      <c r="N77" s="20" t="s">
        <v>227</v>
      </c>
      <c r="O77" s="46"/>
      <c r="P77" s="20" t="s">
        <v>228</v>
      </c>
      <c r="Q77" s="20" t="s">
        <v>229</v>
      </c>
      <c r="R77" s="30">
        <v>320600500</v>
      </c>
      <c r="S77" s="20" t="s">
        <v>230</v>
      </c>
      <c r="T77" s="20" t="s">
        <v>18</v>
      </c>
      <c r="U77" s="30">
        <v>12.8</v>
      </c>
      <c r="V77" s="20" t="s">
        <v>210</v>
      </c>
      <c r="W77" s="22">
        <v>0</v>
      </c>
      <c r="X77" s="22">
        <v>1</v>
      </c>
      <c r="Y77" s="22">
        <v>0</v>
      </c>
      <c r="Z77" s="22">
        <v>1</v>
      </c>
      <c r="AA77" s="22">
        <v>0</v>
      </c>
      <c r="AB77" s="22">
        <v>0</v>
      </c>
      <c r="AC77" s="22"/>
      <c r="AD77" s="36">
        <f t="shared" si="2"/>
        <v>0</v>
      </c>
      <c r="AE77" s="22"/>
      <c r="AF77" s="22"/>
      <c r="AG77" s="22">
        <v>1</v>
      </c>
      <c r="AH77" s="22" t="s">
        <v>1010</v>
      </c>
      <c r="AI77" s="65">
        <f t="shared" si="3"/>
        <v>100</v>
      </c>
    </row>
    <row r="78" spans="1:35" ht="13.8" customHeight="1" x14ac:dyDescent="0.3">
      <c r="A78" s="20" t="s">
        <v>743</v>
      </c>
      <c r="B78" s="20">
        <v>17</v>
      </c>
      <c r="C78" s="20" t="s">
        <v>208</v>
      </c>
      <c r="D78" s="20">
        <v>120060005</v>
      </c>
      <c r="E78" s="20" t="s">
        <v>678</v>
      </c>
      <c r="F78" s="20" t="s">
        <v>679</v>
      </c>
      <c r="G78" s="20" t="s">
        <v>784</v>
      </c>
      <c r="H78" s="29">
        <v>22.276399999999999</v>
      </c>
      <c r="I78" s="30">
        <v>2014</v>
      </c>
      <c r="J78" s="30">
        <v>50</v>
      </c>
      <c r="K78" s="30">
        <v>1708</v>
      </c>
      <c r="L78" s="20" t="s">
        <v>231</v>
      </c>
      <c r="M78" s="30">
        <v>1708041</v>
      </c>
      <c r="N78" s="20" t="s">
        <v>232</v>
      </c>
      <c r="O78" s="46"/>
      <c r="P78" s="20" t="s">
        <v>233</v>
      </c>
      <c r="Q78" s="20" t="s">
        <v>234</v>
      </c>
      <c r="R78" s="30">
        <v>170804100</v>
      </c>
      <c r="S78" s="20" t="s">
        <v>235</v>
      </c>
      <c r="T78" s="20" t="s">
        <v>18</v>
      </c>
      <c r="U78" s="30" t="s">
        <v>588</v>
      </c>
      <c r="V78" s="20" t="s">
        <v>210</v>
      </c>
      <c r="W78" s="22">
        <v>200</v>
      </c>
      <c r="X78" s="22">
        <v>400</v>
      </c>
      <c r="Y78" s="22">
        <v>100</v>
      </c>
      <c r="Z78" s="22">
        <v>100</v>
      </c>
      <c r="AA78" s="22">
        <v>100</v>
      </c>
      <c r="AB78" s="22">
        <v>100</v>
      </c>
      <c r="AC78" s="22">
        <v>70</v>
      </c>
      <c r="AD78" s="36">
        <f t="shared" si="2"/>
        <v>17.5</v>
      </c>
      <c r="AE78" s="22" t="s">
        <v>887</v>
      </c>
      <c r="AF78" s="22" t="s">
        <v>888</v>
      </c>
      <c r="AG78" s="50">
        <v>25</v>
      </c>
      <c r="AH78" s="22" t="s">
        <v>1011</v>
      </c>
      <c r="AI78" s="65">
        <f t="shared" si="3"/>
        <v>25</v>
      </c>
    </row>
    <row r="79" spans="1:35" ht="13.8" customHeight="1" x14ac:dyDescent="0.3">
      <c r="A79" s="47" t="s">
        <v>743</v>
      </c>
      <c r="B79" s="20">
        <v>32</v>
      </c>
      <c r="C79" s="47" t="s">
        <v>216</v>
      </c>
      <c r="D79" s="20">
        <v>110070013</v>
      </c>
      <c r="E79" s="20" t="s">
        <v>714</v>
      </c>
      <c r="F79" s="20" t="s">
        <v>715</v>
      </c>
      <c r="G79" s="20" t="s">
        <v>785</v>
      </c>
      <c r="H79" s="29" t="s">
        <v>803</v>
      </c>
      <c r="I79" s="30" t="s">
        <v>803</v>
      </c>
      <c r="J79" s="30">
        <v>1</v>
      </c>
      <c r="K79" s="30">
        <v>3202</v>
      </c>
      <c r="L79" s="47" t="s">
        <v>217</v>
      </c>
      <c r="M79" s="48">
        <v>3202002</v>
      </c>
      <c r="N79" s="47" t="s">
        <v>236</v>
      </c>
      <c r="O79" s="46" t="s">
        <v>829</v>
      </c>
      <c r="P79" s="20" t="s">
        <v>200</v>
      </c>
      <c r="Q79" s="20" t="s">
        <v>26</v>
      </c>
      <c r="R79" s="30">
        <v>320200200</v>
      </c>
      <c r="S79" s="47" t="s">
        <v>237</v>
      </c>
      <c r="T79" s="47" t="s">
        <v>18</v>
      </c>
      <c r="U79" s="48">
        <v>15.9</v>
      </c>
      <c r="V79" s="47" t="s">
        <v>210</v>
      </c>
      <c r="W79" s="49">
        <v>0</v>
      </c>
      <c r="X79" s="49">
        <v>1</v>
      </c>
      <c r="Y79" s="49">
        <v>0</v>
      </c>
      <c r="Z79" s="49">
        <v>0</v>
      </c>
      <c r="AA79" s="49">
        <v>1</v>
      </c>
      <c r="AB79" s="49">
        <v>0</v>
      </c>
      <c r="AC79" s="49"/>
      <c r="AD79" s="49">
        <f t="shared" si="2"/>
        <v>0</v>
      </c>
      <c r="AE79" s="49"/>
      <c r="AF79" s="49"/>
      <c r="AG79" s="49" t="s">
        <v>1048</v>
      </c>
      <c r="AH79" s="49"/>
      <c r="AI79" s="65" t="e">
        <f t="shared" si="3"/>
        <v>#VALUE!</v>
      </c>
    </row>
    <row r="80" spans="1:35" ht="13.8" customHeight="1" x14ac:dyDescent="0.3">
      <c r="A80" s="20" t="s">
        <v>743</v>
      </c>
      <c r="B80" s="20">
        <v>17</v>
      </c>
      <c r="C80" s="20" t="s">
        <v>208</v>
      </c>
      <c r="D80" s="20">
        <v>120040010</v>
      </c>
      <c r="E80" s="20" t="s">
        <v>680</v>
      </c>
      <c r="F80" s="20" t="s">
        <v>18</v>
      </c>
      <c r="G80" s="20" t="s">
        <v>784</v>
      </c>
      <c r="H80" s="29">
        <v>615</v>
      </c>
      <c r="I80" s="30">
        <v>2014</v>
      </c>
      <c r="J80" s="30">
        <v>680</v>
      </c>
      <c r="K80" s="30">
        <v>1702</v>
      </c>
      <c r="L80" s="20" t="s">
        <v>209</v>
      </c>
      <c r="M80" s="30">
        <v>1702011</v>
      </c>
      <c r="N80" s="20" t="s">
        <v>261</v>
      </c>
      <c r="O80" s="46" t="s">
        <v>830</v>
      </c>
      <c r="P80" s="20" t="s">
        <v>262</v>
      </c>
      <c r="Q80" s="20" t="s">
        <v>263</v>
      </c>
      <c r="R80" s="30">
        <v>170201100</v>
      </c>
      <c r="S80" s="20" t="s">
        <v>264</v>
      </c>
      <c r="T80" s="20" t="s">
        <v>18</v>
      </c>
      <c r="U80" s="30">
        <v>2.2999999999999998</v>
      </c>
      <c r="V80" s="20" t="s">
        <v>210</v>
      </c>
      <c r="W80" s="22">
        <v>1</v>
      </c>
      <c r="X80" s="22">
        <v>4</v>
      </c>
      <c r="Y80" s="22">
        <v>1</v>
      </c>
      <c r="Z80" s="22">
        <v>1</v>
      </c>
      <c r="AA80" s="22">
        <v>1</v>
      </c>
      <c r="AB80" s="22">
        <v>1</v>
      </c>
      <c r="AC80" s="22">
        <v>2</v>
      </c>
      <c r="AD80" s="36">
        <f t="shared" si="2"/>
        <v>50</v>
      </c>
      <c r="AE80" s="22" t="s">
        <v>914</v>
      </c>
      <c r="AF80" s="22" t="s">
        <v>913</v>
      </c>
      <c r="AG80" s="22">
        <v>3</v>
      </c>
      <c r="AH80" s="22" t="s">
        <v>1012</v>
      </c>
      <c r="AI80" s="65">
        <f t="shared" si="3"/>
        <v>300</v>
      </c>
    </row>
    <row r="81" spans="1:35" ht="13.8" customHeight="1" x14ac:dyDescent="0.3">
      <c r="A81" s="20" t="s">
        <v>743</v>
      </c>
      <c r="B81" s="20">
        <v>17</v>
      </c>
      <c r="C81" s="20" t="s">
        <v>208</v>
      </c>
      <c r="D81" s="20">
        <v>120060005</v>
      </c>
      <c r="E81" s="20" t="s">
        <v>678</v>
      </c>
      <c r="F81" s="20" t="s">
        <v>679</v>
      </c>
      <c r="G81" s="20" t="s">
        <v>784</v>
      </c>
      <c r="H81" s="29">
        <v>22.276399999999999</v>
      </c>
      <c r="I81" s="30">
        <v>2014</v>
      </c>
      <c r="J81" s="30">
        <v>50</v>
      </c>
      <c r="K81" s="30">
        <v>1707</v>
      </c>
      <c r="L81" s="20" t="s">
        <v>211</v>
      </c>
      <c r="M81" s="30">
        <v>1707042</v>
      </c>
      <c r="N81" s="20" t="s">
        <v>276</v>
      </c>
      <c r="O81" s="46"/>
      <c r="P81" s="20" t="s">
        <v>277</v>
      </c>
      <c r="Q81" s="20" t="s">
        <v>278</v>
      </c>
      <c r="R81" s="30">
        <v>170704200</v>
      </c>
      <c r="S81" s="20" t="s">
        <v>279</v>
      </c>
      <c r="T81" s="20" t="s">
        <v>18</v>
      </c>
      <c r="U81" s="30" t="s">
        <v>594</v>
      </c>
      <c r="V81" s="20" t="s">
        <v>210</v>
      </c>
      <c r="W81" s="22">
        <v>5000</v>
      </c>
      <c r="X81" s="22">
        <v>14400</v>
      </c>
      <c r="Y81" s="22">
        <v>3600</v>
      </c>
      <c r="Z81" s="22">
        <v>3600</v>
      </c>
      <c r="AA81" s="22">
        <v>3600</v>
      </c>
      <c r="AB81" s="22">
        <v>3600</v>
      </c>
      <c r="AC81" s="22">
        <v>3600</v>
      </c>
      <c r="AD81" s="36">
        <f t="shared" si="2"/>
        <v>25</v>
      </c>
      <c r="AE81" s="22" t="s">
        <v>892</v>
      </c>
      <c r="AF81" s="22" t="s">
        <v>891</v>
      </c>
      <c r="AG81" s="22">
        <v>0</v>
      </c>
      <c r="AH81" s="22" t="s">
        <v>1013</v>
      </c>
      <c r="AI81" s="65">
        <f t="shared" si="3"/>
        <v>0</v>
      </c>
    </row>
    <row r="82" spans="1:35" ht="13.8" customHeight="1" x14ac:dyDescent="0.3">
      <c r="A82" s="20" t="s">
        <v>743</v>
      </c>
      <c r="B82" s="20">
        <v>17</v>
      </c>
      <c r="C82" s="20" t="s">
        <v>208</v>
      </c>
      <c r="D82" s="20">
        <v>120060005</v>
      </c>
      <c r="E82" s="20" t="s">
        <v>678</v>
      </c>
      <c r="F82" s="20" t="s">
        <v>679</v>
      </c>
      <c r="G82" s="20" t="s">
        <v>784</v>
      </c>
      <c r="H82" s="29">
        <v>22.276399999999999</v>
      </c>
      <c r="I82" s="30">
        <v>2014</v>
      </c>
      <c r="J82" s="30">
        <v>50</v>
      </c>
      <c r="K82" s="30">
        <v>1702</v>
      </c>
      <c r="L82" s="20" t="s">
        <v>209</v>
      </c>
      <c r="M82" s="30">
        <v>1702014</v>
      </c>
      <c r="N82" s="20" t="s">
        <v>280</v>
      </c>
      <c r="O82" s="46" t="s">
        <v>831</v>
      </c>
      <c r="P82" s="20" t="s">
        <v>281</v>
      </c>
      <c r="Q82" s="20" t="s">
        <v>234</v>
      </c>
      <c r="R82" s="31">
        <v>170201401</v>
      </c>
      <c r="S82" s="20" t="s">
        <v>637</v>
      </c>
      <c r="T82" s="20" t="s">
        <v>18</v>
      </c>
      <c r="U82" s="30">
        <v>1.4</v>
      </c>
      <c r="V82" s="20" t="s">
        <v>210</v>
      </c>
      <c r="W82" s="22">
        <v>0</v>
      </c>
      <c r="X82" s="22">
        <v>30</v>
      </c>
      <c r="Y82" s="22">
        <v>0</v>
      </c>
      <c r="Z82" s="22">
        <v>10</v>
      </c>
      <c r="AA82" s="22">
        <v>10</v>
      </c>
      <c r="AB82" s="22">
        <v>10</v>
      </c>
      <c r="AC82" s="22"/>
      <c r="AD82" s="36">
        <f t="shared" si="2"/>
        <v>0</v>
      </c>
      <c r="AE82" s="22"/>
      <c r="AF82" s="22"/>
      <c r="AG82" s="22">
        <v>0</v>
      </c>
      <c r="AH82" s="22"/>
      <c r="AI82" s="65">
        <f t="shared" si="3"/>
        <v>0</v>
      </c>
    </row>
    <row r="83" spans="1:35" ht="13.8" customHeight="1" x14ac:dyDescent="0.3">
      <c r="A83" s="20" t="s">
        <v>743</v>
      </c>
      <c r="B83" s="20">
        <v>32</v>
      </c>
      <c r="C83" s="20" t="s">
        <v>216</v>
      </c>
      <c r="D83" s="20">
        <v>110130003</v>
      </c>
      <c r="E83" s="20" t="s">
        <v>731</v>
      </c>
      <c r="F83" s="20" t="s">
        <v>732</v>
      </c>
      <c r="G83" s="20" t="s">
        <v>786</v>
      </c>
      <c r="H83" s="29">
        <v>27626016</v>
      </c>
      <c r="I83" s="30">
        <v>2020</v>
      </c>
      <c r="J83" s="30">
        <v>812000000</v>
      </c>
      <c r="K83" s="30">
        <v>3203</v>
      </c>
      <c r="L83" s="20" t="s">
        <v>286</v>
      </c>
      <c r="M83" s="31">
        <v>3203036</v>
      </c>
      <c r="N83" s="20" t="s">
        <v>668</v>
      </c>
      <c r="O83" s="46"/>
      <c r="P83" s="20" t="s">
        <v>670</v>
      </c>
      <c r="Q83" s="20" t="s">
        <v>31</v>
      </c>
      <c r="R83" s="31">
        <v>320303600</v>
      </c>
      <c r="S83" s="20" t="s">
        <v>669</v>
      </c>
      <c r="T83" s="20" t="s">
        <v>18</v>
      </c>
      <c r="U83" s="30">
        <v>6.2</v>
      </c>
      <c r="V83" s="20" t="s">
        <v>207</v>
      </c>
      <c r="W83" s="22">
        <v>0</v>
      </c>
      <c r="X83" s="22">
        <v>14</v>
      </c>
      <c r="Y83" s="22">
        <v>2</v>
      </c>
      <c r="Z83" s="22">
        <v>4</v>
      </c>
      <c r="AA83" s="22">
        <v>4</v>
      </c>
      <c r="AB83" s="22">
        <v>4</v>
      </c>
      <c r="AC83" s="22">
        <v>2</v>
      </c>
      <c r="AD83" s="36">
        <f t="shared" si="2"/>
        <v>14.285714285714285</v>
      </c>
      <c r="AE83" s="22" t="s">
        <v>908</v>
      </c>
      <c r="AF83" s="22" t="s">
        <v>989</v>
      </c>
      <c r="AG83" s="22">
        <v>0</v>
      </c>
      <c r="AH83" s="22"/>
      <c r="AI83" s="65">
        <f t="shared" si="3"/>
        <v>0</v>
      </c>
    </row>
    <row r="84" spans="1:35" ht="13.8" customHeight="1" x14ac:dyDescent="0.3">
      <c r="A84" s="20" t="s">
        <v>743</v>
      </c>
      <c r="B84" s="20">
        <v>32</v>
      </c>
      <c r="C84" s="20" t="s">
        <v>216</v>
      </c>
      <c r="D84" s="20">
        <v>110070013</v>
      </c>
      <c r="E84" s="20" t="s">
        <v>714</v>
      </c>
      <c r="F84" s="20" t="s">
        <v>715</v>
      </c>
      <c r="G84" s="20" t="s">
        <v>785</v>
      </c>
      <c r="H84" s="29" t="s">
        <v>803</v>
      </c>
      <c r="I84" s="30" t="s">
        <v>803</v>
      </c>
      <c r="J84" s="30">
        <v>1</v>
      </c>
      <c r="K84" s="30">
        <v>3202</v>
      </c>
      <c r="L84" s="20" t="s">
        <v>217</v>
      </c>
      <c r="M84" s="30">
        <v>3202037</v>
      </c>
      <c r="N84" s="20" t="s">
        <v>295</v>
      </c>
      <c r="O84" s="46"/>
      <c r="P84" s="20" t="s">
        <v>296</v>
      </c>
      <c r="Q84" s="20" t="s">
        <v>297</v>
      </c>
      <c r="R84" s="30">
        <v>320203700</v>
      </c>
      <c r="S84" s="20" t="s">
        <v>298</v>
      </c>
      <c r="T84" s="20" t="s">
        <v>299</v>
      </c>
      <c r="U84" s="30">
        <v>6.6</v>
      </c>
      <c r="V84" s="20" t="s">
        <v>210</v>
      </c>
      <c r="W84" s="22">
        <v>1</v>
      </c>
      <c r="X84" s="22">
        <v>5</v>
      </c>
      <c r="Y84" s="22">
        <v>0</v>
      </c>
      <c r="Z84" s="22">
        <v>5</v>
      </c>
      <c r="AA84" s="22">
        <v>0</v>
      </c>
      <c r="AB84" s="22">
        <v>0</v>
      </c>
      <c r="AC84" s="22">
        <v>1</v>
      </c>
      <c r="AD84" s="36">
        <f t="shared" si="2"/>
        <v>20</v>
      </c>
      <c r="AE84" s="22" t="s">
        <v>894</v>
      </c>
      <c r="AF84" s="22" t="s">
        <v>893</v>
      </c>
      <c r="AG84" s="22">
        <v>0</v>
      </c>
      <c r="AH84" s="22"/>
      <c r="AI84" s="65">
        <f t="shared" si="3"/>
        <v>0</v>
      </c>
    </row>
    <row r="85" spans="1:35" ht="13.8" customHeight="1" x14ac:dyDescent="0.3">
      <c r="A85" s="20" t="s">
        <v>743</v>
      </c>
      <c r="B85" s="20">
        <v>32</v>
      </c>
      <c r="C85" s="20" t="s">
        <v>216</v>
      </c>
      <c r="D85" s="20">
        <v>110130003</v>
      </c>
      <c r="E85" s="20" t="s">
        <v>731</v>
      </c>
      <c r="F85" s="20" t="s">
        <v>732</v>
      </c>
      <c r="G85" s="20" t="s">
        <v>786</v>
      </c>
      <c r="H85" s="29">
        <v>27626016</v>
      </c>
      <c r="I85" s="30">
        <v>2020</v>
      </c>
      <c r="J85" s="30">
        <v>812000000</v>
      </c>
      <c r="K85" s="30">
        <v>3206</v>
      </c>
      <c r="L85" s="20" t="s">
        <v>226</v>
      </c>
      <c r="M85" s="30">
        <v>3206014</v>
      </c>
      <c r="N85" s="20" t="s">
        <v>300</v>
      </c>
      <c r="O85" s="46" t="s">
        <v>832</v>
      </c>
      <c r="P85" s="20" t="s">
        <v>301</v>
      </c>
      <c r="Q85" s="20" t="s">
        <v>302</v>
      </c>
      <c r="R85" s="30">
        <v>320601400</v>
      </c>
      <c r="S85" s="20" t="s">
        <v>303</v>
      </c>
      <c r="T85" s="20" t="s">
        <v>18</v>
      </c>
      <c r="U85" s="30">
        <v>15.2</v>
      </c>
      <c r="V85" s="20" t="s">
        <v>210</v>
      </c>
      <c r="W85" s="22">
        <v>0</v>
      </c>
      <c r="X85" s="22">
        <v>6000</v>
      </c>
      <c r="Y85" s="22">
        <v>0</v>
      </c>
      <c r="Z85" s="22">
        <v>1500</v>
      </c>
      <c r="AA85" s="22">
        <v>2000</v>
      </c>
      <c r="AB85" s="22">
        <v>2500</v>
      </c>
      <c r="AC85" s="22"/>
      <c r="AD85" s="36">
        <f t="shared" si="2"/>
        <v>0</v>
      </c>
      <c r="AE85" s="22"/>
      <c r="AF85" s="22"/>
      <c r="AG85" s="22">
        <v>200</v>
      </c>
      <c r="AH85" s="22"/>
      <c r="AI85" s="65">
        <f t="shared" si="3"/>
        <v>13.333333333333334</v>
      </c>
    </row>
    <row r="86" spans="1:35" ht="13.8" customHeight="1" x14ac:dyDescent="0.3">
      <c r="A86" s="20" t="s">
        <v>743</v>
      </c>
      <c r="B86" s="20">
        <v>32</v>
      </c>
      <c r="C86" s="20" t="s">
        <v>216</v>
      </c>
      <c r="D86" s="20">
        <v>110070013</v>
      </c>
      <c r="E86" s="20" t="s">
        <v>714</v>
      </c>
      <c r="F86" s="20" t="s">
        <v>715</v>
      </c>
      <c r="G86" s="20" t="s">
        <v>785</v>
      </c>
      <c r="H86" s="29" t="s">
        <v>803</v>
      </c>
      <c r="I86" s="30" t="s">
        <v>803</v>
      </c>
      <c r="J86" s="30">
        <v>1</v>
      </c>
      <c r="K86" s="30">
        <v>3208</v>
      </c>
      <c r="L86" s="20" t="s">
        <v>385</v>
      </c>
      <c r="M86" s="30">
        <v>3208010</v>
      </c>
      <c r="N86" s="20" t="s">
        <v>386</v>
      </c>
      <c r="O86" s="46"/>
      <c r="P86" s="20" t="s">
        <v>387</v>
      </c>
      <c r="Q86" s="20" t="s">
        <v>40</v>
      </c>
      <c r="R86" s="30">
        <v>320801000</v>
      </c>
      <c r="S86" s="20" t="s">
        <v>100</v>
      </c>
      <c r="T86" s="20" t="s">
        <v>18</v>
      </c>
      <c r="U86" s="30">
        <v>12.8</v>
      </c>
      <c r="V86" s="20" t="s">
        <v>210</v>
      </c>
      <c r="W86" s="22" t="s">
        <v>636</v>
      </c>
      <c r="X86" s="22">
        <v>600</v>
      </c>
      <c r="Y86" s="22">
        <v>150</v>
      </c>
      <c r="Z86" s="22">
        <v>150</v>
      </c>
      <c r="AA86" s="22">
        <v>150</v>
      </c>
      <c r="AB86" s="22">
        <v>150</v>
      </c>
      <c r="AC86" s="22">
        <v>160</v>
      </c>
      <c r="AD86" s="36">
        <f t="shared" si="2"/>
        <v>26.666666666666668</v>
      </c>
      <c r="AE86" s="22" t="s">
        <v>885</v>
      </c>
      <c r="AF86" s="22" t="s">
        <v>886</v>
      </c>
      <c r="AG86" s="50">
        <v>45</v>
      </c>
      <c r="AH86" s="22" t="s">
        <v>1015</v>
      </c>
      <c r="AI86" s="65">
        <f t="shared" si="3"/>
        <v>30</v>
      </c>
    </row>
    <row r="87" spans="1:35" ht="13.8" customHeight="1" x14ac:dyDescent="0.3">
      <c r="A87" s="20" t="s">
        <v>743</v>
      </c>
      <c r="B87" s="20">
        <v>17</v>
      </c>
      <c r="C87" s="20" t="s">
        <v>208</v>
      </c>
      <c r="D87" s="20">
        <v>120060005</v>
      </c>
      <c r="E87" s="20" t="s">
        <v>678</v>
      </c>
      <c r="F87" s="20" t="s">
        <v>679</v>
      </c>
      <c r="G87" s="20" t="s">
        <v>784</v>
      </c>
      <c r="H87" s="29">
        <v>22.276399999999999</v>
      </c>
      <c r="I87" s="30">
        <v>2014</v>
      </c>
      <c r="J87" s="30">
        <v>50</v>
      </c>
      <c r="K87" s="30">
        <v>1702</v>
      </c>
      <c r="L87" s="20" t="s">
        <v>209</v>
      </c>
      <c r="M87" s="30">
        <v>1702038</v>
      </c>
      <c r="N87" s="20" t="s">
        <v>457</v>
      </c>
      <c r="O87" s="46"/>
      <c r="P87" s="20" t="s">
        <v>458</v>
      </c>
      <c r="Q87" s="20" t="s">
        <v>459</v>
      </c>
      <c r="R87" s="30">
        <v>170203805</v>
      </c>
      <c r="S87" s="20" t="s">
        <v>460</v>
      </c>
      <c r="T87" s="20" t="s">
        <v>18</v>
      </c>
      <c r="U87" s="30" t="s">
        <v>596</v>
      </c>
      <c r="V87" s="20" t="s">
        <v>210</v>
      </c>
      <c r="W87" s="22">
        <v>15</v>
      </c>
      <c r="X87" s="22">
        <v>39</v>
      </c>
      <c r="Y87" s="22">
        <v>6</v>
      </c>
      <c r="Z87" s="22">
        <v>11</v>
      </c>
      <c r="AA87" s="22">
        <v>11</v>
      </c>
      <c r="AB87" s="22">
        <v>11</v>
      </c>
      <c r="AC87" s="22">
        <v>7</v>
      </c>
      <c r="AD87" s="36">
        <f t="shared" si="2"/>
        <v>17.948717948717949</v>
      </c>
      <c r="AE87" s="22" t="s">
        <v>889</v>
      </c>
      <c r="AF87" s="22" t="s">
        <v>890</v>
      </c>
      <c r="AG87" s="22">
        <v>5</v>
      </c>
      <c r="AH87" s="22" t="s">
        <v>1016</v>
      </c>
      <c r="AI87" s="65">
        <f t="shared" si="3"/>
        <v>45.454545454545453</v>
      </c>
    </row>
    <row r="88" spans="1:35" ht="13.8" customHeight="1" x14ac:dyDescent="0.3">
      <c r="A88" s="20" t="s">
        <v>743</v>
      </c>
      <c r="B88" s="20">
        <v>32</v>
      </c>
      <c r="C88" s="20" t="s">
        <v>216</v>
      </c>
      <c r="D88" s="20">
        <v>110030011</v>
      </c>
      <c r="E88" s="20" t="s">
        <v>713</v>
      </c>
      <c r="F88" s="20" t="s">
        <v>801</v>
      </c>
      <c r="G88" s="20" t="s">
        <v>802</v>
      </c>
      <c r="H88" s="29" t="s">
        <v>803</v>
      </c>
      <c r="I88" s="30" t="s">
        <v>803</v>
      </c>
      <c r="J88" s="30">
        <v>5</v>
      </c>
      <c r="K88" s="30">
        <v>3202</v>
      </c>
      <c r="L88" s="20" t="s">
        <v>217</v>
      </c>
      <c r="M88" s="30">
        <v>3202043</v>
      </c>
      <c r="N88" s="20" t="s">
        <v>461</v>
      </c>
      <c r="O88" s="46"/>
      <c r="P88" s="20" t="s">
        <v>462</v>
      </c>
      <c r="Q88" s="20" t="s">
        <v>463</v>
      </c>
      <c r="R88" s="30">
        <v>320204300</v>
      </c>
      <c r="S88" s="20" t="s">
        <v>464</v>
      </c>
      <c r="T88" s="20" t="s">
        <v>299</v>
      </c>
      <c r="U88" s="30" t="s">
        <v>604</v>
      </c>
      <c r="V88" s="20" t="s">
        <v>210</v>
      </c>
      <c r="W88" s="22">
        <v>0</v>
      </c>
      <c r="X88" s="22">
        <v>40</v>
      </c>
      <c r="Y88" s="22">
        <v>0</v>
      </c>
      <c r="Z88" s="22">
        <v>10</v>
      </c>
      <c r="AA88" s="22">
        <v>15</v>
      </c>
      <c r="AB88" s="22">
        <v>15</v>
      </c>
      <c r="AC88" s="22"/>
      <c r="AD88" s="36">
        <f t="shared" si="2"/>
        <v>0</v>
      </c>
      <c r="AE88" s="22"/>
      <c r="AF88" s="22"/>
      <c r="AG88" s="22">
        <v>0</v>
      </c>
      <c r="AH88" s="22"/>
      <c r="AI88" s="65">
        <f t="shared" si="3"/>
        <v>0</v>
      </c>
    </row>
    <row r="89" spans="1:35" ht="13.8" customHeight="1" x14ac:dyDescent="0.3">
      <c r="A89" s="20" t="s">
        <v>743</v>
      </c>
      <c r="B89" s="20">
        <v>32</v>
      </c>
      <c r="C89" s="20" t="s">
        <v>216</v>
      </c>
      <c r="D89" s="20">
        <v>110030011</v>
      </c>
      <c r="E89" s="20" t="s">
        <v>713</v>
      </c>
      <c r="F89" s="20" t="s">
        <v>801</v>
      </c>
      <c r="G89" s="20" t="s">
        <v>802</v>
      </c>
      <c r="H89" s="29" t="s">
        <v>803</v>
      </c>
      <c r="I89" s="30" t="s">
        <v>803</v>
      </c>
      <c r="J89" s="30">
        <v>5</v>
      </c>
      <c r="K89" s="30">
        <v>3202</v>
      </c>
      <c r="L89" s="20" t="s">
        <v>217</v>
      </c>
      <c r="M89" s="30">
        <v>3202006</v>
      </c>
      <c r="N89" s="20" t="s">
        <v>528</v>
      </c>
      <c r="O89" s="46"/>
      <c r="P89" s="20" t="s">
        <v>529</v>
      </c>
      <c r="Q89" s="20" t="s">
        <v>530</v>
      </c>
      <c r="R89" s="30">
        <v>320200604</v>
      </c>
      <c r="S89" s="20" t="s">
        <v>531</v>
      </c>
      <c r="T89" s="20" t="s">
        <v>18</v>
      </c>
      <c r="U89" s="30">
        <v>15.2</v>
      </c>
      <c r="V89" s="20" t="s">
        <v>210</v>
      </c>
      <c r="W89" s="22">
        <v>1500</v>
      </c>
      <c r="X89" s="22">
        <v>8000</v>
      </c>
      <c r="Y89" s="22">
        <v>0</v>
      </c>
      <c r="Z89" s="22">
        <v>4000</v>
      </c>
      <c r="AA89" s="22">
        <v>0</v>
      </c>
      <c r="AB89" s="22">
        <v>4000</v>
      </c>
      <c r="AC89" s="22"/>
      <c r="AD89" s="36">
        <f t="shared" si="2"/>
        <v>0</v>
      </c>
      <c r="AE89" s="22"/>
      <c r="AF89" s="22"/>
      <c r="AG89" s="22">
        <v>0</v>
      </c>
      <c r="AH89" s="22"/>
      <c r="AI89" s="65">
        <f t="shared" si="3"/>
        <v>0</v>
      </c>
    </row>
    <row r="90" spans="1:35" ht="13.8" customHeight="1" x14ac:dyDescent="0.3">
      <c r="A90" s="20" t="s">
        <v>743</v>
      </c>
      <c r="B90" s="20">
        <v>32</v>
      </c>
      <c r="C90" s="20" t="s">
        <v>216</v>
      </c>
      <c r="D90" s="20">
        <v>110070013</v>
      </c>
      <c r="E90" s="20" t="s">
        <v>714</v>
      </c>
      <c r="F90" s="20" t="s">
        <v>715</v>
      </c>
      <c r="G90" s="20" t="s">
        <v>785</v>
      </c>
      <c r="H90" s="29" t="s">
        <v>803</v>
      </c>
      <c r="I90" s="30" t="s">
        <v>803</v>
      </c>
      <c r="J90" s="30">
        <v>1</v>
      </c>
      <c r="K90" s="30">
        <v>3208</v>
      </c>
      <c r="L90" s="20" t="s">
        <v>385</v>
      </c>
      <c r="M90" s="30">
        <v>3208008</v>
      </c>
      <c r="N90" s="20" t="s">
        <v>538</v>
      </c>
      <c r="O90" s="46"/>
      <c r="P90" s="20" t="s">
        <v>539</v>
      </c>
      <c r="Q90" s="20" t="s">
        <v>229</v>
      </c>
      <c r="R90" s="30">
        <v>320800803</v>
      </c>
      <c r="S90" s="20" t="s">
        <v>540</v>
      </c>
      <c r="T90" s="20" t="s">
        <v>18</v>
      </c>
      <c r="U90" s="30">
        <v>12.8</v>
      </c>
      <c r="V90" s="20" t="s">
        <v>210</v>
      </c>
      <c r="W90" s="22">
        <v>0</v>
      </c>
      <c r="X90" s="22">
        <v>4</v>
      </c>
      <c r="Y90" s="22">
        <v>1</v>
      </c>
      <c r="Z90" s="22">
        <v>1</v>
      </c>
      <c r="AA90" s="22">
        <v>1</v>
      </c>
      <c r="AB90" s="22">
        <v>1</v>
      </c>
      <c r="AC90" s="22">
        <v>2</v>
      </c>
      <c r="AD90" s="36">
        <f t="shared" si="2"/>
        <v>50</v>
      </c>
      <c r="AE90" s="22" t="s">
        <v>885</v>
      </c>
      <c r="AF90" s="22" t="s">
        <v>886</v>
      </c>
      <c r="AG90" s="50">
        <v>1</v>
      </c>
      <c r="AH90" s="22" t="s">
        <v>1015</v>
      </c>
      <c r="AI90" s="65">
        <f t="shared" si="3"/>
        <v>100</v>
      </c>
    </row>
    <row r="91" spans="1:35" ht="13.8" customHeight="1" x14ac:dyDescent="0.3">
      <c r="A91" s="20" t="s">
        <v>743</v>
      </c>
      <c r="B91" s="20">
        <v>17</v>
      </c>
      <c r="C91" s="20" t="s">
        <v>208</v>
      </c>
      <c r="D91" s="20">
        <v>120060005</v>
      </c>
      <c r="E91" s="20" t="s">
        <v>678</v>
      </c>
      <c r="F91" s="20" t="s">
        <v>679</v>
      </c>
      <c r="G91" s="20" t="s">
        <v>784</v>
      </c>
      <c r="H91" s="29">
        <v>22.276399999999999</v>
      </c>
      <c r="I91" s="30">
        <v>2014</v>
      </c>
      <c r="J91" s="30">
        <v>50</v>
      </c>
      <c r="K91" s="30">
        <v>1702</v>
      </c>
      <c r="L91" s="25" t="s">
        <v>681</v>
      </c>
      <c r="M91" s="32">
        <v>1702017</v>
      </c>
      <c r="N91" s="25" t="s">
        <v>682</v>
      </c>
      <c r="O91" s="46"/>
      <c r="P91" s="25" t="s">
        <v>683</v>
      </c>
      <c r="Q91" s="25" t="s">
        <v>684</v>
      </c>
      <c r="R91" s="32">
        <v>170201700</v>
      </c>
      <c r="S91" s="25" t="s">
        <v>597</v>
      </c>
      <c r="T91" s="25" t="s">
        <v>18</v>
      </c>
      <c r="U91" s="30">
        <v>2.2999999999999998</v>
      </c>
      <c r="V91" s="20" t="s">
        <v>210</v>
      </c>
      <c r="W91" s="22">
        <v>0</v>
      </c>
      <c r="X91" s="22">
        <v>200</v>
      </c>
      <c r="Y91" s="22">
        <v>50</v>
      </c>
      <c r="Z91" s="22">
        <v>50</v>
      </c>
      <c r="AA91" s="22">
        <v>50</v>
      </c>
      <c r="AB91" s="22">
        <v>50</v>
      </c>
      <c r="AC91" s="22">
        <v>99</v>
      </c>
      <c r="AD91" s="36">
        <f t="shared" si="2"/>
        <v>49.5</v>
      </c>
      <c r="AE91" s="22" t="s">
        <v>911</v>
      </c>
      <c r="AF91" s="22" t="s">
        <v>921</v>
      </c>
      <c r="AG91" s="22">
        <v>0</v>
      </c>
      <c r="AH91" s="22"/>
      <c r="AI91" s="65">
        <f t="shared" si="3"/>
        <v>0</v>
      </c>
    </row>
    <row r="92" spans="1:35" ht="13.8" customHeight="1" x14ac:dyDescent="0.3">
      <c r="A92" s="20" t="s">
        <v>743</v>
      </c>
      <c r="B92" s="20">
        <v>32</v>
      </c>
      <c r="C92" s="20" t="s">
        <v>216</v>
      </c>
      <c r="D92" s="20">
        <v>110130003</v>
      </c>
      <c r="E92" s="20" t="s">
        <v>731</v>
      </c>
      <c r="F92" s="20" t="s">
        <v>732</v>
      </c>
      <c r="G92" s="20" t="s">
        <v>786</v>
      </c>
      <c r="H92" s="29">
        <v>27626016</v>
      </c>
      <c r="I92" s="30">
        <v>2020</v>
      </c>
      <c r="J92" s="30">
        <v>812000000</v>
      </c>
      <c r="K92" s="30">
        <v>3203</v>
      </c>
      <c r="L92" s="25" t="s">
        <v>286</v>
      </c>
      <c r="M92" s="32">
        <v>3203021</v>
      </c>
      <c r="N92" s="25" t="s">
        <v>692</v>
      </c>
      <c r="O92" s="46"/>
      <c r="P92" s="25" t="s">
        <v>693</v>
      </c>
      <c r="Q92" s="25" t="s">
        <v>694</v>
      </c>
      <c r="R92" s="32">
        <v>320302104</v>
      </c>
      <c r="S92" s="25" t="s">
        <v>695</v>
      </c>
      <c r="T92" s="25" t="s">
        <v>18</v>
      </c>
      <c r="U92" s="30">
        <v>17.18</v>
      </c>
      <c r="V92" s="20" t="s">
        <v>207</v>
      </c>
      <c r="W92" s="22">
        <v>0</v>
      </c>
      <c r="X92" s="22">
        <v>1</v>
      </c>
      <c r="Y92" s="22">
        <v>0</v>
      </c>
      <c r="Z92" s="22">
        <v>0</v>
      </c>
      <c r="AA92" s="22">
        <v>1</v>
      </c>
      <c r="AB92" s="22">
        <v>0</v>
      </c>
      <c r="AC92" s="22"/>
      <c r="AD92" s="22">
        <f t="shared" si="2"/>
        <v>0</v>
      </c>
      <c r="AE92" s="22"/>
      <c r="AF92" s="22"/>
      <c r="AG92" s="22" t="s">
        <v>1048</v>
      </c>
      <c r="AH92" s="22"/>
      <c r="AI92" s="65" t="e">
        <f t="shared" si="3"/>
        <v>#VALUE!</v>
      </c>
    </row>
    <row r="93" spans="1:35" ht="13.8" customHeight="1" x14ac:dyDescent="0.3">
      <c r="A93" s="20" t="s">
        <v>743</v>
      </c>
      <c r="B93" s="20">
        <v>21</v>
      </c>
      <c r="C93" s="20" t="s">
        <v>64</v>
      </c>
      <c r="D93" s="20">
        <v>110150003</v>
      </c>
      <c r="E93" s="20" t="s">
        <v>764</v>
      </c>
      <c r="F93" s="20" t="s">
        <v>719</v>
      </c>
      <c r="G93" s="20" t="s">
        <v>783</v>
      </c>
      <c r="H93" s="29">
        <v>41.476999999999997</v>
      </c>
      <c r="I93" s="30">
        <v>2017</v>
      </c>
      <c r="J93" s="30">
        <v>38</v>
      </c>
      <c r="K93" s="30">
        <v>2102</v>
      </c>
      <c r="L93" s="20" t="s">
        <v>65</v>
      </c>
      <c r="M93" s="30">
        <v>2102011</v>
      </c>
      <c r="N93" s="20" t="s">
        <v>601</v>
      </c>
      <c r="O93" s="46"/>
      <c r="P93" s="20" t="s">
        <v>740</v>
      </c>
      <c r="Q93" s="26" t="s">
        <v>287</v>
      </c>
      <c r="R93" s="31">
        <v>210205800</v>
      </c>
      <c r="S93" s="20" t="s">
        <v>601</v>
      </c>
      <c r="T93" s="20" t="s">
        <v>18</v>
      </c>
      <c r="U93" s="30" t="s">
        <v>600</v>
      </c>
      <c r="V93" s="20" t="s">
        <v>23</v>
      </c>
      <c r="W93" s="22">
        <v>0</v>
      </c>
      <c r="X93" s="22">
        <v>75</v>
      </c>
      <c r="Y93" s="22">
        <v>0</v>
      </c>
      <c r="Z93" s="22">
        <v>0</v>
      </c>
      <c r="AA93" s="22">
        <v>75</v>
      </c>
      <c r="AB93" s="22">
        <v>0</v>
      </c>
      <c r="AC93" s="22"/>
      <c r="AD93" s="22">
        <f t="shared" si="2"/>
        <v>0</v>
      </c>
      <c r="AE93" s="22"/>
      <c r="AF93" s="22"/>
      <c r="AG93" s="22" t="s">
        <v>1048</v>
      </c>
      <c r="AH93" s="22"/>
      <c r="AI93" s="65" t="e">
        <f t="shared" si="3"/>
        <v>#VALUE!</v>
      </c>
    </row>
    <row r="94" spans="1:35" ht="13.8" customHeight="1" x14ac:dyDescent="0.3">
      <c r="A94" s="20" t="s">
        <v>743</v>
      </c>
      <c r="B94" s="20">
        <v>17</v>
      </c>
      <c r="C94" s="20" t="s">
        <v>208</v>
      </c>
      <c r="D94" s="21">
        <v>150070007</v>
      </c>
      <c r="E94" s="21" t="s">
        <v>728</v>
      </c>
      <c r="F94" s="20" t="s">
        <v>729</v>
      </c>
      <c r="G94" s="20" t="s">
        <v>787</v>
      </c>
      <c r="H94" s="29">
        <v>0</v>
      </c>
      <c r="I94" s="30">
        <v>2021</v>
      </c>
      <c r="J94" s="30">
        <v>1</v>
      </c>
      <c r="K94" s="30">
        <v>1704</v>
      </c>
      <c r="L94" s="25" t="s">
        <v>685</v>
      </c>
      <c r="M94" s="32">
        <v>1704010</v>
      </c>
      <c r="N94" s="25" t="s">
        <v>686</v>
      </c>
      <c r="O94" s="46" t="s">
        <v>833</v>
      </c>
      <c r="P94" s="25" t="s">
        <v>687</v>
      </c>
      <c r="Q94" s="25" t="s">
        <v>688</v>
      </c>
      <c r="R94" s="32">
        <v>170401000</v>
      </c>
      <c r="S94" s="25" t="s">
        <v>595</v>
      </c>
      <c r="T94" s="25" t="s">
        <v>18</v>
      </c>
      <c r="U94" s="30">
        <v>1.4</v>
      </c>
      <c r="V94" s="20" t="s">
        <v>23</v>
      </c>
      <c r="W94" s="22">
        <v>42</v>
      </c>
      <c r="X94" s="22">
        <v>100</v>
      </c>
      <c r="Y94" s="22">
        <v>0</v>
      </c>
      <c r="Z94" s="22">
        <v>0</v>
      </c>
      <c r="AA94" s="22">
        <v>50</v>
      </c>
      <c r="AB94" s="22">
        <v>50</v>
      </c>
      <c r="AC94" s="22"/>
      <c r="AD94" s="22">
        <f t="shared" si="2"/>
        <v>0</v>
      </c>
      <c r="AE94" s="22"/>
      <c r="AF94" s="22"/>
      <c r="AG94" s="22" t="s">
        <v>1048</v>
      </c>
      <c r="AH94" s="22"/>
      <c r="AI94" s="65" t="e">
        <f t="shared" si="3"/>
        <v>#VALUE!</v>
      </c>
    </row>
    <row r="95" spans="1:35" ht="13.8" customHeight="1" x14ac:dyDescent="0.3">
      <c r="A95" s="20" t="s">
        <v>744</v>
      </c>
      <c r="B95" s="20">
        <v>40</v>
      </c>
      <c r="C95" s="20" t="s">
        <v>194</v>
      </c>
      <c r="D95" s="20">
        <v>30010019</v>
      </c>
      <c r="E95" s="20" t="s">
        <v>675</v>
      </c>
      <c r="F95" s="20" t="s">
        <v>428</v>
      </c>
      <c r="G95" s="20" t="s">
        <v>774</v>
      </c>
      <c r="H95" s="29">
        <v>80.885800000000003</v>
      </c>
      <c r="I95" s="30">
        <v>2018</v>
      </c>
      <c r="J95" s="30">
        <v>91</v>
      </c>
      <c r="K95" s="30">
        <v>4003</v>
      </c>
      <c r="L95" s="20" t="s">
        <v>202</v>
      </c>
      <c r="M95" s="30">
        <v>4003010</v>
      </c>
      <c r="N95" s="20" t="s">
        <v>203</v>
      </c>
      <c r="O95" s="46"/>
      <c r="P95" s="20" t="s">
        <v>204</v>
      </c>
      <c r="Q95" s="20" t="s">
        <v>205</v>
      </c>
      <c r="R95" s="30">
        <v>400301000</v>
      </c>
      <c r="S95" s="20" t="s">
        <v>206</v>
      </c>
      <c r="T95" s="20" t="s">
        <v>18</v>
      </c>
      <c r="U95" s="30">
        <v>6.2</v>
      </c>
      <c r="V95" s="20" t="s">
        <v>207</v>
      </c>
      <c r="W95" s="22">
        <v>1490</v>
      </c>
      <c r="X95" s="22">
        <v>6120</v>
      </c>
      <c r="Y95" s="22">
        <v>1500</v>
      </c>
      <c r="Z95" s="22">
        <v>1520</v>
      </c>
      <c r="AA95" s="22">
        <v>1540</v>
      </c>
      <c r="AB95" s="22">
        <v>1560</v>
      </c>
      <c r="AC95" s="22">
        <v>1562</v>
      </c>
      <c r="AD95" s="36">
        <f t="shared" si="2"/>
        <v>25.522875816993462</v>
      </c>
      <c r="AE95" s="22" t="s">
        <v>907</v>
      </c>
      <c r="AF95" s="39" t="s">
        <v>906</v>
      </c>
      <c r="AG95" s="39">
        <v>1520</v>
      </c>
      <c r="AH95" s="39"/>
      <c r="AI95" s="65">
        <f t="shared" si="3"/>
        <v>100</v>
      </c>
    </row>
    <row r="96" spans="1:35" ht="13.8" customHeight="1" x14ac:dyDescent="0.3">
      <c r="A96" s="20" t="s">
        <v>744</v>
      </c>
      <c r="B96" s="20">
        <v>40</v>
      </c>
      <c r="C96" s="20" t="s">
        <v>194</v>
      </c>
      <c r="D96" s="20">
        <v>30010006</v>
      </c>
      <c r="E96" s="20" t="s">
        <v>672</v>
      </c>
      <c r="F96" s="20" t="s">
        <v>679</v>
      </c>
      <c r="G96" s="20" t="s">
        <v>774</v>
      </c>
      <c r="H96" s="29">
        <v>64.2774</v>
      </c>
      <c r="I96" s="30">
        <v>2018</v>
      </c>
      <c r="J96" s="30">
        <v>75</v>
      </c>
      <c r="K96" s="30">
        <v>4003</v>
      </c>
      <c r="L96" s="20" t="s">
        <v>202</v>
      </c>
      <c r="M96" s="30">
        <v>4003022</v>
      </c>
      <c r="N96" s="20" t="s">
        <v>658</v>
      </c>
      <c r="O96" s="46"/>
      <c r="P96" s="20" t="s">
        <v>659</v>
      </c>
      <c r="Q96" s="20" t="s">
        <v>307</v>
      </c>
      <c r="R96" s="30">
        <v>400302200</v>
      </c>
      <c r="S96" s="20" t="s">
        <v>608</v>
      </c>
      <c r="T96" s="20" t="s">
        <v>18</v>
      </c>
      <c r="U96" s="30">
        <v>11.6</v>
      </c>
      <c r="V96" s="20" t="s">
        <v>207</v>
      </c>
      <c r="W96" s="22">
        <v>1</v>
      </c>
      <c r="X96" s="22">
        <v>4</v>
      </c>
      <c r="Y96" s="22">
        <v>1</v>
      </c>
      <c r="Z96" s="22">
        <v>1</v>
      </c>
      <c r="AA96" s="22">
        <v>1</v>
      </c>
      <c r="AB96" s="22">
        <v>1</v>
      </c>
      <c r="AC96" s="22">
        <v>1</v>
      </c>
      <c r="AD96" s="36">
        <f t="shared" si="2"/>
        <v>25</v>
      </c>
      <c r="AE96" s="22" t="s">
        <v>922</v>
      </c>
      <c r="AF96" s="22" t="s">
        <v>902</v>
      </c>
      <c r="AG96" s="22">
        <v>1</v>
      </c>
      <c r="AH96" s="22"/>
      <c r="AI96" s="65">
        <f t="shared" si="3"/>
        <v>100</v>
      </c>
    </row>
    <row r="97" spans="1:35" ht="13.8" customHeight="1" x14ac:dyDescent="0.3">
      <c r="A97" s="20" t="s">
        <v>744</v>
      </c>
      <c r="B97" s="20">
        <v>40</v>
      </c>
      <c r="C97" s="20" t="s">
        <v>194</v>
      </c>
      <c r="D97" s="20">
        <v>30010004</v>
      </c>
      <c r="E97" s="20" t="s">
        <v>671</v>
      </c>
      <c r="F97" s="20" t="s">
        <v>679</v>
      </c>
      <c r="G97" s="20" t="s">
        <v>774</v>
      </c>
      <c r="H97" s="29">
        <v>88.578100000000006</v>
      </c>
      <c r="I97" s="30">
        <v>2018</v>
      </c>
      <c r="J97" s="30">
        <v>91</v>
      </c>
      <c r="K97" s="30">
        <v>4003</v>
      </c>
      <c r="L97" s="20" t="s">
        <v>202</v>
      </c>
      <c r="M97" s="30">
        <v>4003041</v>
      </c>
      <c r="N97" s="20" t="s">
        <v>662</v>
      </c>
      <c r="O97" s="46" t="s">
        <v>834</v>
      </c>
      <c r="P97" s="20" t="s">
        <v>663</v>
      </c>
      <c r="Q97" s="20" t="s">
        <v>664</v>
      </c>
      <c r="R97" s="30">
        <v>400304101</v>
      </c>
      <c r="S97" s="20" t="s">
        <v>665</v>
      </c>
      <c r="T97" s="20" t="s">
        <v>18</v>
      </c>
      <c r="U97" s="30">
        <v>16.600000000000001</v>
      </c>
      <c r="V97" s="20" t="s">
        <v>207</v>
      </c>
      <c r="W97" s="22">
        <v>0</v>
      </c>
      <c r="X97" s="22">
        <v>1</v>
      </c>
      <c r="Y97" s="22">
        <v>0</v>
      </c>
      <c r="Z97" s="22">
        <v>1</v>
      </c>
      <c r="AA97" s="22">
        <v>0</v>
      </c>
      <c r="AB97" s="22">
        <v>0</v>
      </c>
      <c r="AC97" s="22"/>
      <c r="AD97" s="36">
        <f t="shared" si="2"/>
        <v>0</v>
      </c>
      <c r="AE97" s="22"/>
      <c r="AF97" s="22" t="s">
        <v>903</v>
      </c>
      <c r="AG97" s="22">
        <v>0</v>
      </c>
      <c r="AH97" s="22"/>
      <c r="AI97" s="65">
        <f t="shared" si="3"/>
        <v>0</v>
      </c>
    </row>
    <row r="98" spans="1:35" ht="13.8" customHeight="1" x14ac:dyDescent="0.3">
      <c r="A98" s="20" t="s">
        <v>744</v>
      </c>
      <c r="B98" s="20">
        <v>40</v>
      </c>
      <c r="C98" s="20" t="s">
        <v>194</v>
      </c>
      <c r="D98" s="20">
        <v>30010004</v>
      </c>
      <c r="E98" s="20" t="s">
        <v>671</v>
      </c>
      <c r="F98" s="20" t="s">
        <v>679</v>
      </c>
      <c r="G98" s="20" t="s">
        <v>774</v>
      </c>
      <c r="H98" s="29">
        <v>88.578100000000006</v>
      </c>
      <c r="I98" s="30">
        <v>2018</v>
      </c>
      <c r="J98" s="30">
        <v>91</v>
      </c>
      <c r="K98" s="30">
        <v>4003</v>
      </c>
      <c r="L98" s="20" t="s">
        <v>202</v>
      </c>
      <c r="M98" s="30">
        <v>4003006</v>
      </c>
      <c r="N98" s="20" t="s">
        <v>95</v>
      </c>
      <c r="O98" s="46" t="s">
        <v>835</v>
      </c>
      <c r="P98" s="20" t="s">
        <v>200</v>
      </c>
      <c r="Q98" s="20" t="s">
        <v>26</v>
      </c>
      <c r="R98" s="30">
        <v>400300601</v>
      </c>
      <c r="S98" s="20" t="s">
        <v>666</v>
      </c>
      <c r="T98" s="20" t="s">
        <v>18</v>
      </c>
      <c r="U98" s="30">
        <v>6.4</v>
      </c>
      <c r="V98" s="20" t="s">
        <v>207</v>
      </c>
      <c r="W98" s="22">
        <v>1</v>
      </c>
      <c r="X98" s="22">
        <v>1</v>
      </c>
      <c r="Y98" s="22">
        <v>0</v>
      </c>
      <c r="Z98" s="22">
        <v>0</v>
      </c>
      <c r="AA98" s="22">
        <v>1</v>
      </c>
      <c r="AB98" s="22">
        <v>0</v>
      </c>
      <c r="AC98" s="22"/>
      <c r="AD98" s="22">
        <f t="shared" si="2"/>
        <v>0</v>
      </c>
      <c r="AE98" s="22"/>
      <c r="AF98" s="22"/>
      <c r="AG98" s="22" t="s">
        <v>1048</v>
      </c>
      <c r="AH98" s="22"/>
      <c r="AI98" s="65" t="e">
        <f t="shared" si="3"/>
        <v>#VALUE!</v>
      </c>
    </row>
    <row r="99" spans="1:35" ht="13.8" customHeight="1" x14ac:dyDescent="0.3">
      <c r="A99" s="20" t="s">
        <v>744</v>
      </c>
      <c r="B99" s="20">
        <v>41</v>
      </c>
      <c r="C99" s="20" t="s">
        <v>12</v>
      </c>
      <c r="D99" s="20">
        <v>140010051</v>
      </c>
      <c r="E99" s="20" t="s">
        <v>720</v>
      </c>
      <c r="F99" s="20" t="s">
        <v>428</v>
      </c>
      <c r="G99" s="20" t="s">
        <v>774</v>
      </c>
      <c r="H99" s="29">
        <v>77.937399999999997</v>
      </c>
      <c r="I99" s="30">
        <v>2023</v>
      </c>
      <c r="J99" s="30">
        <v>72</v>
      </c>
      <c r="K99" s="30">
        <v>4102</v>
      </c>
      <c r="L99" s="20" t="s">
        <v>13</v>
      </c>
      <c r="M99" s="30">
        <v>4102010</v>
      </c>
      <c r="N99" s="20" t="s">
        <v>20</v>
      </c>
      <c r="O99" s="46" t="s">
        <v>836</v>
      </c>
      <c r="P99" s="20" t="s">
        <v>21</v>
      </c>
      <c r="Q99" s="20" t="s">
        <v>22</v>
      </c>
      <c r="R99" s="30">
        <v>410201000</v>
      </c>
      <c r="S99" s="20" t="s">
        <v>20</v>
      </c>
      <c r="T99" s="20" t="s">
        <v>18</v>
      </c>
      <c r="U99" s="30">
        <v>4.2</v>
      </c>
      <c r="V99" s="20" t="s">
        <v>23</v>
      </c>
      <c r="W99" s="22">
        <v>1</v>
      </c>
      <c r="X99" s="22">
        <v>1</v>
      </c>
      <c r="Y99" s="22">
        <v>0</v>
      </c>
      <c r="Z99" s="22">
        <v>1</v>
      </c>
      <c r="AA99" s="22">
        <v>0</v>
      </c>
      <c r="AB99" s="22">
        <v>0</v>
      </c>
      <c r="AC99" s="22"/>
      <c r="AD99" s="36">
        <f t="shared" si="2"/>
        <v>0</v>
      </c>
      <c r="AE99" s="22"/>
      <c r="AF99" s="22"/>
      <c r="AG99" s="22">
        <v>0</v>
      </c>
      <c r="AH99" s="22"/>
      <c r="AI99" s="65">
        <f t="shared" si="3"/>
        <v>0</v>
      </c>
    </row>
    <row r="100" spans="1:35" ht="13.8" customHeight="1" x14ac:dyDescent="0.3">
      <c r="A100" s="20" t="s">
        <v>744</v>
      </c>
      <c r="B100" s="20">
        <v>33</v>
      </c>
      <c r="C100" s="20" t="s">
        <v>83</v>
      </c>
      <c r="D100" s="20">
        <v>270010001</v>
      </c>
      <c r="E100" s="20" t="s">
        <v>759</v>
      </c>
      <c r="F100" s="20" t="s">
        <v>18</v>
      </c>
      <c r="G100" s="20" t="s">
        <v>788</v>
      </c>
      <c r="H100" s="29">
        <v>6</v>
      </c>
      <c r="I100" s="30">
        <v>2022</v>
      </c>
      <c r="J100" s="30">
        <v>6</v>
      </c>
      <c r="K100" s="30">
        <v>3301</v>
      </c>
      <c r="L100" s="20" t="s">
        <v>84</v>
      </c>
      <c r="M100" s="30">
        <v>3301068</v>
      </c>
      <c r="N100" s="20" t="s">
        <v>85</v>
      </c>
      <c r="O100" s="46" t="s">
        <v>837</v>
      </c>
      <c r="P100" s="20" t="s">
        <v>86</v>
      </c>
      <c r="Q100" s="20" t="s">
        <v>87</v>
      </c>
      <c r="R100" s="30">
        <v>330106800</v>
      </c>
      <c r="S100" s="20" t="s">
        <v>88</v>
      </c>
      <c r="T100" s="20" t="s">
        <v>18</v>
      </c>
      <c r="U100" s="30">
        <v>11.4</v>
      </c>
      <c r="V100" s="20" t="s">
        <v>23</v>
      </c>
      <c r="W100" s="22">
        <v>1</v>
      </c>
      <c r="X100" s="22">
        <v>1</v>
      </c>
      <c r="Y100" s="22">
        <v>0</v>
      </c>
      <c r="Z100" s="22">
        <v>1</v>
      </c>
      <c r="AA100" s="22">
        <v>0</v>
      </c>
      <c r="AB100" s="22">
        <v>0</v>
      </c>
      <c r="AC100" s="22"/>
      <c r="AD100" s="36">
        <f t="shared" si="2"/>
        <v>0</v>
      </c>
      <c r="AE100" s="22"/>
      <c r="AF100" s="22"/>
      <c r="AG100" s="22">
        <v>0</v>
      </c>
      <c r="AH100" s="22"/>
      <c r="AI100" s="65">
        <f t="shared" si="3"/>
        <v>0</v>
      </c>
    </row>
    <row r="101" spans="1:35" ht="13.8" customHeight="1" x14ac:dyDescent="0.3">
      <c r="A101" s="20" t="s">
        <v>744</v>
      </c>
      <c r="B101" s="20">
        <v>22</v>
      </c>
      <c r="C101" s="20" t="s">
        <v>93</v>
      </c>
      <c r="D101" s="20">
        <v>40010006</v>
      </c>
      <c r="E101" s="20" t="s">
        <v>676</v>
      </c>
      <c r="F101" s="20" t="s">
        <v>679</v>
      </c>
      <c r="G101" s="20" t="s">
        <v>778</v>
      </c>
      <c r="H101" s="29">
        <v>101.0859</v>
      </c>
      <c r="I101" s="30">
        <v>2022</v>
      </c>
      <c r="J101" s="30">
        <v>101</v>
      </c>
      <c r="K101" s="30">
        <v>2201</v>
      </c>
      <c r="L101" s="20" t="s">
        <v>94</v>
      </c>
      <c r="M101" s="30">
        <v>2201022</v>
      </c>
      <c r="N101" s="20" t="s">
        <v>109</v>
      </c>
      <c r="O101" s="46"/>
      <c r="P101" s="20" t="s">
        <v>110</v>
      </c>
      <c r="Q101" s="20" t="s">
        <v>111</v>
      </c>
      <c r="R101" s="30">
        <v>220102200</v>
      </c>
      <c r="S101" s="20" t="s">
        <v>112</v>
      </c>
      <c r="T101" s="20" t="s">
        <v>18</v>
      </c>
      <c r="U101" s="30" t="s">
        <v>590</v>
      </c>
      <c r="V101" s="20" t="s">
        <v>23</v>
      </c>
      <c r="W101" s="22">
        <v>0</v>
      </c>
      <c r="X101" s="22">
        <v>3</v>
      </c>
      <c r="Y101" s="22">
        <v>0</v>
      </c>
      <c r="Z101" s="22">
        <v>0</v>
      </c>
      <c r="AA101" s="22">
        <v>3</v>
      </c>
      <c r="AB101" s="22">
        <v>0</v>
      </c>
      <c r="AC101" s="22"/>
      <c r="AD101" s="22">
        <f t="shared" si="2"/>
        <v>0</v>
      </c>
      <c r="AE101" s="22"/>
      <c r="AF101" s="22"/>
      <c r="AG101" s="22" t="s">
        <v>1048</v>
      </c>
      <c r="AH101" s="22"/>
      <c r="AI101" s="65" t="e">
        <f t="shared" si="3"/>
        <v>#VALUE!</v>
      </c>
    </row>
    <row r="102" spans="1:35" ht="13.8" customHeight="1" x14ac:dyDescent="0.3">
      <c r="A102" s="20" t="s">
        <v>744</v>
      </c>
      <c r="B102" s="20">
        <v>43</v>
      </c>
      <c r="C102" s="20" t="s">
        <v>158</v>
      </c>
      <c r="D102" s="20">
        <v>270030003</v>
      </c>
      <c r="E102" s="20" t="s">
        <v>722</v>
      </c>
      <c r="F102" s="20" t="s">
        <v>797</v>
      </c>
      <c r="G102" s="20" t="s">
        <v>798</v>
      </c>
      <c r="H102" s="29" t="s">
        <v>803</v>
      </c>
      <c r="I102" s="30" t="s">
        <v>803</v>
      </c>
      <c r="J102" s="30">
        <v>480</v>
      </c>
      <c r="K102" s="30">
        <v>4301</v>
      </c>
      <c r="L102" s="20" t="s">
        <v>159</v>
      </c>
      <c r="M102" s="30">
        <v>4301004</v>
      </c>
      <c r="N102" s="20" t="s">
        <v>163</v>
      </c>
      <c r="O102" s="46" t="s">
        <v>838</v>
      </c>
      <c r="P102" s="20" t="s">
        <v>164</v>
      </c>
      <c r="Q102" s="20" t="s">
        <v>165</v>
      </c>
      <c r="R102" s="30">
        <v>430100400</v>
      </c>
      <c r="S102" s="20" t="s">
        <v>166</v>
      </c>
      <c r="T102" s="20" t="s">
        <v>18</v>
      </c>
      <c r="U102" s="30">
        <v>11.7</v>
      </c>
      <c r="V102" s="20" t="s">
        <v>23</v>
      </c>
      <c r="W102" s="22">
        <v>11</v>
      </c>
      <c r="X102" s="22">
        <v>11</v>
      </c>
      <c r="Y102" s="22">
        <v>2</v>
      </c>
      <c r="Z102" s="22">
        <v>3</v>
      </c>
      <c r="AA102" s="22">
        <v>3</v>
      </c>
      <c r="AB102" s="22">
        <v>3</v>
      </c>
      <c r="AC102" s="22">
        <v>2</v>
      </c>
      <c r="AD102" s="36">
        <f t="shared" si="2"/>
        <v>18.181818181818183</v>
      </c>
      <c r="AE102" s="22"/>
      <c r="AF102" s="22" t="s">
        <v>987</v>
      </c>
      <c r="AG102" s="22">
        <v>2</v>
      </c>
      <c r="AH102" s="22" t="s">
        <v>1081</v>
      </c>
      <c r="AI102" s="65">
        <f t="shared" si="3"/>
        <v>66.666666666666671</v>
      </c>
    </row>
    <row r="103" spans="1:35" ht="13.8" customHeight="1" x14ac:dyDescent="0.3">
      <c r="A103" s="20" t="s">
        <v>744</v>
      </c>
      <c r="B103" s="20">
        <v>43</v>
      </c>
      <c r="C103" s="20" t="s">
        <v>158</v>
      </c>
      <c r="D103" s="20">
        <v>270030003</v>
      </c>
      <c r="E103" s="20" t="s">
        <v>722</v>
      </c>
      <c r="F103" s="20" t="s">
        <v>797</v>
      </c>
      <c r="G103" s="20" t="s">
        <v>798</v>
      </c>
      <c r="H103" s="29" t="s">
        <v>803</v>
      </c>
      <c r="I103" s="30" t="s">
        <v>803</v>
      </c>
      <c r="J103" s="30">
        <v>480</v>
      </c>
      <c r="K103" s="30">
        <v>4301</v>
      </c>
      <c r="L103" s="20" t="s">
        <v>159</v>
      </c>
      <c r="M103" s="30">
        <v>4301010</v>
      </c>
      <c r="N103" s="20" t="s">
        <v>171</v>
      </c>
      <c r="O103" s="46" t="s">
        <v>839</v>
      </c>
      <c r="P103" s="20" t="s">
        <v>172</v>
      </c>
      <c r="Q103" s="20" t="s">
        <v>173</v>
      </c>
      <c r="R103" s="30">
        <v>430101000</v>
      </c>
      <c r="S103" s="20" t="s">
        <v>174</v>
      </c>
      <c r="T103" s="20" t="s">
        <v>18</v>
      </c>
      <c r="U103" s="30">
        <v>11.7</v>
      </c>
      <c r="V103" s="20" t="s">
        <v>23</v>
      </c>
      <c r="W103" s="22">
        <v>1</v>
      </c>
      <c r="X103" s="22">
        <v>4</v>
      </c>
      <c r="Y103" s="22">
        <v>0</v>
      </c>
      <c r="Z103" s="22">
        <v>1</v>
      </c>
      <c r="AA103" s="22">
        <v>2</v>
      </c>
      <c r="AB103" s="22">
        <v>1</v>
      </c>
      <c r="AC103" s="22"/>
      <c r="AD103" s="36">
        <f t="shared" si="2"/>
        <v>0</v>
      </c>
      <c r="AE103" s="22"/>
      <c r="AF103" s="22"/>
      <c r="AG103" s="22">
        <v>0</v>
      </c>
      <c r="AH103" s="22"/>
      <c r="AI103" s="65">
        <f t="shared" si="3"/>
        <v>0</v>
      </c>
    </row>
    <row r="104" spans="1:35" ht="13.8" customHeight="1" x14ac:dyDescent="0.3">
      <c r="A104" s="20" t="s">
        <v>744</v>
      </c>
      <c r="B104" s="20">
        <v>43</v>
      </c>
      <c r="C104" s="20" t="s">
        <v>158</v>
      </c>
      <c r="D104" s="20">
        <v>270030003</v>
      </c>
      <c r="E104" s="20" t="s">
        <v>722</v>
      </c>
      <c r="F104" s="20" t="s">
        <v>797</v>
      </c>
      <c r="G104" s="20" t="s">
        <v>798</v>
      </c>
      <c r="H104" s="29" t="s">
        <v>803</v>
      </c>
      <c r="I104" s="30" t="s">
        <v>803</v>
      </c>
      <c r="J104" s="30">
        <v>480</v>
      </c>
      <c r="K104" s="30">
        <v>4301</v>
      </c>
      <c r="L104" s="20" t="s">
        <v>159</v>
      </c>
      <c r="M104" s="30">
        <v>4301019</v>
      </c>
      <c r="N104" s="20" t="s">
        <v>175</v>
      </c>
      <c r="O104" s="46"/>
      <c r="P104" s="20" t="s">
        <v>176</v>
      </c>
      <c r="Q104" s="20" t="s">
        <v>177</v>
      </c>
      <c r="R104" s="30">
        <v>430101900</v>
      </c>
      <c r="S104" s="20" t="s">
        <v>178</v>
      </c>
      <c r="T104" s="20" t="s">
        <v>18</v>
      </c>
      <c r="U104" s="30">
        <v>11.7</v>
      </c>
      <c r="V104" s="20" t="s">
        <v>23</v>
      </c>
      <c r="W104" s="22">
        <v>2</v>
      </c>
      <c r="X104" s="22">
        <v>1</v>
      </c>
      <c r="Y104" s="22">
        <v>0</v>
      </c>
      <c r="Z104" s="22">
        <v>0</v>
      </c>
      <c r="AA104" s="22">
        <v>1</v>
      </c>
      <c r="AB104" s="22">
        <v>0</v>
      </c>
      <c r="AC104" s="22"/>
      <c r="AD104" s="22">
        <f t="shared" si="2"/>
        <v>0</v>
      </c>
      <c r="AE104" s="22"/>
      <c r="AF104" s="22"/>
      <c r="AG104" s="22" t="s">
        <v>1048</v>
      </c>
      <c r="AH104" s="22"/>
      <c r="AI104" s="65" t="e">
        <f t="shared" si="3"/>
        <v>#VALUE!</v>
      </c>
    </row>
    <row r="105" spans="1:35" ht="13.8" customHeight="1" x14ac:dyDescent="0.3">
      <c r="A105" s="20" t="s">
        <v>744</v>
      </c>
      <c r="B105" s="20">
        <v>43</v>
      </c>
      <c r="C105" s="20" t="s">
        <v>158</v>
      </c>
      <c r="D105" s="20">
        <v>270030003</v>
      </c>
      <c r="E105" s="20" t="s">
        <v>722</v>
      </c>
      <c r="F105" s="20" t="s">
        <v>797</v>
      </c>
      <c r="G105" s="20" t="s">
        <v>798</v>
      </c>
      <c r="H105" s="29" t="s">
        <v>803</v>
      </c>
      <c r="I105" s="30" t="s">
        <v>803</v>
      </c>
      <c r="J105" s="30">
        <v>480</v>
      </c>
      <c r="K105" s="30">
        <v>4301</v>
      </c>
      <c r="L105" s="20" t="s">
        <v>159</v>
      </c>
      <c r="M105" s="30">
        <v>4301024</v>
      </c>
      <c r="N105" s="20" t="s">
        <v>179</v>
      </c>
      <c r="O105" s="46"/>
      <c r="P105" s="20" t="s">
        <v>180</v>
      </c>
      <c r="Q105" s="20" t="s">
        <v>181</v>
      </c>
      <c r="R105" s="30">
        <v>430102400</v>
      </c>
      <c r="S105" s="20" t="s">
        <v>182</v>
      </c>
      <c r="T105" s="20" t="s">
        <v>18</v>
      </c>
      <c r="U105" s="30">
        <v>11.7</v>
      </c>
      <c r="V105" s="20" t="s">
        <v>23</v>
      </c>
      <c r="W105" s="22">
        <v>3</v>
      </c>
      <c r="X105" s="22">
        <v>5</v>
      </c>
      <c r="Y105" s="22">
        <v>0</v>
      </c>
      <c r="Z105" s="22">
        <v>1</v>
      </c>
      <c r="AA105" s="22">
        <v>2</v>
      </c>
      <c r="AB105" s="22">
        <v>2</v>
      </c>
      <c r="AC105" s="22"/>
      <c r="AD105" s="36">
        <f t="shared" si="2"/>
        <v>0</v>
      </c>
      <c r="AE105" s="22"/>
      <c r="AF105" s="22"/>
      <c r="AG105" s="22">
        <v>0</v>
      </c>
      <c r="AH105" s="22"/>
      <c r="AI105" s="65">
        <f t="shared" si="3"/>
        <v>0</v>
      </c>
    </row>
    <row r="106" spans="1:35" ht="13.8" customHeight="1" x14ac:dyDescent="0.3">
      <c r="A106" s="20" t="s">
        <v>744</v>
      </c>
      <c r="B106" s="20">
        <v>43</v>
      </c>
      <c r="C106" s="20" t="s">
        <v>158</v>
      </c>
      <c r="D106" s="20">
        <v>270030003</v>
      </c>
      <c r="E106" s="20" t="s">
        <v>722</v>
      </c>
      <c r="F106" s="20" t="s">
        <v>797</v>
      </c>
      <c r="G106" s="20" t="s">
        <v>798</v>
      </c>
      <c r="H106" s="29" t="s">
        <v>803</v>
      </c>
      <c r="I106" s="30" t="s">
        <v>803</v>
      </c>
      <c r="J106" s="30">
        <v>480</v>
      </c>
      <c r="K106" s="30">
        <v>4302</v>
      </c>
      <c r="L106" s="20" t="s">
        <v>183</v>
      </c>
      <c r="M106" s="30">
        <v>4302058</v>
      </c>
      <c r="N106" s="20" t="s">
        <v>184</v>
      </c>
      <c r="O106" s="46"/>
      <c r="P106" s="20" t="s">
        <v>185</v>
      </c>
      <c r="Q106" s="20" t="s">
        <v>181</v>
      </c>
      <c r="R106" s="30">
        <v>430205800</v>
      </c>
      <c r="S106" s="20" t="s">
        <v>184</v>
      </c>
      <c r="T106" s="20" t="s">
        <v>18</v>
      </c>
      <c r="U106" s="30">
        <v>11.7</v>
      </c>
      <c r="V106" s="20" t="s">
        <v>23</v>
      </c>
      <c r="W106" s="22">
        <v>4</v>
      </c>
      <c r="X106" s="22">
        <v>4</v>
      </c>
      <c r="Y106" s="22">
        <v>1</v>
      </c>
      <c r="Z106" s="22">
        <v>1</v>
      </c>
      <c r="AA106" s="22">
        <v>1</v>
      </c>
      <c r="AB106" s="22">
        <v>1</v>
      </c>
      <c r="AC106" s="22">
        <v>1</v>
      </c>
      <c r="AD106" s="36">
        <f t="shared" si="2"/>
        <v>25</v>
      </c>
      <c r="AE106" s="22"/>
      <c r="AF106" s="22" t="s">
        <v>927</v>
      </c>
      <c r="AG106" s="22">
        <v>0</v>
      </c>
      <c r="AH106" s="22"/>
      <c r="AI106" s="65">
        <f t="shared" si="3"/>
        <v>0</v>
      </c>
    </row>
    <row r="107" spans="1:35" ht="13.8" customHeight="1" x14ac:dyDescent="0.3">
      <c r="A107" s="20" t="s">
        <v>744</v>
      </c>
      <c r="B107" s="20">
        <v>22</v>
      </c>
      <c r="C107" s="20" t="s">
        <v>93</v>
      </c>
      <c r="D107" s="20">
        <v>40010006</v>
      </c>
      <c r="E107" s="20" t="s">
        <v>676</v>
      </c>
      <c r="F107" s="20" t="s">
        <v>679</v>
      </c>
      <c r="G107" s="20" t="s">
        <v>778</v>
      </c>
      <c r="H107" s="29">
        <v>101.0859</v>
      </c>
      <c r="I107" s="30">
        <v>2022</v>
      </c>
      <c r="J107" s="30">
        <v>101</v>
      </c>
      <c r="K107" s="30">
        <v>2201</v>
      </c>
      <c r="L107" s="20" t="s">
        <v>94</v>
      </c>
      <c r="M107" s="30">
        <v>2201039</v>
      </c>
      <c r="N107" s="20" t="s">
        <v>282</v>
      </c>
      <c r="O107" s="46"/>
      <c r="P107" s="20" t="s">
        <v>283</v>
      </c>
      <c r="Q107" s="20" t="s">
        <v>284</v>
      </c>
      <c r="R107" s="30">
        <v>220103900</v>
      </c>
      <c r="S107" s="20" t="s">
        <v>285</v>
      </c>
      <c r="T107" s="20" t="s">
        <v>18</v>
      </c>
      <c r="U107" s="30" t="s">
        <v>590</v>
      </c>
      <c r="V107" s="20" t="s">
        <v>23</v>
      </c>
      <c r="W107" s="22">
        <v>0</v>
      </c>
      <c r="X107" s="22">
        <v>1</v>
      </c>
      <c r="Y107" s="22">
        <v>0</v>
      </c>
      <c r="Z107" s="22">
        <v>1</v>
      </c>
      <c r="AA107" s="22">
        <v>0</v>
      </c>
      <c r="AB107" s="22">
        <v>0</v>
      </c>
      <c r="AC107" s="22"/>
      <c r="AD107" s="36">
        <f t="shared" si="2"/>
        <v>0</v>
      </c>
      <c r="AE107" s="22"/>
      <c r="AF107" s="22"/>
      <c r="AG107" s="22">
        <v>0</v>
      </c>
      <c r="AH107" s="22"/>
      <c r="AI107" s="65">
        <f t="shared" si="3"/>
        <v>0</v>
      </c>
    </row>
    <row r="108" spans="1:35" ht="13.8" customHeight="1" x14ac:dyDescent="0.3">
      <c r="A108" s="20" t="s">
        <v>744</v>
      </c>
      <c r="B108" s="20">
        <v>43</v>
      </c>
      <c r="C108" s="20" t="s">
        <v>158</v>
      </c>
      <c r="D108" s="20">
        <v>270030003</v>
      </c>
      <c r="E108" s="20" t="s">
        <v>722</v>
      </c>
      <c r="F108" s="20" t="s">
        <v>797</v>
      </c>
      <c r="G108" s="20" t="s">
        <v>798</v>
      </c>
      <c r="H108" s="29" t="s">
        <v>803</v>
      </c>
      <c r="I108" s="30" t="s">
        <v>803</v>
      </c>
      <c r="J108" s="30">
        <v>480</v>
      </c>
      <c r="K108" s="30">
        <v>4301</v>
      </c>
      <c r="L108" s="20" t="s">
        <v>159</v>
      </c>
      <c r="M108" s="30">
        <v>4301031</v>
      </c>
      <c r="N108" s="20" t="s">
        <v>309</v>
      </c>
      <c r="O108" s="46"/>
      <c r="P108" s="20" t="s">
        <v>310</v>
      </c>
      <c r="Q108" s="20" t="s">
        <v>284</v>
      </c>
      <c r="R108" s="30">
        <v>430103100</v>
      </c>
      <c r="S108" s="20" t="s">
        <v>311</v>
      </c>
      <c r="T108" s="20" t="s">
        <v>18</v>
      </c>
      <c r="U108" s="30">
        <v>11.7</v>
      </c>
      <c r="V108" s="20" t="s">
        <v>23</v>
      </c>
      <c r="W108" s="22">
        <v>0</v>
      </c>
      <c r="X108" s="22">
        <v>1</v>
      </c>
      <c r="Y108" s="22">
        <v>0</v>
      </c>
      <c r="Z108" s="22">
        <v>1</v>
      </c>
      <c r="AA108" s="22">
        <v>0</v>
      </c>
      <c r="AB108" s="22">
        <v>0</v>
      </c>
      <c r="AC108" s="22"/>
      <c r="AD108" s="36">
        <f t="shared" si="2"/>
        <v>0</v>
      </c>
      <c r="AE108" s="22"/>
      <c r="AF108" s="22"/>
      <c r="AG108" s="22">
        <v>0</v>
      </c>
      <c r="AH108" s="22"/>
      <c r="AI108" s="65">
        <f t="shared" si="3"/>
        <v>0</v>
      </c>
    </row>
    <row r="109" spans="1:35" ht="13.8" customHeight="1" x14ac:dyDescent="0.3">
      <c r="A109" s="20" t="s">
        <v>744</v>
      </c>
      <c r="B109" s="20">
        <v>22</v>
      </c>
      <c r="C109" s="20" t="s">
        <v>93</v>
      </c>
      <c r="D109" s="20">
        <v>40010006</v>
      </c>
      <c r="E109" s="20" t="s">
        <v>676</v>
      </c>
      <c r="F109" s="20" t="s">
        <v>679</v>
      </c>
      <c r="G109" s="20" t="s">
        <v>778</v>
      </c>
      <c r="H109" s="29">
        <v>101.0859</v>
      </c>
      <c r="I109" s="30">
        <v>2022</v>
      </c>
      <c r="J109" s="30">
        <v>101</v>
      </c>
      <c r="K109" s="30">
        <v>2201</v>
      </c>
      <c r="L109" s="20" t="s">
        <v>94</v>
      </c>
      <c r="M109" s="30">
        <v>2201052</v>
      </c>
      <c r="N109" s="20" t="s">
        <v>320</v>
      </c>
      <c r="O109" s="46"/>
      <c r="P109" s="20" t="s">
        <v>321</v>
      </c>
      <c r="Q109" s="20" t="s">
        <v>318</v>
      </c>
      <c r="R109" s="30">
        <v>220105200</v>
      </c>
      <c r="S109" s="20" t="s">
        <v>602</v>
      </c>
      <c r="T109" s="20" t="s">
        <v>18</v>
      </c>
      <c r="U109" s="30" t="s">
        <v>590</v>
      </c>
      <c r="V109" s="20" t="s">
        <v>23</v>
      </c>
      <c r="W109" s="22">
        <v>9</v>
      </c>
      <c r="X109" s="22">
        <v>7</v>
      </c>
      <c r="Y109" s="22">
        <v>7</v>
      </c>
      <c r="Z109" s="22">
        <v>7</v>
      </c>
      <c r="AA109" s="22">
        <v>7</v>
      </c>
      <c r="AB109" s="22">
        <v>7</v>
      </c>
      <c r="AC109" s="22">
        <v>3</v>
      </c>
      <c r="AD109" s="36">
        <f t="shared" si="2"/>
        <v>42.857142857142854</v>
      </c>
      <c r="AE109" s="22"/>
      <c r="AF109" s="22" t="s">
        <v>990</v>
      </c>
      <c r="AG109" s="59">
        <v>0</v>
      </c>
      <c r="AH109" s="22"/>
      <c r="AI109" s="65">
        <f t="shared" si="3"/>
        <v>0</v>
      </c>
    </row>
    <row r="110" spans="1:35" ht="13.8" customHeight="1" x14ac:dyDescent="0.3">
      <c r="A110" s="20" t="s">
        <v>744</v>
      </c>
      <c r="B110" s="20">
        <v>19</v>
      </c>
      <c r="C110" s="20" t="s">
        <v>47</v>
      </c>
      <c r="D110" s="20">
        <v>50010004</v>
      </c>
      <c r="E110" s="20" t="s">
        <v>708</v>
      </c>
      <c r="F110" s="20" t="s">
        <v>679</v>
      </c>
      <c r="G110" s="20" t="s">
        <v>781</v>
      </c>
      <c r="H110" s="29">
        <v>99.391400000000004</v>
      </c>
      <c r="I110" s="30">
        <v>2021</v>
      </c>
      <c r="J110" s="30">
        <v>100</v>
      </c>
      <c r="K110" s="30">
        <v>1906</v>
      </c>
      <c r="L110" s="20" t="s">
        <v>479</v>
      </c>
      <c r="M110" s="32">
        <v>1906001</v>
      </c>
      <c r="N110" s="25" t="s">
        <v>480</v>
      </c>
      <c r="O110" s="46"/>
      <c r="P110" s="25" t="s">
        <v>739</v>
      </c>
      <c r="Q110" s="25" t="s">
        <v>481</v>
      </c>
      <c r="R110" s="32">
        <v>190600100</v>
      </c>
      <c r="S110" s="25" t="s">
        <v>480</v>
      </c>
      <c r="T110" s="25" t="s">
        <v>18</v>
      </c>
      <c r="U110" s="30">
        <v>3.8</v>
      </c>
      <c r="V110" s="20" t="s">
        <v>23</v>
      </c>
      <c r="W110" s="22">
        <v>1</v>
      </c>
      <c r="X110" s="22">
        <v>1</v>
      </c>
      <c r="Y110" s="22">
        <v>0</v>
      </c>
      <c r="Z110" s="22">
        <v>1</v>
      </c>
      <c r="AA110" s="22">
        <v>0</v>
      </c>
      <c r="AB110" s="22">
        <v>0</v>
      </c>
      <c r="AC110" s="22"/>
      <c r="AD110" s="36">
        <f t="shared" si="2"/>
        <v>0</v>
      </c>
      <c r="AE110" s="22"/>
      <c r="AF110" s="22"/>
      <c r="AG110" s="22">
        <v>0</v>
      </c>
      <c r="AH110" s="22"/>
      <c r="AI110" s="65">
        <f t="shared" si="3"/>
        <v>0</v>
      </c>
    </row>
    <row r="111" spans="1:35" ht="13.8" customHeight="1" x14ac:dyDescent="0.3">
      <c r="A111" s="20" t="s">
        <v>744</v>
      </c>
      <c r="B111" s="20">
        <v>19</v>
      </c>
      <c r="C111" s="20" t="s">
        <v>47</v>
      </c>
      <c r="D111" s="20">
        <v>50020001</v>
      </c>
      <c r="E111" s="20" t="s">
        <v>753</v>
      </c>
      <c r="F111" s="20" t="s">
        <v>754</v>
      </c>
      <c r="G111" s="20" t="s">
        <v>781</v>
      </c>
      <c r="H111" s="29">
        <v>4.6224999999999996</v>
      </c>
      <c r="I111" s="30">
        <v>2020</v>
      </c>
      <c r="J111" s="30">
        <v>2</v>
      </c>
      <c r="K111" s="30">
        <v>1905</v>
      </c>
      <c r="L111" s="20" t="s">
        <v>497</v>
      </c>
      <c r="M111" s="30">
        <v>1905017</v>
      </c>
      <c r="N111" s="20" t="s">
        <v>498</v>
      </c>
      <c r="O111" s="46"/>
      <c r="P111" s="20" t="s">
        <v>499</v>
      </c>
      <c r="Q111" s="20" t="s">
        <v>500</v>
      </c>
      <c r="R111" s="30">
        <v>190501700</v>
      </c>
      <c r="S111" s="20" t="s">
        <v>498</v>
      </c>
      <c r="T111" s="20" t="s">
        <v>18</v>
      </c>
      <c r="U111" s="30" t="s">
        <v>598</v>
      </c>
      <c r="V111" s="20" t="s">
        <v>23</v>
      </c>
      <c r="W111" s="22">
        <v>0</v>
      </c>
      <c r="X111" s="22">
        <v>1</v>
      </c>
      <c r="Y111" s="22">
        <v>0</v>
      </c>
      <c r="Z111" s="22">
        <v>0</v>
      </c>
      <c r="AA111" s="22">
        <v>0</v>
      </c>
      <c r="AB111" s="22">
        <v>1</v>
      </c>
      <c r="AC111" s="22"/>
      <c r="AD111" s="22">
        <f t="shared" si="2"/>
        <v>0</v>
      </c>
      <c r="AE111" s="22"/>
      <c r="AF111" s="22"/>
      <c r="AG111" s="22" t="s">
        <v>1048</v>
      </c>
      <c r="AH111" s="22"/>
      <c r="AI111" s="65" t="e">
        <f t="shared" si="3"/>
        <v>#VALUE!</v>
      </c>
    </row>
    <row r="112" spans="1:35" ht="13.8" customHeight="1" x14ac:dyDescent="0.3">
      <c r="A112" s="20" t="s">
        <v>744</v>
      </c>
      <c r="B112" s="20">
        <v>21</v>
      </c>
      <c r="C112" s="20" t="s">
        <v>64</v>
      </c>
      <c r="D112" s="21">
        <v>110130003</v>
      </c>
      <c r="E112" s="21" t="s">
        <v>731</v>
      </c>
      <c r="F112" s="20" t="s">
        <v>732</v>
      </c>
      <c r="G112" s="20" t="s">
        <v>786</v>
      </c>
      <c r="H112" s="29">
        <v>27626016</v>
      </c>
      <c r="I112" s="30">
        <v>2020</v>
      </c>
      <c r="J112" s="30">
        <v>812000000</v>
      </c>
      <c r="K112" s="30">
        <v>2102</v>
      </c>
      <c r="L112" s="20" t="s">
        <v>65</v>
      </c>
      <c r="M112" s="30">
        <v>2102010</v>
      </c>
      <c r="N112" s="20" t="s">
        <v>66</v>
      </c>
      <c r="O112" s="46"/>
      <c r="P112" s="20" t="s">
        <v>67</v>
      </c>
      <c r="Q112" s="20" t="s">
        <v>68</v>
      </c>
      <c r="R112" s="30">
        <v>210201000</v>
      </c>
      <c r="S112" s="20" t="s">
        <v>66</v>
      </c>
      <c r="T112" s="20" t="s">
        <v>69</v>
      </c>
      <c r="U112" s="30" t="s">
        <v>600</v>
      </c>
      <c r="V112" s="20" t="s">
        <v>23</v>
      </c>
      <c r="W112" s="22">
        <v>0</v>
      </c>
      <c r="X112" s="22">
        <v>150</v>
      </c>
      <c r="Y112" s="22">
        <v>0</v>
      </c>
      <c r="Z112" s="22">
        <v>0</v>
      </c>
      <c r="AA112" s="22">
        <v>150</v>
      </c>
      <c r="AB112" s="22">
        <v>0</v>
      </c>
      <c r="AC112" s="22"/>
      <c r="AD112" s="22">
        <f t="shared" si="2"/>
        <v>0</v>
      </c>
      <c r="AE112" s="22"/>
      <c r="AF112" s="22"/>
      <c r="AG112" s="22" t="s">
        <v>1048</v>
      </c>
      <c r="AH112" s="22"/>
      <c r="AI112" s="65" t="e">
        <f t="shared" si="3"/>
        <v>#VALUE!</v>
      </c>
    </row>
    <row r="113" spans="1:35" ht="13.8" customHeight="1" x14ac:dyDescent="0.3">
      <c r="A113" s="20" t="s">
        <v>744</v>
      </c>
      <c r="B113" s="20">
        <v>21</v>
      </c>
      <c r="C113" s="20" t="s">
        <v>64</v>
      </c>
      <c r="D113" s="21">
        <v>110130003</v>
      </c>
      <c r="E113" s="21" t="s">
        <v>731</v>
      </c>
      <c r="F113" s="20" t="s">
        <v>732</v>
      </c>
      <c r="G113" s="20" t="s">
        <v>786</v>
      </c>
      <c r="H113" s="29">
        <v>27626016</v>
      </c>
      <c r="I113" s="30">
        <v>2020</v>
      </c>
      <c r="J113" s="30">
        <v>812000000</v>
      </c>
      <c r="K113" s="30">
        <v>2102</v>
      </c>
      <c r="L113" s="20" t="s">
        <v>65</v>
      </c>
      <c r="M113" s="30">
        <v>2102011</v>
      </c>
      <c r="N113" s="20" t="s">
        <v>70</v>
      </c>
      <c r="O113" s="46"/>
      <c r="P113" s="20" t="s">
        <v>71</v>
      </c>
      <c r="Q113" s="20" t="s">
        <v>68</v>
      </c>
      <c r="R113" s="30">
        <v>210201100</v>
      </c>
      <c r="S113" s="20" t="s">
        <v>70</v>
      </c>
      <c r="T113" s="20" t="s">
        <v>69</v>
      </c>
      <c r="U113" s="30" t="s">
        <v>600</v>
      </c>
      <c r="V113" s="20" t="s">
        <v>23</v>
      </c>
      <c r="W113" s="22">
        <v>120</v>
      </c>
      <c r="X113" s="22">
        <v>550</v>
      </c>
      <c r="Y113" s="22">
        <v>0</v>
      </c>
      <c r="Z113" s="22">
        <v>0</v>
      </c>
      <c r="AA113" s="22">
        <v>250</v>
      </c>
      <c r="AB113" s="22">
        <v>300</v>
      </c>
      <c r="AC113" s="22"/>
      <c r="AD113" s="22">
        <f t="shared" si="2"/>
        <v>0</v>
      </c>
      <c r="AE113" s="22"/>
      <c r="AF113" s="22"/>
      <c r="AG113" s="22" t="s">
        <v>1048</v>
      </c>
      <c r="AH113" s="22"/>
      <c r="AI113" s="65" t="e">
        <f t="shared" si="3"/>
        <v>#VALUE!</v>
      </c>
    </row>
    <row r="114" spans="1:35" ht="13.8" customHeight="1" x14ac:dyDescent="0.3">
      <c r="A114" s="20" t="s">
        <v>744</v>
      </c>
      <c r="B114" s="20">
        <v>35</v>
      </c>
      <c r="C114" s="20" t="s">
        <v>243</v>
      </c>
      <c r="D114" s="21">
        <v>160090004</v>
      </c>
      <c r="E114" s="21" t="s">
        <v>737</v>
      </c>
      <c r="F114" s="20" t="s">
        <v>797</v>
      </c>
      <c r="G114" s="20" t="s">
        <v>798</v>
      </c>
      <c r="H114" s="29">
        <v>0</v>
      </c>
      <c r="I114" s="30">
        <v>2021</v>
      </c>
      <c r="J114" s="30">
        <v>4</v>
      </c>
      <c r="K114" s="30">
        <v>3502</v>
      </c>
      <c r="L114" s="20" t="s">
        <v>244</v>
      </c>
      <c r="M114" s="30">
        <v>3502043</v>
      </c>
      <c r="N114" s="20" t="s">
        <v>265</v>
      </c>
      <c r="O114" s="46" t="s">
        <v>840</v>
      </c>
      <c r="P114" s="20" t="s">
        <v>266</v>
      </c>
      <c r="Q114" s="20" t="s">
        <v>267</v>
      </c>
      <c r="R114" s="30">
        <v>350204300</v>
      </c>
      <c r="S114" s="20" t="s">
        <v>265</v>
      </c>
      <c r="T114" s="20" t="s">
        <v>18</v>
      </c>
      <c r="U114" s="30">
        <v>11.7</v>
      </c>
      <c r="V114" s="20" t="s">
        <v>23</v>
      </c>
      <c r="W114" s="22">
        <v>0</v>
      </c>
      <c r="X114" s="22">
        <v>1</v>
      </c>
      <c r="Y114" s="22">
        <v>0</v>
      </c>
      <c r="Z114" s="22">
        <v>1</v>
      </c>
      <c r="AA114" s="22">
        <v>0</v>
      </c>
      <c r="AB114" s="22">
        <v>0</v>
      </c>
      <c r="AC114" s="22"/>
      <c r="AD114" s="36">
        <f t="shared" si="2"/>
        <v>0</v>
      </c>
      <c r="AE114" s="22"/>
      <c r="AF114" s="22"/>
      <c r="AG114" s="22">
        <v>0</v>
      </c>
      <c r="AH114" s="22"/>
      <c r="AI114" s="65">
        <f t="shared" si="3"/>
        <v>0</v>
      </c>
    </row>
    <row r="115" spans="1:35" ht="13.8" customHeight="1" x14ac:dyDescent="0.3">
      <c r="A115" s="20" t="s">
        <v>744</v>
      </c>
      <c r="B115" s="20">
        <v>32</v>
      </c>
      <c r="C115" s="20" t="s">
        <v>216</v>
      </c>
      <c r="D115" s="20">
        <v>110030011</v>
      </c>
      <c r="E115" s="20" t="s">
        <v>713</v>
      </c>
      <c r="F115" s="20" t="s">
        <v>801</v>
      </c>
      <c r="G115" s="20" t="s">
        <v>802</v>
      </c>
      <c r="H115" s="29" t="s">
        <v>803</v>
      </c>
      <c r="I115" s="30" t="s">
        <v>803</v>
      </c>
      <c r="J115" s="30">
        <v>5</v>
      </c>
      <c r="K115" s="30">
        <v>3202</v>
      </c>
      <c r="L115" s="20" t="s">
        <v>217</v>
      </c>
      <c r="M115" s="30">
        <v>3202033</v>
      </c>
      <c r="N115" s="20" t="s">
        <v>288</v>
      </c>
      <c r="O115" s="46"/>
      <c r="P115" s="20" t="s">
        <v>289</v>
      </c>
      <c r="Q115" s="20" t="s">
        <v>290</v>
      </c>
      <c r="R115" s="30">
        <v>320203300</v>
      </c>
      <c r="S115" s="20" t="s">
        <v>291</v>
      </c>
      <c r="T115" s="20" t="s">
        <v>18</v>
      </c>
      <c r="U115" s="30">
        <v>8.9</v>
      </c>
      <c r="V115" s="20" t="s">
        <v>23</v>
      </c>
      <c r="W115" s="22">
        <v>0</v>
      </c>
      <c r="X115" s="22">
        <v>3</v>
      </c>
      <c r="Y115" s="22">
        <v>0</v>
      </c>
      <c r="Z115" s="22">
        <v>0</v>
      </c>
      <c r="AA115" s="22">
        <v>1</v>
      </c>
      <c r="AB115" s="22">
        <v>2</v>
      </c>
      <c r="AC115" s="22"/>
      <c r="AD115" s="22">
        <f t="shared" si="2"/>
        <v>0</v>
      </c>
      <c r="AE115" s="22"/>
      <c r="AF115" s="22"/>
      <c r="AG115" s="22" t="s">
        <v>1048</v>
      </c>
      <c r="AH115" s="22"/>
      <c r="AI115" s="65" t="e">
        <f t="shared" si="3"/>
        <v>#VALUE!</v>
      </c>
    </row>
    <row r="116" spans="1:35" ht="13.8" customHeight="1" x14ac:dyDescent="0.3">
      <c r="A116" s="20" t="s">
        <v>744</v>
      </c>
      <c r="B116" s="20">
        <v>32</v>
      </c>
      <c r="C116" s="20" t="s">
        <v>216</v>
      </c>
      <c r="D116" s="21">
        <v>110130003</v>
      </c>
      <c r="E116" s="21" t="s">
        <v>731</v>
      </c>
      <c r="F116" s="20" t="s">
        <v>732</v>
      </c>
      <c r="G116" s="20" t="s">
        <v>786</v>
      </c>
      <c r="H116" s="29">
        <v>27626016</v>
      </c>
      <c r="I116" s="30">
        <v>2020</v>
      </c>
      <c r="J116" s="30">
        <v>812000000</v>
      </c>
      <c r="K116" s="30">
        <v>3206</v>
      </c>
      <c r="L116" s="20" t="s">
        <v>226</v>
      </c>
      <c r="M116" s="30">
        <v>3206016</v>
      </c>
      <c r="N116" s="20" t="s">
        <v>533</v>
      </c>
      <c r="O116" s="46"/>
      <c r="P116" s="20" t="s">
        <v>534</v>
      </c>
      <c r="Q116" s="20" t="s">
        <v>535</v>
      </c>
      <c r="R116" s="30">
        <v>320601600</v>
      </c>
      <c r="S116" s="20" t="s">
        <v>536</v>
      </c>
      <c r="T116" s="20" t="s">
        <v>18</v>
      </c>
      <c r="U116" s="30" t="s">
        <v>603</v>
      </c>
      <c r="V116" s="20" t="s">
        <v>23</v>
      </c>
      <c r="W116" s="22">
        <v>0</v>
      </c>
      <c r="X116" s="22">
        <v>35</v>
      </c>
      <c r="Y116" s="22">
        <v>0</v>
      </c>
      <c r="Z116" s="22">
        <v>0</v>
      </c>
      <c r="AA116" s="22">
        <v>35</v>
      </c>
      <c r="AB116" s="22">
        <v>0</v>
      </c>
      <c r="AC116" s="22"/>
      <c r="AD116" s="22">
        <f t="shared" si="2"/>
        <v>0</v>
      </c>
      <c r="AE116" s="22"/>
      <c r="AF116" s="22"/>
      <c r="AG116" s="22" t="s">
        <v>1048</v>
      </c>
      <c r="AH116" s="22"/>
      <c r="AI116" s="65" t="e">
        <f t="shared" si="3"/>
        <v>#VALUE!</v>
      </c>
    </row>
    <row r="117" spans="1:35" ht="13.8" customHeight="1" x14ac:dyDescent="0.3">
      <c r="A117" s="20" t="s">
        <v>744</v>
      </c>
      <c r="B117" s="20">
        <v>32</v>
      </c>
      <c r="C117" s="20" t="s">
        <v>216</v>
      </c>
      <c r="D117" s="21">
        <v>110150012</v>
      </c>
      <c r="E117" s="21" t="s">
        <v>716</v>
      </c>
      <c r="F117" s="20" t="s">
        <v>428</v>
      </c>
      <c r="G117" s="20" t="s">
        <v>783</v>
      </c>
      <c r="H117" s="29" t="s">
        <v>803</v>
      </c>
      <c r="I117" s="30" t="s">
        <v>803</v>
      </c>
      <c r="J117" s="30">
        <v>50</v>
      </c>
      <c r="K117" s="30">
        <v>3202</v>
      </c>
      <c r="L117" s="20" t="s">
        <v>217</v>
      </c>
      <c r="M117" s="30">
        <v>3202051</v>
      </c>
      <c r="N117" s="20" t="s">
        <v>582</v>
      </c>
      <c r="O117" s="46"/>
      <c r="P117" s="20" t="s">
        <v>583</v>
      </c>
      <c r="Q117" s="20" t="s">
        <v>535</v>
      </c>
      <c r="R117" s="30">
        <v>320205100</v>
      </c>
      <c r="S117" s="20" t="s">
        <v>584</v>
      </c>
      <c r="T117" s="20" t="s">
        <v>18</v>
      </c>
      <c r="U117" s="30">
        <v>13.2</v>
      </c>
      <c r="V117" s="20" t="s">
        <v>23</v>
      </c>
      <c r="W117" s="22">
        <v>53</v>
      </c>
      <c r="X117" s="22">
        <v>30</v>
      </c>
      <c r="Y117" s="22">
        <v>0</v>
      </c>
      <c r="Z117" s="22">
        <v>30</v>
      </c>
      <c r="AA117" s="22">
        <v>0</v>
      </c>
      <c r="AB117" s="22">
        <v>0</v>
      </c>
      <c r="AC117" s="22"/>
      <c r="AD117" s="36">
        <f t="shared" si="2"/>
        <v>0</v>
      </c>
      <c r="AE117" s="22"/>
      <c r="AF117" s="22"/>
      <c r="AG117" s="22">
        <v>0</v>
      </c>
      <c r="AH117" s="22"/>
      <c r="AI117" s="65">
        <f t="shared" si="3"/>
        <v>0</v>
      </c>
    </row>
    <row r="118" spans="1:35" ht="13.8" customHeight="1" x14ac:dyDescent="0.3">
      <c r="A118" s="20" t="s">
        <v>744</v>
      </c>
      <c r="B118" s="20">
        <v>24</v>
      </c>
      <c r="C118" s="20" t="s">
        <v>130</v>
      </c>
      <c r="D118" s="20">
        <v>120040010</v>
      </c>
      <c r="E118" s="20" t="s">
        <v>680</v>
      </c>
      <c r="F118" s="20" t="s">
        <v>18</v>
      </c>
      <c r="G118" s="20" t="s">
        <v>784</v>
      </c>
      <c r="H118" s="29">
        <v>615</v>
      </c>
      <c r="I118" s="30">
        <v>2014</v>
      </c>
      <c r="J118" s="30">
        <v>680</v>
      </c>
      <c r="K118" s="30">
        <v>2402</v>
      </c>
      <c r="L118" s="20" t="s">
        <v>131</v>
      </c>
      <c r="M118" s="30">
        <v>2402039</v>
      </c>
      <c r="N118" s="20" t="s">
        <v>132</v>
      </c>
      <c r="O118" s="46" t="s">
        <v>841</v>
      </c>
      <c r="P118" s="20" t="s">
        <v>133</v>
      </c>
      <c r="Q118" s="20" t="s">
        <v>134</v>
      </c>
      <c r="R118" s="30">
        <v>240203900</v>
      </c>
      <c r="S118" s="20" t="s">
        <v>135</v>
      </c>
      <c r="T118" s="20" t="s">
        <v>136</v>
      </c>
      <c r="U118" s="30">
        <v>9.1</v>
      </c>
      <c r="V118" s="20" t="s">
        <v>23</v>
      </c>
      <c r="W118" s="22">
        <v>0</v>
      </c>
      <c r="X118" s="22">
        <v>2</v>
      </c>
      <c r="Y118" s="22">
        <v>0</v>
      </c>
      <c r="Z118" s="22">
        <v>0</v>
      </c>
      <c r="AA118" s="22">
        <v>2</v>
      </c>
      <c r="AB118" s="22">
        <v>0</v>
      </c>
      <c r="AC118" s="22"/>
      <c r="AD118" s="22">
        <f t="shared" si="2"/>
        <v>0</v>
      </c>
      <c r="AE118" s="22"/>
      <c r="AF118" s="22"/>
      <c r="AG118" s="22" t="s">
        <v>1048</v>
      </c>
      <c r="AH118" s="22"/>
      <c r="AI118" s="65" t="e">
        <f t="shared" si="3"/>
        <v>#VALUE!</v>
      </c>
    </row>
    <row r="119" spans="1:35" ht="13.8" customHeight="1" x14ac:dyDescent="0.3">
      <c r="A119" s="20" t="s">
        <v>744</v>
      </c>
      <c r="B119" s="20">
        <v>24</v>
      </c>
      <c r="C119" s="20" t="s">
        <v>130</v>
      </c>
      <c r="D119" s="20">
        <v>120040010</v>
      </c>
      <c r="E119" s="20" t="s">
        <v>680</v>
      </c>
      <c r="F119" s="20" t="s">
        <v>18</v>
      </c>
      <c r="G119" s="20" t="s">
        <v>784</v>
      </c>
      <c r="H119" s="29">
        <v>615</v>
      </c>
      <c r="I119" s="30">
        <v>2014</v>
      </c>
      <c r="J119" s="30">
        <v>680</v>
      </c>
      <c r="K119" s="30">
        <v>2402</v>
      </c>
      <c r="L119" s="20" t="s">
        <v>131</v>
      </c>
      <c r="M119" s="30">
        <v>2402041</v>
      </c>
      <c r="N119" s="20" t="s">
        <v>137</v>
      </c>
      <c r="O119" s="46"/>
      <c r="P119" s="20" t="s">
        <v>138</v>
      </c>
      <c r="Q119" s="20" t="s">
        <v>134</v>
      </c>
      <c r="R119" s="30">
        <v>240204100</v>
      </c>
      <c r="S119" s="20" t="s">
        <v>137</v>
      </c>
      <c r="T119" s="20" t="s">
        <v>136</v>
      </c>
      <c r="U119" s="30">
        <v>9.1</v>
      </c>
      <c r="V119" s="20" t="s">
        <v>23</v>
      </c>
      <c r="W119" s="22">
        <v>41.3</v>
      </c>
      <c r="X119" s="22">
        <v>10</v>
      </c>
      <c r="Y119" s="22">
        <v>2.5</v>
      </c>
      <c r="Z119" s="22">
        <v>2.5</v>
      </c>
      <c r="AA119" s="22">
        <v>2.5</v>
      </c>
      <c r="AB119" s="22">
        <v>2.5</v>
      </c>
      <c r="AC119" s="22">
        <v>10</v>
      </c>
      <c r="AD119" s="36">
        <f t="shared" si="2"/>
        <v>100</v>
      </c>
      <c r="AE119" s="22" t="s">
        <v>986</v>
      </c>
      <c r="AF119" s="39" t="s">
        <v>985</v>
      </c>
      <c r="AG119" s="39">
        <v>4</v>
      </c>
      <c r="AH119" s="39" t="s">
        <v>1082</v>
      </c>
      <c r="AI119" s="65">
        <f t="shared" si="3"/>
        <v>160</v>
      </c>
    </row>
    <row r="120" spans="1:35" ht="13.8" customHeight="1" x14ac:dyDescent="0.3">
      <c r="A120" s="20" t="s">
        <v>744</v>
      </c>
      <c r="B120" s="20">
        <v>24</v>
      </c>
      <c r="C120" s="20" t="s">
        <v>130</v>
      </c>
      <c r="D120" s="20">
        <v>120040010</v>
      </c>
      <c r="E120" s="20" t="s">
        <v>680</v>
      </c>
      <c r="F120" s="20" t="s">
        <v>18</v>
      </c>
      <c r="G120" s="20" t="s">
        <v>784</v>
      </c>
      <c r="H120" s="29">
        <v>615</v>
      </c>
      <c r="I120" s="30">
        <v>2014</v>
      </c>
      <c r="J120" s="30">
        <v>680</v>
      </c>
      <c r="K120" s="30">
        <v>2402</v>
      </c>
      <c r="L120" s="20" t="s">
        <v>131</v>
      </c>
      <c r="M120" s="30">
        <v>2402042</v>
      </c>
      <c r="N120" s="20" t="s">
        <v>139</v>
      </c>
      <c r="O120" s="46"/>
      <c r="P120" s="20" t="s">
        <v>140</v>
      </c>
      <c r="Q120" s="20" t="s">
        <v>141</v>
      </c>
      <c r="R120" s="30">
        <v>240204200</v>
      </c>
      <c r="S120" s="20" t="s">
        <v>137</v>
      </c>
      <c r="T120" s="20" t="s">
        <v>142</v>
      </c>
      <c r="U120" s="30">
        <v>9.1</v>
      </c>
      <c r="V120" s="20" t="s">
        <v>23</v>
      </c>
      <c r="W120" s="22">
        <v>41.3</v>
      </c>
      <c r="X120" s="22">
        <v>5000</v>
      </c>
      <c r="Y120" s="22">
        <v>1000</v>
      </c>
      <c r="Z120" s="22">
        <v>1000</v>
      </c>
      <c r="AA120" s="22">
        <v>2000</v>
      </c>
      <c r="AB120" s="22">
        <v>1000</v>
      </c>
      <c r="AC120" s="22">
        <v>0</v>
      </c>
      <c r="AD120" s="36">
        <f t="shared" si="2"/>
        <v>0</v>
      </c>
      <c r="AE120" s="22"/>
      <c r="AF120" s="22"/>
      <c r="AG120" s="22">
        <v>0</v>
      </c>
      <c r="AH120" s="22" t="s">
        <v>1080</v>
      </c>
      <c r="AI120" s="65">
        <f t="shared" si="3"/>
        <v>0</v>
      </c>
    </row>
    <row r="121" spans="1:35" ht="13.8" customHeight="1" x14ac:dyDescent="0.3">
      <c r="A121" s="20" t="s">
        <v>744</v>
      </c>
      <c r="B121" s="20">
        <v>24</v>
      </c>
      <c r="C121" s="20" t="s">
        <v>130</v>
      </c>
      <c r="D121" s="20">
        <v>120040010</v>
      </c>
      <c r="E121" s="20" t="s">
        <v>680</v>
      </c>
      <c r="F121" s="20" t="s">
        <v>18</v>
      </c>
      <c r="G121" s="20" t="s">
        <v>784</v>
      </c>
      <c r="H121" s="29">
        <v>615</v>
      </c>
      <c r="I121" s="30">
        <v>2014</v>
      </c>
      <c r="J121" s="30">
        <v>680</v>
      </c>
      <c r="K121" s="30">
        <v>2402</v>
      </c>
      <c r="L121" s="20" t="s">
        <v>131</v>
      </c>
      <c r="M121" s="30">
        <v>2402044</v>
      </c>
      <c r="N121" s="20" t="s">
        <v>143</v>
      </c>
      <c r="O121" s="46"/>
      <c r="P121" s="20" t="s">
        <v>144</v>
      </c>
      <c r="Q121" s="20" t="s">
        <v>145</v>
      </c>
      <c r="R121" s="30">
        <v>240204400</v>
      </c>
      <c r="S121" s="20" t="s">
        <v>146</v>
      </c>
      <c r="T121" s="20" t="s">
        <v>18</v>
      </c>
      <c r="U121" s="30">
        <v>9.1</v>
      </c>
      <c r="V121" s="20" t="s">
        <v>23</v>
      </c>
      <c r="W121" s="22">
        <v>0</v>
      </c>
      <c r="X121" s="22">
        <v>2</v>
      </c>
      <c r="Y121" s="22">
        <v>0</v>
      </c>
      <c r="Z121" s="22">
        <v>0</v>
      </c>
      <c r="AA121" s="22">
        <v>1</v>
      </c>
      <c r="AB121" s="22">
        <v>1</v>
      </c>
      <c r="AC121" s="22"/>
      <c r="AD121" s="22">
        <f t="shared" si="2"/>
        <v>0</v>
      </c>
      <c r="AE121" s="22"/>
      <c r="AF121" s="22"/>
      <c r="AG121" s="22" t="s">
        <v>1048</v>
      </c>
      <c r="AH121" s="22"/>
      <c r="AI121" s="65" t="e">
        <f t="shared" si="3"/>
        <v>#VALUE!</v>
      </c>
    </row>
    <row r="122" spans="1:35" ht="13.8" customHeight="1" x14ac:dyDescent="0.3">
      <c r="A122" s="20" t="s">
        <v>744</v>
      </c>
      <c r="B122" s="20">
        <v>24</v>
      </c>
      <c r="C122" s="20" t="s">
        <v>130</v>
      </c>
      <c r="D122" s="20">
        <v>120040010</v>
      </c>
      <c r="E122" s="20" t="s">
        <v>680</v>
      </c>
      <c r="F122" s="20" t="s">
        <v>18</v>
      </c>
      <c r="G122" s="20" t="s">
        <v>784</v>
      </c>
      <c r="H122" s="29">
        <v>615</v>
      </c>
      <c r="I122" s="30">
        <v>2014</v>
      </c>
      <c r="J122" s="30">
        <v>680</v>
      </c>
      <c r="K122" s="30">
        <v>2402</v>
      </c>
      <c r="L122" s="20" t="s">
        <v>131</v>
      </c>
      <c r="M122" s="30">
        <v>2402055</v>
      </c>
      <c r="N122" s="20" t="s">
        <v>147</v>
      </c>
      <c r="O122" s="46"/>
      <c r="P122" s="20" t="s">
        <v>133</v>
      </c>
      <c r="Q122" s="20" t="s">
        <v>148</v>
      </c>
      <c r="R122" s="30">
        <v>240205500</v>
      </c>
      <c r="S122" s="20" t="s">
        <v>149</v>
      </c>
      <c r="T122" s="20" t="s">
        <v>136</v>
      </c>
      <c r="U122" s="30">
        <v>9.1</v>
      </c>
      <c r="V122" s="20" t="s">
        <v>23</v>
      </c>
      <c r="W122" s="22">
        <v>0</v>
      </c>
      <c r="X122" s="22">
        <v>2</v>
      </c>
      <c r="Y122" s="22">
        <v>0</v>
      </c>
      <c r="Z122" s="22">
        <v>1</v>
      </c>
      <c r="AA122" s="22">
        <v>1</v>
      </c>
      <c r="AB122" s="22">
        <v>0</v>
      </c>
      <c r="AC122" s="22"/>
      <c r="AD122" s="36">
        <f t="shared" si="2"/>
        <v>0</v>
      </c>
      <c r="AE122" s="22"/>
      <c r="AF122" s="22"/>
      <c r="AG122" s="59">
        <v>0</v>
      </c>
      <c r="AH122" s="22"/>
      <c r="AI122" s="65">
        <f t="shared" si="3"/>
        <v>0</v>
      </c>
    </row>
    <row r="123" spans="1:35" ht="13.8" customHeight="1" x14ac:dyDescent="0.3">
      <c r="A123" s="20" t="s">
        <v>744</v>
      </c>
      <c r="B123" s="20">
        <v>24</v>
      </c>
      <c r="C123" s="20" t="s">
        <v>130</v>
      </c>
      <c r="D123" s="20">
        <v>120040010</v>
      </c>
      <c r="E123" s="20" t="s">
        <v>680</v>
      </c>
      <c r="F123" s="20" t="s">
        <v>18</v>
      </c>
      <c r="G123" s="20" t="s">
        <v>784</v>
      </c>
      <c r="H123" s="29">
        <v>615</v>
      </c>
      <c r="I123" s="30">
        <v>2014</v>
      </c>
      <c r="J123" s="30">
        <v>680</v>
      </c>
      <c r="K123" s="30">
        <v>2402</v>
      </c>
      <c r="L123" s="20" t="s">
        <v>131</v>
      </c>
      <c r="M123" s="30">
        <v>2402092</v>
      </c>
      <c r="N123" s="20" t="s">
        <v>150</v>
      </c>
      <c r="O123" s="46" t="s">
        <v>842</v>
      </c>
      <c r="P123" s="20" t="s">
        <v>151</v>
      </c>
      <c r="Q123" s="20" t="s">
        <v>152</v>
      </c>
      <c r="R123" s="30">
        <v>240209200</v>
      </c>
      <c r="S123" s="20" t="s">
        <v>153</v>
      </c>
      <c r="T123" s="20" t="s">
        <v>142</v>
      </c>
      <c r="U123" s="30">
        <v>11.2</v>
      </c>
      <c r="V123" s="20" t="s">
        <v>23</v>
      </c>
      <c r="W123" s="22">
        <v>0</v>
      </c>
      <c r="X123" s="22">
        <v>150</v>
      </c>
      <c r="Y123" s="22">
        <v>0</v>
      </c>
      <c r="Z123" s="22">
        <v>0</v>
      </c>
      <c r="AA123" s="22">
        <v>150</v>
      </c>
      <c r="AB123" s="22">
        <v>0</v>
      </c>
      <c r="AC123" s="22"/>
      <c r="AD123" s="22">
        <f t="shared" si="2"/>
        <v>0</v>
      </c>
      <c r="AE123" s="22"/>
      <c r="AF123" s="22"/>
      <c r="AG123" s="22" t="s">
        <v>1048</v>
      </c>
      <c r="AH123" s="22"/>
      <c r="AI123" s="65" t="e">
        <f t="shared" si="3"/>
        <v>#VALUE!</v>
      </c>
    </row>
    <row r="124" spans="1:35" ht="13.8" customHeight="1" x14ac:dyDescent="0.3">
      <c r="A124" s="20" t="s">
        <v>744</v>
      </c>
      <c r="B124" s="20">
        <v>40</v>
      </c>
      <c r="C124" s="20" t="s">
        <v>194</v>
      </c>
      <c r="D124" s="21">
        <v>150070001</v>
      </c>
      <c r="E124" s="21" t="s">
        <v>706</v>
      </c>
      <c r="F124" s="20" t="s">
        <v>707</v>
      </c>
      <c r="G124" s="20" t="s">
        <v>787</v>
      </c>
      <c r="H124" s="29">
        <v>2177</v>
      </c>
      <c r="I124" s="30">
        <v>2021</v>
      </c>
      <c r="J124" s="30">
        <v>2200</v>
      </c>
      <c r="K124" s="30">
        <v>4001</v>
      </c>
      <c r="L124" s="20" t="s">
        <v>195</v>
      </c>
      <c r="M124" s="30">
        <v>4001007</v>
      </c>
      <c r="N124" s="20" t="s">
        <v>196</v>
      </c>
      <c r="O124" s="46" t="s">
        <v>843</v>
      </c>
      <c r="P124" s="20"/>
      <c r="Q124" s="20" t="s">
        <v>197</v>
      </c>
      <c r="R124" s="30">
        <v>400100700</v>
      </c>
      <c r="S124" s="20" t="s">
        <v>198</v>
      </c>
      <c r="T124" s="20" t="s">
        <v>18</v>
      </c>
      <c r="U124" s="30">
        <v>16.3</v>
      </c>
      <c r="V124" s="20" t="s">
        <v>23</v>
      </c>
      <c r="W124" s="22">
        <v>0</v>
      </c>
      <c r="X124" s="22">
        <v>4</v>
      </c>
      <c r="Y124" s="22">
        <v>0</v>
      </c>
      <c r="Z124" s="22">
        <v>0</v>
      </c>
      <c r="AA124" s="22">
        <v>0</v>
      </c>
      <c r="AB124" s="22">
        <v>4</v>
      </c>
      <c r="AC124" s="22"/>
      <c r="AD124" s="22">
        <f t="shared" si="2"/>
        <v>0</v>
      </c>
      <c r="AE124" s="22"/>
      <c r="AF124" s="22"/>
      <c r="AG124" s="22" t="s">
        <v>1048</v>
      </c>
      <c r="AH124" s="22"/>
      <c r="AI124" s="65" t="e">
        <f t="shared" si="3"/>
        <v>#VALUE!</v>
      </c>
    </row>
    <row r="125" spans="1:35" ht="13.8" customHeight="1" x14ac:dyDescent="0.3">
      <c r="A125" s="20" t="s">
        <v>744</v>
      </c>
      <c r="B125" s="20">
        <v>40</v>
      </c>
      <c r="C125" s="20" t="s">
        <v>194</v>
      </c>
      <c r="D125" s="21">
        <v>150130001</v>
      </c>
      <c r="E125" s="21" t="s">
        <v>736</v>
      </c>
      <c r="F125" s="20" t="s">
        <v>719</v>
      </c>
      <c r="G125" s="20" t="s">
        <v>789</v>
      </c>
      <c r="H125" s="29">
        <v>0.59719999999999995</v>
      </c>
      <c r="I125" s="30">
        <v>2019</v>
      </c>
      <c r="J125" s="30">
        <v>4</v>
      </c>
      <c r="K125" s="30">
        <v>4002</v>
      </c>
      <c r="L125" s="20" t="s">
        <v>199</v>
      </c>
      <c r="M125" s="30">
        <v>4002016</v>
      </c>
      <c r="N125" s="20" t="s">
        <v>95</v>
      </c>
      <c r="O125" s="46" t="s">
        <v>844</v>
      </c>
      <c r="P125" s="20" t="s">
        <v>200</v>
      </c>
      <c r="Q125" s="20" t="s">
        <v>26</v>
      </c>
      <c r="R125" s="30">
        <v>400201601</v>
      </c>
      <c r="S125" s="20" t="s">
        <v>201</v>
      </c>
      <c r="T125" s="20" t="s">
        <v>18</v>
      </c>
      <c r="U125" s="30">
        <v>11.3</v>
      </c>
      <c r="V125" s="20" t="s">
        <v>23</v>
      </c>
      <c r="W125" s="22">
        <v>0</v>
      </c>
      <c r="X125" s="22">
        <v>1</v>
      </c>
      <c r="Y125" s="22">
        <v>0</v>
      </c>
      <c r="Z125" s="22">
        <v>0</v>
      </c>
      <c r="AA125" s="22">
        <v>1</v>
      </c>
      <c r="AB125" s="22">
        <v>0</v>
      </c>
      <c r="AC125" s="22"/>
      <c r="AD125" s="22">
        <f t="shared" si="2"/>
        <v>0</v>
      </c>
      <c r="AE125" s="22"/>
      <c r="AF125" s="22"/>
      <c r="AG125" s="22" t="s">
        <v>1048</v>
      </c>
      <c r="AH125" s="22"/>
      <c r="AI125" s="65" t="e">
        <f t="shared" si="3"/>
        <v>#VALUE!</v>
      </c>
    </row>
    <row r="126" spans="1:35" ht="13.8" customHeight="1" x14ac:dyDescent="0.3">
      <c r="A126" s="20" t="s">
        <v>744</v>
      </c>
      <c r="B126" s="20">
        <v>40</v>
      </c>
      <c r="C126" s="20" t="s">
        <v>194</v>
      </c>
      <c r="D126" s="20">
        <v>30010004</v>
      </c>
      <c r="E126" s="20" t="s">
        <v>671</v>
      </c>
      <c r="F126" s="20" t="s">
        <v>679</v>
      </c>
      <c r="G126" s="20" t="s">
        <v>774</v>
      </c>
      <c r="H126" s="29">
        <v>88.578100000000006</v>
      </c>
      <c r="I126" s="30">
        <v>2018</v>
      </c>
      <c r="J126" s="30">
        <v>91</v>
      </c>
      <c r="K126" s="30">
        <v>4003</v>
      </c>
      <c r="L126" s="20" t="s">
        <v>202</v>
      </c>
      <c r="M126" s="30">
        <v>4003015</v>
      </c>
      <c r="N126" s="20" t="s">
        <v>245</v>
      </c>
      <c r="O126" s="46"/>
      <c r="P126" s="20" t="s">
        <v>246</v>
      </c>
      <c r="Q126" s="20" t="s">
        <v>247</v>
      </c>
      <c r="R126" s="30">
        <v>400301500</v>
      </c>
      <c r="S126" s="20" t="s">
        <v>245</v>
      </c>
      <c r="T126" s="20" t="s">
        <v>18</v>
      </c>
      <c r="U126" s="30">
        <v>6.1</v>
      </c>
      <c r="V126" s="20" t="s">
        <v>23</v>
      </c>
      <c r="W126" s="22">
        <v>4</v>
      </c>
      <c r="X126" s="22">
        <v>2</v>
      </c>
      <c r="Y126" s="22">
        <v>0</v>
      </c>
      <c r="Z126" s="22">
        <v>0</v>
      </c>
      <c r="AA126" s="22">
        <v>1</v>
      </c>
      <c r="AB126" s="22">
        <v>1</v>
      </c>
      <c r="AC126" s="22"/>
      <c r="AD126" s="22">
        <f t="shared" si="2"/>
        <v>0</v>
      </c>
      <c r="AE126" s="22"/>
      <c r="AF126" s="22"/>
      <c r="AG126" s="22" t="s">
        <v>1048</v>
      </c>
      <c r="AH126" s="22"/>
      <c r="AI126" s="65" t="e">
        <f t="shared" si="3"/>
        <v>#VALUE!</v>
      </c>
    </row>
    <row r="127" spans="1:35" ht="13.8" customHeight="1" x14ac:dyDescent="0.3">
      <c r="A127" s="20" t="s">
        <v>744</v>
      </c>
      <c r="B127" s="20">
        <v>40</v>
      </c>
      <c r="C127" s="20" t="s">
        <v>194</v>
      </c>
      <c r="D127" s="20">
        <v>30010004</v>
      </c>
      <c r="E127" s="20" t="s">
        <v>671</v>
      </c>
      <c r="F127" s="20" t="s">
        <v>679</v>
      </c>
      <c r="G127" s="20" t="s">
        <v>774</v>
      </c>
      <c r="H127" s="29">
        <v>88.578100000000006</v>
      </c>
      <c r="I127" s="30">
        <v>2018</v>
      </c>
      <c r="J127" s="30">
        <v>91</v>
      </c>
      <c r="K127" s="30">
        <v>4003</v>
      </c>
      <c r="L127" s="20" t="s">
        <v>202</v>
      </c>
      <c r="M127" s="30">
        <v>4003016</v>
      </c>
      <c r="N127" s="20" t="s">
        <v>248</v>
      </c>
      <c r="O127" s="46" t="s">
        <v>845</v>
      </c>
      <c r="P127" s="20" t="s">
        <v>249</v>
      </c>
      <c r="Q127" s="20" t="s">
        <v>247</v>
      </c>
      <c r="R127" s="30">
        <v>400301600</v>
      </c>
      <c r="S127" s="20" t="s">
        <v>248</v>
      </c>
      <c r="T127" s="20" t="s">
        <v>18</v>
      </c>
      <c r="U127" s="30">
        <v>6.1</v>
      </c>
      <c r="V127" s="20" t="s">
        <v>23</v>
      </c>
      <c r="W127" s="22">
        <v>0</v>
      </c>
      <c r="X127" s="22">
        <v>1</v>
      </c>
      <c r="Y127" s="22">
        <v>0</v>
      </c>
      <c r="Z127" s="22">
        <v>0</v>
      </c>
      <c r="AA127" s="22">
        <v>1</v>
      </c>
      <c r="AB127" s="22">
        <v>0</v>
      </c>
      <c r="AC127" s="22"/>
      <c r="AD127" s="22">
        <f t="shared" si="2"/>
        <v>0</v>
      </c>
      <c r="AE127" s="22"/>
      <c r="AF127" s="22"/>
      <c r="AG127" s="22" t="s">
        <v>1048</v>
      </c>
      <c r="AH127" s="22"/>
      <c r="AI127" s="65" t="e">
        <f t="shared" si="3"/>
        <v>#VALUE!</v>
      </c>
    </row>
    <row r="128" spans="1:35" ht="13.8" customHeight="1" x14ac:dyDescent="0.3">
      <c r="A128" s="20" t="s">
        <v>744</v>
      </c>
      <c r="B128" s="20">
        <v>40</v>
      </c>
      <c r="C128" s="20" t="s">
        <v>194</v>
      </c>
      <c r="D128" s="20">
        <v>30010004</v>
      </c>
      <c r="E128" s="20" t="s">
        <v>671</v>
      </c>
      <c r="F128" s="20" t="s">
        <v>679</v>
      </c>
      <c r="G128" s="20" t="s">
        <v>774</v>
      </c>
      <c r="H128" s="29">
        <v>88.578100000000006</v>
      </c>
      <c r="I128" s="30">
        <v>2018</v>
      </c>
      <c r="J128" s="30">
        <v>91</v>
      </c>
      <c r="K128" s="30">
        <v>4003</v>
      </c>
      <c r="L128" s="20" t="s">
        <v>202</v>
      </c>
      <c r="M128" s="30">
        <v>4003017</v>
      </c>
      <c r="N128" s="20" t="s">
        <v>250</v>
      </c>
      <c r="O128" s="46"/>
      <c r="P128" s="20" t="s">
        <v>251</v>
      </c>
      <c r="Q128" s="20" t="s">
        <v>247</v>
      </c>
      <c r="R128" s="30">
        <v>400301700</v>
      </c>
      <c r="S128" s="20" t="s">
        <v>250</v>
      </c>
      <c r="T128" s="20" t="s">
        <v>18</v>
      </c>
      <c r="U128" s="30">
        <v>6.1</v>
      </c>
      <c r="V128" s="20" t="s">
        <v>23</v>
      </c>
      <c r="W128" s="22">
        <v>6</v>
      </c>
      <c r="X128" s="22">
        <v>6</v>
      </c>
      <c r="Y128" s="22">
        <v>0</v>
      </c>
      <c r="Z128" s="22">
        <v>0</v>
      </c>
      <c r="AA128" s="22">
        <v>3</v>
      </c>
      <c r="AB128" s="22">
        <v>3</v>
      </c>
      <c r="AC128" s="22"/>
      <c r="AD128" s="22">
        <f t="shared" si="2"/>
        <v>0</v>
      </c>
      <c r="AE128" s="22"/>
      <c r="AF128" s="22"/>
      <c r="AG128" s="22" t="s">
        <v>1048</v>
      </c>
      <c r="AH128" s="22"/>
      <c r="AI128" s="65" t="e">
        <f t="shared" si="3"/>
        <v>#VALUE!</v>
      </c>
    </row>
    <row r="129" spans="1:35" ht="13.8" customHeight="1" x14ac:dyDescent="0.3">
      <c r="A129" s="20" t="s">
        <v>744</v>
      </c>
      <c r="B129" s="20">
        <v>40</v>
      </c>
      <c r="C129" s="20" t="s">
        <v>194</v>
      </c>
      <c r="D129" s="20">
        <v>30010006</v>
      </c>
      <c r="E129" s="20" t="s">
        <v>672</v>
      </c>
      <c r="F129" s="20" t="s">
        <v>679</v>
      </c>
      <c r="G129" s="20" t="s">
        <v>774</v>
      </c>
      <c r="H129" s="29">
        <v>64.2774</v>
      </c>
      <c r="I129" s="30">
        <v>2018</v>
      </c>
      <c r="J129" s="30">
        <v>75</v>
      </c>
      <c r="K129" s="30">
        <v>4003</v>
      </c>
      <c r="L129" s="20" t="s">
        <v>202</v>
      </c>
      <c r="M129" s="30">
        <v>4003018</v>
      </c>
      <c r="N129" s="20" t="s">
        <v>252</v>
      </c>
      <c r="O129" s="46" t="s">
        <v>846</v>
      </c>
      <c r="P129" s="20" t="s">
        <v>253</v>
      </c>
      <c r="Q129" s="20" t="s">
        <v>254</v>
      </c>
      <c r="R129" s="30">
        <v>400301800</v>
      </c>
      <c r="S129" s="20" t="s">
        <v>252</v>
      </c>
      <c r="T129" s="20" t="s">
        <v>18</v>
      </c>
      <c r="U129" s="30">
        <v>6.2</v>
      </c>
      <c r="V129" s="20" t="s">
        <v>23</v>
      </c>
      <c r="W129" s="22">
        <v>2</v>
      </c>
      <c r="X129" s="22">
        <v>2</v>
      </c>
      <c r="Y129" s="22">
        <v>0</v>
      </c>
      <c r="Z129" s="22">
        <v>0</v>
      </c>
      <c r="AA129" s="22">
        <v>1</v>
      </c>
      <c r="AB129" s="22">
        <v>1</v>
      </c>
      <c r="AC129" s="22"/>
      <c r="AD129" s="22">
        <f t="shared" si="2"/>
        <v>0</v>
      </c>
      <c r="AE129" s="22"/>
      <c r="AF129" s="22"/>
      <c r="AG129" s="22" t="s">
        <v>1048</v>
      </c>
      <c r="AH129" s="22"/>
      <c r="AI129" s="65" t="e">
        <f t="shared" si="3"/>
        <v>#VALUE!</v>
      </c>
    </row>
    <row r="130" spans="1:35" ht="13.8" customHeight="1" x14ac:dyDescent="0.3">
      <c r="A130" s="20" t="s">
        <v>744</v>
      </c>
      <c r="B130" s="20">
        <v>40</v>
      </c>
      <c r="C130" s="20" t="s">
        <v>194</v>
      </c>
      <c r="D130" s="20">
        <v>30010006</v>
      </c>
      <c r="E130" s="20" t="s">
        <v>672</v>
      </c>
      <c r="F130" s="20" t="s">
        <v>679</v>
      </c>
      <c r="G130" s="20" t="s">
        <v>774</v>
      </c>
      <c r="H130" s="29">
        <v>64.2774</v>
      </c>
      <c r="I130" s="30">
        <v>2018</v>
      </c>
      <c r="J130" s="30">
        <v>75</v>
      </c>
      <c r="K130" s="30">
        <v>4003</v>
      </c>
      <c r="L130" s="20" t="s">
        <v>202</v>
      </c>
      <c r="M130" s="30">
        <v>4003019</v>
      </c>
      <c r="N130" s="20" t="s">
        <v>255</v>
      </c>
      <c r="O130" s="46"/>
      <c r="P130" s="20" t="s">
        <v>256</v>
      </c>
      <c r="Q130" s="20" t="s">
        <v>254</v>
      </c>
      <c r="R130" s="30">
        <v>400301903</v>
      </c>
      <c r="S130" s="20" t="s">
        <v>257</v>
      </c>
      <c r="T130" s="20" t="s">
        <v>69</v>
      </c>
      <c r="U130" s="30">
        <v>6.2</v>
      </c>
      <c r="V130" s="20" t="s">
        <v>23</v>
      </c>
      <c r="W130" s="22">
        <v>100</v>
      </c>
      <c r="X130" s="22">
        <v>600</v>
      </c>
      <c r="Y130" s="22">
        <v>0</v>
      </c>
      <c r="Z130" s="22">
        <v>0</v>
      </c>
      <c r="AA130" s="22">
        <v>0</v>
      </c>
      <c r="AB130" s="22">
        <v>600</v>
      </c>
      <c r="AC130" s="22"/>
      <c r="AD130" s="22">
        <f t="shared" si="2"/>
        <v>0</v>
      </c>
      <c r="AE130" s="22"/>
      <c r="AF130" s="22"/>
      <c r="AG130" s="22" t="s">
        <v>1048</v>
      </c>
      <c r="AH130" s="22"/>
      <c r="AI130" s="65" t="e">
        <f t="shared" si="3"/>
        <v>#VALUE!</v>
      </c>
    </row>
    <row r="131" spans="1:35" ht="13.8" customHeight="1" x14ac:dyDescent="0.3">
      <c r="A131" s="20" t="s">
        <v>744</v>
      </c>
      <c r="B131" s="20">
        <v>40</v>
      </c>
      <c r="C131" s="20" t="s">
        <v>194</v>
      </c>
      <c r="D131" s="21">
        <v>30010044</v>
      </c>
      <c r="E131" s="21" t="s">
        <v>735</v>
      </c>
      <c r="F131" s="20" t="s">
        <v>504</v>
      </c>
      <c r="G131" s="20" t="s">
        <v>790</v>
      </c>
      <c r="H131" s="29" t="s">
        <v>803</v>
      </c>
      <c r="I131" s="30" t="s">
        <v>803</v>
      </c>
      <c r="J131" s="30">
        <v>10</v>
      </c>
      <c r="K131" s="30">
        <v>4002</v>
      </c>
      <c r="L131" s="20" t="s">
        <v>199</v>
      </c>
      <c r="M131" s="30">
        <v>4002022</v>
      </c>
      <c r="N131" s="20" t="s">
        <v>258</v>
      </c>
      <c r="O131" s="46"/>
      <c r="P131" s="20"/>
      <c r="Q131" s="20" t="s">
        <v>259</v>
      </c>
      <c r="R131" s="30">
        <v>400202200</v>
      </c>
      <c r="S131" s="20" t="s">
        <v>258</v>
      </c>
      <c r="T131" s="20" t="s">
        <v>260</v>
      </c>
      <c r="U131" s="30">
        <v>11.7</v>
      </c>
      <c r="V131" s="20" t="s">
        <v>23</v>
      </c>
      <c r="W131" s="22">
        <v>750</v>
      </c>
      <c r="X131" s="22">
        <v>250</v>
      </c>
      <c r="Y131" s="22">
        <v>0</v>
      </c>
      <c r="Z131" s="22">
        <v>250</v>
      </c>
      <c r="AA131" s="22">
        <v>0</v>
      </c>
      <c r="AB131" s="22">
        <v>0</v>
      </c>
      <c r="AC131" s="22"/>
      <c r="AD131" s="36">
        <f t="shared" si="2"/>
        <v>0</v>
      </c>
      <c r="AE131" s="22"/>
      <c r="AF131" s="22"/>
      <c r="AG131" s="22">
        <v>0</v>
      </c>
      <c r="AH131" s="22"/>
      <c r="AI131" s="65">
        <f t="shared" si="3"/>
        <v>0</v>
      </c>
    </row>
    <row r="132" spans="1:35" ht="13.8" customHeight="1" x14ac:dyDescent="0.3">
      <c r="A132" s="20" t="s">
        <v>744</v>
      </c>
      <c r="B132" s="20">
        <v>40</v>
      </c>
      <c r="C132" s="20" t="s">
        <v>194</v>
      </c>
      <c r="D132" s="21">
        <v>30010044</v>
      </c>
      <c r="E132" s="21" t="s">
        <v>735</v>
      </c>
      <c r="F132" s="20" t="s">
        <v>504</v>
      </c>
      <c r="G132" s="20" t="s">
        <v>790</v>
      </c>
      <c r="H132" s="29" t="s">
        <v>803</v>
      </c>
      <c r="I132" s="30" t="s">
        <v>803</v>
      </c>
      <c r="J132" s="30">
        <v>10</v>
      </c>
      <c r="K132" s="30">
        <v>4002</v>
      </c>
      <c r="L132" s="20" t="s">
        <v>199</v>
      </c>
      <c r="M132" s="30">
        <v>4002019</v>
      </c>
      <c r="N132" s="20" t="s">
        <v>273</v>
      </c>
      <c r="O132" s="46" t="s">
        <v>847</v>
      </c>
      <c r="P132" s="20" t="s">
        <v>274</v>
      </c>
      <c r="Q132" s="20" t="s">
        <v>275</v>
      </c>
      <c r="R132" s="30">
        <v>400201900</v>
      </c>
      <c r="S132" s="20" t="s">
        <v>273</v>
      </c>
      <c r="T132" s="20" t="s">
        <v>260</v>
      </c>
      <c r="U132" s="30">
        <v>11.7</v>
      </c>
      <c r="V132" s="20" t="s">
        <v>23</v>
      </c>
      <c r="W132" s="22" t="s">
        <v>636</v>
      </c>
      <c r="X132" s="22">
        <v>850</v>
      </c>
      <c r="Y132" s="22">
        <v>0</v>
      </c>
      <c r="Z132" s="22">
        <v>850</v>
      </c>
      <c r="AA132" s="22">
        <v>0</v>
      </c>
      <c r="AB132" s="22">
        <v>0</v>
      </c>
      <c r="AC132" s="22"/>
      <c r="AD132" s="36">
        <f t="shared" ref="AD132:AD184" si="4">+AC132/X132*100</f>
        <v>0</v>
      </c>
      <c r="AE132" s="22"/>
      <c r="AF132" s="22"/>
      <c r="AG132" s="22">
        <v>0</v>
      </c>
      <c r="AH132" s="22"/>
      <c r="AI132" s="65">
        <f t="shared" ref="AI132:AI184" si="5">+AG132*100/Z132</f>
        <v>0</v>
      </c>
    </row>
    <row r="133" spans="1:35" ht="13.8" customHeight="1" x14ac:dyDescent="0.3">
      <c r="A133" s="20" t="s">
        <v>744</v>
      </c>
      <c r="B133" s="20">
        <v>40</v>
      </c>
      <c r="C133" s="20" t="s">
        <v>194</v>
      </c>
      <c r="D133" s="20">
        <v>30010004</v>
      </c>
      <c r="E133" s="20" t="s">
        <v>671</v>
      </c>
      <c r="F133" s="20" t="s">
        <v>679</v>
      </c>
      <c r="G133" s="20" t="s">
        <v>774</v>
      </c>
      <c r="H133" s="29">
        <v>88.578100000000006</v>
      </c>
      <c r="I133" s="30">
        <v>2018</v>
      </c>
      <c r="J133" s="30">
        <v>91</v>
      </c>
      <c r="K133" s="30">
        <v>4003</v>
      </c>
      <c r="L133" s="20" t="s">
        <v>202</v>
      </c>
      <c r="M133" s="30">
        <v>4003042</v>
      </c>
      <c r="N133" s="20" t="s">
        <v>292</v>
      </c>
      <c r="O133" s="46"/>
      <c r="P133" s="20" t="s">
        <v>293</v>
      </c>
      <c r="Q133" s="20" t="s">
        <v>284</v>
      </c>
      <c r="R133" s="30">
        <v>400304200</v>
      </c>
      <c r="S133" s="20" t="s">
        <v>294</v>
      </c>
      <c r="T133" s="20" t="s">
        <v>18</v>
      </c>
      <c r="U133" s="30">
        <v>16.600000000000001</v>
      </c>
      <c r="V133" s="20" t="s">
        <v>23</v>
      </c>
      <c r="W133" s="22">
        <v>0</v>
      </c>
      <c r="X133" s="22">
        <v>1</v>
      </c>
      <c r="Y133" s="22">
        <v>0</v>
      </c>
      <c r="Z133" s="22">
        <v>1</v>
      </c>
      <c r="AA133" s="22">
        <v>0</v>
      </c>
      <c r="AB133" s="22">
        <v>0</v>
      </c>
      <c r="AC133" s="22"/>
      <c r="AD133" s="36">
        <f t="shared" si="4"/>
        <v>0</v>
      </c>
      <c r="AE133" s="22"/>
      <c r="AF133" s="22"/>
      <c r="AG133" s="22">
        <v>1</v>
      </c>
      <c r="AH133" s="22" t="s">
        <v>1049</v>
      </c>
      <c r="AI133" s="65">
        <f t="shared" si="5"/>
        <v>100</v>
      </c>
    </row>
    <row r="134" spans="1:35" ht="13.8" customHeight="1" x14ac:dyDescent="0.3">
      <c r="A134" s="20" t="s">
        <v>744</v>
      </c>
      <c r="B134" s="20">
        <v>24</v>
      </c>
      <c r="C134" s="20" t="s">
        <v>130</v>
      </c>
      <c r="D134" s="20">
        <v>120040010</v>
      </c>
      <c r="E134" s="20" t="s">
        <v>680</v>
      </c>
      <c r="F134" s="20" t="s">
        <v>18</v>
      </c>
      <c r="G134" s="20" t="s">
        <v>784</v>
      </c>
      <c r="H134" s="29">
        <v>615</v>
      </c>
      <c r="I134" s="30">
        <v>2014</v>
      </c>
      <c r="J134" s="30">
        <v>680</v>
      </c>
      <c r="K134" s="30">
        <v>2402</v>
      </c>
      <c r="L134" s="20" t="s">
        <v>131</v>
      </c>
      <c r="M134" s="30">
        <v>2402114</v>
      </c>
      <c r="N134" s="20" t="s">
        <v>322</v>
      </c>
      <c r="O134" s="46"/>
      <c r="P134" s="20" t="s">
        <v>323</v>
      </c>
      <c r="Q134" s="20" t="s">
        <v>324</v>
      </c>
      <c r="R134" s="30">
        <v>240211400</v>
      </c>
      <c r="S134" s="20" t="s">
        <v>325</v>
      </c>
      <c r="T134" s="20" t="s">
        <v>136</v>
      </c>
      <c r="U134" s="30">
        <v>9.1</v>
      </c>
      <c r="V134" s="20" t="s">
        <v>23</v>
      </c>
      <c r="W134" s="22">
        <v>0</v>
      </c>
      <c r="X134" s="22">
        <v>0.5</v>
      </c>
      <c r="Y134" s="22">
        <v>0</v>
      </c>
      <c r="Z134" s="22">
        <v>0</v>
      </c>
      <c r="AA134" s="22">
        <v>0.5</v>
      </c>
      <c r="AB134" s="22">
        <v>0</v>
      </c>
      <c r="AC134" s="22"/>
      <c r="AD134" s="22">
        <f t="shared" si="4"/>
        <v>0</v>
      </c>
      <c r="AE134" s="22"/>
      <c r="AF134" s="22"/>
      <c r="AG134" s="22" t="s">
        <v>1048</v>
      </c>
      <c r="AH134" s="22"/>
      <c r="AI134" s="65" t="e">
        <f t="shared" si="5"/>
        <v>#VALUE!</v>
      </c>
    </row>
    <row r="135" spans="1:35" ht="13.8" customHeight="1" x14ac:dyDescent="0.3">
      <c r="A135" s="20" t="s">
        <v>744</v>
      </c>
      <c r="B135" s="20">
        <v>40</v>
      </c>
      <c r="C135" s="20" t="s">
        <v>194</v>
      </c>
      <c r="D135" s="20">
        <v>30010004</v>
      </c>
      <c r="E135" s="20" t="s">
        <v>671</v>
      </c>
      <c r="F135" s="20" t="s">
        <v>679</v>
      </c>
      <c r="G135" s="20" t="s">
        <v>774</v>
      </c>
      <c r="H135" s="29">
        <v>88.578100000000006</v>
      </c>
      <c r="I135" s="30">
        <v>2018</v>
      </c>
      <c r="J135" s="30">
        <v>91</v>
      </c>
      <c r="K135" s="30">
        <v>4003</v>
      </c>
      <c r="L135" s="20" t="s">
        <v>202</v>
      </c>
      <c r="M135" s="30">
        <v>4003047</v>
      </c>
      <c r="N135" s="20" t="s">
        <v>357</v>
      </c>
      <c r="O135" s="46"/>
      <c r="P135" s="20" t="s">
        <v>358</v>
      </c>
      <c r="Q135" s="20" t="s">
        <v>205</v>
      </c>
      <c r="R135" s="30">
        <v>400304700</v>
      </c>
      <c r="S135" s="20" t="s">
        <v>359</v>
      </c>
      <c r="T135" s="20" t="s">
        <v>18</v>
      </c>
      <c r="U135" s="30">
        <v>6.4</v>
      </c>
      <c r="V135" s="20" t="s">
        <v>207</v>
      </c>
      <c r="W135" s="22">
        <v>1490</v>
      </c>
      <c r="X135" s="22">
        <v>6120</v>
      </c>
      <c r="Y135" s="22">
        <v>1500</v>
      </c>
      <c r="Z135" s="22">
        <v>1520</v>
      </c>
      <c r="AA135" s="22">
        <v>1540</v>
      </c>
      <c r="AB135" s="22">
        <v>1560</v>
      </c>
      <c r="AC135" s="22">
        <v>1562</v>
      </c>
      <c r="AD135" s="36">
        <f t="shared" si="4"/>
        <v>25.522875816993462</v>
      </c>
      <c r="AE135" s="22" t="s">
        <v>904</v>
      </c>
      <c r="AF135" s="22" t="s">
        <v>905</v>
      </c>
      <c r="AG135" s="22">
        <v>1520</v>
      </c>
      <c r="AH135" s="22"/>
      <c r="AI135" s="65">
        <f t="shared" si="5"/>
        <v>100</v>
      </c>
    </row>
    <row r="136" spans="1:35" ht="13.8" customHeight="1" x14ac:dyDescent="0.3">
      <c r="A136" s="20" t="s">
        <v>744</v>
      </c>
      <c r="B136" s="20">
        <v>40</v>
      </c>
      <c r="C136" s="20" t="s">
        <v>194</v>
      </c>
      <c r="D136" s="20">
        <v>30010008</v>
      </c>
      <c r="E136" s="20" t="s">
        <v>673</v>
      </c>
      <c r="F136" s="20" t="s">
        <v>679</v>
      </c>
      <c r="G136" s="20" t="s">
        <v>774</v>
      </c>
      <c r="H136" s="29">
        <v>47.735199999999999</v>
      </c>
      <c r="I136" s="30">
        <v>2018</v>
      </c>
      <c r="J136" s="30">
        <v>40</v>
      </c>
      <c r="K136" s="30">
        <v>4001</v>
      </c>
      <c r="L136" s="20" t="s">
        <v>195</v>
      </c>
      <c r="M136" s="30">
        <v>4001043</v>
      </c>
      <c r="N136" s="20" t="s">
        <v>388</v>
      </c>
      <c r="O136" s="46"/>
      <c r="P136" s="20" t="s">
        <v>389</v>
      </c>
      <c r="Q136" s="20" t="s">
        <v>390</v>
      </c>
      <c r="R136" s="30">
        <v>400104300</v>
      </c>
      <c r="S136" s="20" t="s">
        <v>388</v>
      </c>
      <c r="T136" s="20" t="s">
        <v>18</v>
      </c>
      <c r="U136" s="30">
        <v>11.1</v>
      </c>
      <c r="V136" s="20" t="s">
        <v>23</v>
      </c>
      <c r="W136" s="22">
        <v>13</v>
      </c>
      <c r="X136" s="22">
        <v>30</v>
      </c>
      <c r="Y136" s="22">
        <v>0</v>
      </c>
      <c r="Z136" s="22">
        <v>0</v>
      </c>
      <c r="AA136" s="22">
        <v>15</v>
      </c>
      <c r="AB136" s="22">
        <v>15</v>
      </c>
      <c r="AC136" s="22"/>
      <c r="AD136" s="22">
        <f t="shared" si="4"/>
        <v>0</v>
      </c>
      <c r="AE136" s="22"/>
      <c r="AF136" s="22"/>
      <c r="AG136" s="22" t="s">
        <v>1048</v>
      </c>
      <c r="AH136" s="22"/>
      <c r="AI136" s="65" t="e">
        <f t="shared" si="5"/>
        <v>#VALUE!</v>
      </c>
    </row>
    <row r="137" spans="1:35" ht="13.8" customHeight="1" x14ac:dyDescent="0.3">
      <c r="A137" s="20" t="s">
        <v>744</v>
      </c>
      <c r="B137" s="20">
        <v>40</v>
      </c>
      <c r="C137" s="20" t="s">
        <v>194</v>
      </c>
      <c r="D137" s="20">
        <v>30010009</v>
      </c>
      <c r="E137" s="20" t="s">
        <v>674</v>
      </c>
      <c r="F137" s="20" t="s">
        <v>679</v>
      </c>
      <c r="G137" s="20" t="s">
        <v>774</v>
      </c>
      <c r="H137" s="29">
        <v>3.4843000000000002</v>
      </c>
      <c r="I137" s="30">
        <v>2018</v>
      </c>
      <c r="J137" s="30">
        <v>2</v>
      </c>
      <c r="K137" s="30">
        <v>4001</v>
      </c>
      <c r="L137" s="20" t="s">
        <v>195</v>
      </c>
      <c r="M137" s="30">
        <v>4001044</v>
      </c>
      <c r="N137" s="20" t="s">
        <v>391</v>
      </c>
      <c r="O137" s="46"/>
      <c r="P137" s="20" t="s">
        <v>392</v>
      </c>
      <c r="Q137" s="20" t="s">
        <v>390</v>
      </c>
      <c r="R137" s="30">
        <v>400104400</v>
      </c>
      <c r="S137" s="20" t="s">
        <v>391</v>
      </c>
      <c r="T137" s="20" t="s">
        <v>18</v>
      </c>
      <c r="U137" s="30">
        <v>11.1</v>
      </c>
      <c r="V137" s="20" t="s">
        <v>23</v>
      </c>
      <c r="W137" s="22">
        <v>78</v>
      </c>
      <c r="X137" s="22">
        <v>100</v>
      </c>
      <c r="Y137" s="22">
        <v>0</v>
      </c>
      <c r="Z137" s="22">
        <v>0</v>
      </c>
      <c r="AA137" s="22">
        <v>50</v>
      </c>
      <c r="AB137" s="22">
        <v>50</v>
      </c>
      <c r="AC137" s="22"/>
      <c r="AD137" s="22">
        <f t="shared" si="4"/>
        <v>0</v>
      </c>
      <c r="AE137" s="22"/>
      <c r="AF137" s="22"/>
      <c r="AG137" s="22" t="s">
        <v>1048</v>
      </c>
      <c r="AH137" s="22"/>
      <c r="AI137" s="65" t="e">
        <f t="shared" si="5"/>
        <v>#VALUE!</v>
      </c>
    </row>
    <row r="138" spans="1:35" ht="13.8" customHeight="1" x14ac:dyDescent="0.3">
      <c r="A138" s="20" t="s">
        <v>744</v>
      </c>
      <c r="B138" s="20">
        <v>40</v>
      </c>
      <c r="C138" s="20" t="s">
        <v>194</v>
      </c>
      <c r="D138" s="20">
        <v>30010004</v>
      </c>
      <c r="E138" s="20" t="s">
        <v>671</v>
      </c>
      <c r="F138" s="20" t="s">
        <v>679</v>
      </c>
      <c r="G138" s="20" t="s">
        <v>774</v>
      </c>
      <c r="H138" s="29">
        <v>88.578100000000006</v>
      </c>
      <c r="I138" s="30">
        <v>2018</v>
      </c>
      <c r="J138" s="30">
        <v>91</v>
      </c>
      <c r="K138" s="30">
        <v>4003</v>
      </c>
      <c r="L138" s="20" t="s">
        <v>202</v>
      </c>
      <c r="M138" s="30">
        <v>4003006</v>
      </c>
      <c r="N138" s="20" t="s">
        <v>95</v>
      </c>
      <c r="O138" s="46" t="s">
        <v>900</v>
      </c>
      <c r="P138" s="20" t="s">
        <v>200</v>
      </c>
      <c r="Q138" s="20" t="s">
        <v>26</v>
      </c>
      <c r="R138" s="30">
        <v>400300602</v>
      </c>
      <c r="S138" s="20" t="s">
        <v>532</v>
      </c>
      <c r="T138" s="20" t="s">
        <v>18</v>
      </c>
      <c r="U138" s="30">
        <v>6.4</v>
      </c>
      <c r="V138" s="20" t="s">
        <v>207</v>
      </c>
      <c r="W138" s="22">
        <v>1</v>
      </c>
      <c r="X138" s="22">
        <v>1</v>
      </c>
      <c r="Y138" s="22">
        <v>0</v>
      </c>
      <c r="Z138" s="22">
        <v>1</v>
      </c>
      <c r="AA138" s="22">
        <v>0</v>
      </c>
      <c r="AB138" s="22">
        <v>0</v>
      </c>
      <c r="AC138" s="22"/>
      <c r="AD138" s="36">
        <f t="shared" si="4"/>
        <v>0</v>
      </c>
      <c r="AE138" s="22"/>
      <c r="AF138" s="22" t="s">
        <v>901</v>
      </c>
      <c r="AG138" s="22">
        <v>1</v>
      </c>
      <c r="AH138" s="22"/>
      <c r="AI138" s="65">
        <f t="shared" si="5"/>
        <v>100</v>
      </c>
    </row>
    <row r="139" spans="1:35" ht="13.8" customHeight="1" x14ac:dyDescent="0.3">
      <c r="A139" s="20" t="s">
        <v>744</v>
      </c>
      <c r="B139" s="20">
        <v>40</v>
      </c>
      <c r="C139" s="20" t="s">
        <v>194</v>
      </c>
      <c r="D139" s="20">
        <v>30010004</v>
      </c>
      <c r="E139" s="20" t="s">
        <v>671</v>
      </c>
      <c r="F139" s="20" t="s">
        <v>679</v>
      </c>
      <c r="G139" s="20" t="s">
        <v>774</v>
      </c>
      <c r="H139" s="29">
        <v>88.578100000000006</v>
      </c>
      <c r="I139" s="30">
        <v>2018</v>
      </c>
      <c r="J139" s="30">
        <v>91</v>
      </c>
      <c r="K139" s="30">
        <v>4003</v>
      </c>
      <c r="L139" s="20" t="s">
        <v>202</v>
      </c>
      <c r="M139" s="30">
        <v>4003053</v>
      </c>
      <c r="N139" s="20" t="s">
        <v>578</v>
      </c>
      <c r="O139" s="46"/>
      <c r="P139" s="20" t="s">
        <v>579</v>
      </c>
      <c r="Q139" s="20" t="s">
        <v>580</v>
      </c>
      <c r="R139" s="30">
        <v>400305300</v>
      </c>
      <c r="S139" s="20" t="s">
        <v>581</v>
      </c>
      <c r="T139" s="20" t="s">
        <v>18</v>
      </c>
      <c r="U139" s="30">
        <v>6.1</v>
      </c>
      <c r="V139" s="20" t="s">
        <v>23</v>
      </c>
      <c r="W139" s="22">
        <v>0</v>
      </c>
      <c r="X139" s="22">
        <v>30</v>
      </c>
      <c r="Y139" s="22">
        <v>0</v>
      </c>
      <c r="Z139" s="22">
        <v>0</v>
      </c>
      <c r="AA139" s="22">
        <v>30</v>
      </c>
      <c r="AB139" s="22">
        <v>0</v>
      </c>
      <c r="AC139" s="22"/>
      <c r="AD139" s="22">
        <f t="shared" si="4"/>
        <v>0</v>
      </c>
      <c r="AE139" s="22"/>
      <c r="AF139" s="22"/>
      <c r="AG139" s="22" t="s">
        <v>1048</v>
      </c>
      <c r="AH139" s="22"/>
      <c r="AI139" s="65" t="e">
        <f t="shared" si="5"/>
        <v>#VALUE!</v>
      </c>
    </row>
    <row r="140" spans="1:35" ht="13.8" customHeight="1" x14ac:dyDescent="0.3">
      <c r="A140" s="20" t="s">
        <v>744</v>
      </c>
      <c r="B140" s="20">
        <v>45</v>
      </c>
      <c r="C140" s="20" t="s">
        <v>393</v>
      </c>
      <c r="D140" s="24">
        <v>20100040</v>
      </c>
      <c r="E140" s="20" t="s">
        <v>763</v>
      </c>
      <c r="F140" s="20" t="s">
        <v>719</v>
      </c>
      <c r="G140" s="20" t="s">
        <v>780</v>
      </c>
      <c r="H140" s="29">
        <v>0</v>
      </c>
      <c r="I140" s="30">
        <v>2021</v>
      </c>
      <c r="J140" s="30">
        <v>0</v>
      </c>
      <c r="K140" s="30">
        <v>4502</v>
      </c>
      <c r="L140" s="20" t="s">
        <v>399</v>
      </c>
      <c r="M140" s="30">
        <v>4502002</v>
      </c>
      <c r="N140" s="16" t="s">
        <v>403</v>
      </c>
      <c r="O140" s="46"/>
      <c r="P140" s="20" t="s">
        <v>404</v>
      </c>
      <c r="Q140" s="20" t="s">
        <v>405</v>
      </c>
      <c r="R140" s="30">
        <v>450200200</v>
      </c>
      <c r="S140" s="20" t="s">
        <v>406</v>
      </c>
      <c r="T140" s="20" t="s">
        <v>18</v>
      </c>
      <c r="U140" s="30">
        <v>16.7</v>
      </c>
      <c r="V140" s="20" t="s">
        <v>23</v>
      </c>
      <c r="W140" s="22">
        <v>4</v>
      </c>
      <c r="X140" s="22">
        <v>2</v>
      </c>
      <c r="Y140" s="22">
        <v>0</v>
      </c>
      <c r="Z140" s="22">
        <v>0</v>
      </c>
      <c r="AA140" s="22">
        <v>2</v>
      </c>
      <c r="AB140" s="22">
        <v>0</v>
      </c>
      <c r="AC140" s="22"/>
      <c r="AD140" s="22">
        <f t="shared" si="4"/>
        <v>0</v>
      </c>
      <c r="AE140" s="22"/>
      <c r="AF140" s="22"/>
      <c r="AG140" s="22" t="s">
        <v>1048</v>
      </c>
      <c r="AH140" s="22"/>
      <c r="AI140" s="65" t="e">
        <f t="shared" si="5"/>
        <v>#VALUE!</v>
      </c>
    </row>
    <row r="141" spans="1:35" ht="13.8" customHeight="1" x14ac:dyDescent="0.3">
      <c r="A141" s="20" t="s">
        <v>744</v>
      </c>
      <c r="B141" s="20">
        <v>45</v>
      </c>
      <c r="C141" s="20" t="s">
        <v>393</v>
      </c>
      <c r="D141" s="24">
        <v>20100040</v>
      </c>
      <c r="E141" s="20" t="s">
        <v>763</v>
      </c>
      <c r="F141" s="20" t="s">
        <v>719</v>
      </c>
      <c r="G141" s="20" t="s">
        <v>780</v>
      </c>
      <c r="H141" s="29">
        <v>0</v>
      </c>
      <c r="I141" s="30">
        <v>2021</v>
      </c>
      <c r="J141" s="30">
        <v>0</v>
      </c>
      <c r="K141" s="30">
        <v>4502</v>
      </c>
      <c r="L141" s="20" t="s">
        <v>399</v>
      </c>
      <c r="M141" s="30">
        <v>4502003</v>
      </c>
      <c r="N141" s="16" t="s">
        <v>407</v>
      </c>
      <c r="O141" s="46"/>
      <c r="P141" s="20" t="s">
        <v>408</v>
      </c>
      <c r="Q141" s="20" t="s">
        <v>405</v>
      </c>
      <c r="R141" s="30">
        <v>450200300</v>
      </c>
      <c r="S141" s="20" t="s">
        <v>409</v>
      </c>
      <c r="T141" s="20" t="s">
        <v>18</v>
      </c>
      <c r="U141" s="30">
        <v>16.7</v>
      </c>
      <c r="V141" s="20" t="s">
        <v>23</v>
      </c>
      <c r="W141" s="22">
        <v>4</v>
      </c>
      <c r="X141" s="22">
        <v>4</v>
      </c>
      <c r="Y141" s="22">
        <v>0</v>
      </c>
      <c r="Z141" s="22">
        <v>0</v>
      </c>
      <c r="AA141" s="22">
        <v>2</v>
      </c>
      <c r="AB141" s="22">
        <v>2</v>
      </c>
      <c r="AC141" s="22"/>
      <c r="AD141" s="22">
        <f t="shared" si="4"/>
        <v>0</v>
      </c>
      <c r="AE141" s="22"/>
      <c r="AF141" s="22"/>
      <c r="AG141" s="22" t="s">
        <v>1048</v>
      </c>
      <c r="AH141" s="22"/>
      <c r="AI141" s="65" t="e">
        <f t="shared" si="5"/>
        <v>#VALUE!</v>
      </c>
    </row>
    <row r="142" spans="1:35" ht="13.8" customHeight="1" x14ac:dyDescent="0.3">
      <c r="A142" s="20" t="s">
        <v>744</v>
      </c>
      <c r="B142" s="20">
        <v>45</v>
      </c>
      <c r="C142" s="20" t="s">
        <v>393</v>
      </c>
      <c r="D142" s="20">
        <v>110070002</v>
      </c>
      <c r="E142" s="20" t="s">
        <v>733</v>
      </c>
      <c r="F142" s="20" t="s">
        <v>734</v>
      </c>
      <c r="G142" s="20" t="s">
        <v>791</v>
      </c>
      <c r="H142" s="29">
        <v>0</v>
      </c>
      <c r="I142" s="30">
        <v>2020</v>
      </c>
      <c r="J142" s="30">
        <v>88000</v>
      </c>
      <c r="K142" s="30">
        <v>4503</v>
      </c>
      <c r="L142" s="20" t="s">
        <v>413</v>
      </c>
      <c r="M142" s="30">
        <v>4503022</v>
      </c>
      <c r="N142" s="16" t="s">
        <v>422</v>
      </c>
      <c r="O142" s="46"/>
      <c r="P142" s="20" t="s">
        <v>423</v>
      </c>
      <c r="Q142" s="20" t="s">
        <v>424</v>
      </c>
      <c r="R142" s="30">
        <v>450302200</v>
      </c>
      <c r="S142" s="20" t="s">
        <v>425</v>
      </c>
      <c r="T142" s="20" t="s">
        <v>18</v>
      </c>
      <c r="U142" s="30">
        <v>13.1</v>
      </c>
      <c r="V142" s="20" t="s">
        <v>23</v>
      </c>
      <c r="W142" s="22">
        <v>0</v>
      </c>
      <c r="X142" s="22">
        <v>3</v>
      </c>
      <c r="Y142" s="22">
        <v>0</v>
      </c>
      <c r="Z142" s="22">
        <v>0</v>
      </c>
      <c r="AA142" s="22">
        <v>1</v>
      </c>
      <c r="AB142" s="22">
        <v>2</v>
      </c>
      <c r="AC142" s="22"/>
      <c r="AD142" s="22">
        <f t="shared" si="4"/>
        <v>0</v>
      </c>
      <c r="AE142" s="22"/>
      <c r="AF142" s="22"/>
      <c r="AG142" s="22" t="s">
        <v>1048</v>
      </c>
      <c r="AH142" s="22"/>
      <c r="AI142" s="65" t="e">
        <f t="shared" si="5"/>
        <v>#VALUE!</v>
      </c>
    </row>
    <row r="143" spans="1:35" ht="13.8" customHeight="1" x14ac:dyDescent="0.3">
      <c r="A143" s="20" t="s">
        <v>744</v>
      </c>
      <c r="B143" s="20">
        <v>45</v>
      </c>
      <c r="C143" s="20" t="s">
        <v>393</v>
      </c>
      <c r="D143" s="20">
        <v>80010008</v>
      </c>
      <c r="E143" s="20" t="s">
        <v>723</v>
      </c>
      <c r="F143" s="20" t="s">
        <v>719</v>
      </c>
      <c r="G143" s="20" t="s">
        <v>777</v>
      </c>
      <c r="H143" s="29">
        <v>55.990099999999998</v>
      </c>
      <c r="I143" s="30">
        <v>2022</v>
      </c>
      <c r="J143" s="30">
        <v>75</v>
      </c>
      <c r="K143" s="30">
        <v>4599</v>
      </c>
      <c r="L143" s="20" t="s">
        <v>427</v>
      </c>
      <c r="M143" s="30">
        <v>4599009</v>
      </c>
      <c r="N143" s="16" t="s">
        <v>432</v>
      </c>
      <c r="O143" s="46" t="s">
        <v>848</v>
      </c>
      <c r="P143" s="20" t="s">
        <v>433</v>
      </c>
      <c r="Q143" s="20" t="s">
        <v>318</v>
      </c>
      <c r="R143" s="30">
        <v>459900900</v>
      </c>
      <c r="S143" s="20" t="s">
        <v>432</v>
      </c>
      <c r="T143" s="20" t="s">
        <v>18</v>
      </c>
      <c r="U143" s="30">
        <v>16.600000000000001</v>
      </c>
      <c r="V143" s="20" t="s">
        <v>23</v>
      </c>
      <c r="W143" s="22">
        <v>0</v>
      </c>
      <c r="X143" s="22">
        <v>1</v>
      </c>
      <c r="Y143" s="22">
        <v>0</v>
      </c>
      <c r="Z143" s="22">
        <v>0</v>
      </c>
      <c r="AA143" s="22">
        <v>0</v>
      </c>
      <c r="AB143" s="22">
        <v>1</v>
      </c>
      <c r="AC143" s="22"/>
      <c r="AD143" s="22">
        <f t="shared" si="4"/>
        <v>0</v>
      </c>
      <c r="AE143" s="22"/>
      <c r="AF143" s="22"/>
      <c r="AG143" s="22" t="s">
        <v>1048</v>
      </c>
      <c r="AH143" s="22"/>
      <c r="AI143" s="65" t="e">
        <f t="shared" si="5"/>
        <v>#VALUE!</v>
      </c>
    </row>
    <row r="144" spans="1:35" ht="13.8" customHeight="1" x14ac:dyDescent="0.3">
      <c r="A144" s="20" t="s">
        <v>744</v>
      </c>
      <c r="B144" s="20">
        <v>45</v>
      </c>
      <c r="C144" s="20" t="s">
        <v>393</v>
      </c>
      <c r="D144" s="20">
        <v>80010008</v>
      </c>
      <c r="E144" s="20" t="s">
        <v>723</v>
      </c>
      <c r="F144" s="20" t="s">
        <v>719</v>
      </c>
      <c r="G144" s="20" t="s">
        <v>777</v>
      </c>
      <c r="H144" s="29">
        <v>55.990099999999998</v>
      </c>
      <c r="I144" s="30">
        <v>2022</v>
      </c>
      <c r="J144" s="30">
        <v>75</v>
      </c>
      <c r="K144" s="30">
        <v>4599</v>
      </c>
      <c r="L144" s="20" t="s">
        <v>427</v>
      </c>
      <c r="M144" s="30">
        <v>4599011</v>
      </c>
      <c r="N144" s="16" t="s">
        <v>434</v>
      </c>
      <c r="O144" s="46" t="s">
        <v>849</v>
      </c>
      <c r="P144" s="20" t="s">
        <v>435</v>
      </c>
      <c r="Q144" s="20" t="s">
        <v>318</v>
      </c>
      <c r="R144" s="30">
        <v>459901100</v>
      </c>
      <c r="S144" s="20" t="s">
        <v>434</v>
      </c>
      <c r="T144" s="20" t="s">
        <v>18</v>
      </c>
      <c r="U144" s="30">
        <v>16.600000000000001</v>
      </c>
      <c r="V144" s="20" t="s">
        <v>23</v>
      </c>
      <c r="W144" s="22">
        <v>1</v>
      </c>
      <c r="X144" s="22">
        <v>1</v>
      </c>
      <c r="Y144" s="22">
        <v>1</v>
      </c>
      <c r="Z144" s="22">
        <v>0</v>
      </c>
      <c r="AA144" s="22">
        <v>0</v>
      </c>
      <c r="AB144" s="22">
        <v>0</v>
      </c>
      <c r="AC144" s="22">
        <v>1</v>
      </c>
      <c r="AD144" s="22">
        <f t="shared" si="4"/>
        <v>100</v>
      </c>
      <c r="AE144" s="22"/>
      <c r="AF144" s="22"/>
      <c r="AG144" s="22" t="s">
        <v>1048</v>
      </c>
      <c r="AH144" s="22"/>
      <c r="AI144" s="65" t="e">
        <f t="shared" si="5"/>
        <v>#VALUE!</v>
      </c>
    </row>
    <row r="145" spans="1:35" ht="13.8" customHeight="1" x14ac:dyDescent="0.3">
      <c r="A145" s="20" t="s">
        <v>744</v>
      </c>
      <c r="B145" s="20">
        <v>45</v>
      </c>
      <c r="C145" s="20" t="s">
        <v>393</v>
      </c>
      <c r="D145" s="20">
        <v>60010003</v>
      </c>
      <c r="E145" s="20" t="s">
        <v>724</v>
      </c>
      <c r="F145" s="20" t="s">
        <v>725</v>
      </c>
      <c r="G145" s="20" t="s">
        <v>792</v>
      </c>
      <c r="H145" s="29">
        <v>49.81</v>
      </c>
      <c r="I145" s="30">
        <v>2022</v>
      </c>
      <c r="J145" s="30">
        <v>30</v>
      </c>
      <c r="K145" s="30">
        <v>4501</v>
      </c>
      <c r="L145" s="20" t="s">
        <v>394</v>
      </c>
      <c r="M145" s="30">
        <v>4501065</v>
      </c>
      <c r="N145" s="16" t="s">
        <v>567</v>
      </c>
      <c r="O145" s="46"/>
      <c r="P145" s="20" t="s">
        <v>568</v>
      </c>
      <c r="Q145" s="20" t="s">
        <v>569</v>
      </c>
      <c r="R145" s="30">
        <v>450106500</v>
      </c>
      <c r="S145" s="20" t="s">
        <v>570</v>
      </c>
      <c r="T145" s="20" t="s">
        <v>18</v>
      </c>
      <c r="U145" s="30">
        <v>16.600000000000001</v>
      </c>
      <c r="V145" s="20" t="s">
        <v>23</v>
      </c>
      <c r="W145" s="22">
        <v>1</v>
      </c>
      <c r="X145" s="22">
        <v>1</v>
      </c>
      <c r="Y145" s="22">
        <v>0</v>
      </c>
      <c r="Z145" s="22">
        <v>0</v>
      </c>
      <c r="AA145" s="22">
        <v>1</v>
      </c>
      <c r="AB145" s="22">
        <v>0</v>
      </c>
      <c r="AC145" s="22"/>
      <c r="AD145" s="22">
        <f t="shared" si="4"/>
        <v>0</v>
      </c>
      <c r="AE145" s="22"/>
      <c r="AF145" s="22"/>
      <c r="AG145" s="22" t="s">
        <v>1048</v>
      </c>
      <c r="AH145" s="22"/>
      <c r="AI145" s="65" t="e">
        <f t="shared" si="5"/>
        <v>#VALUE!</v>
      </c>
    </row>
    <row r="146" spans="1:35" ht="13.8" customHeight="1" x14ac:dyDescent="0.3">
      <c r="A146" s="20" t="s">
        <v>744</v>
      </c>
      <c r="B146" s="20">
        <v>40</v>
      </c>
      <c r="C146" s="20" t="s">
        <v>194</v>
      </c>
      <c r="D146" s="20">
        <v>30010006</v>
      </c>
      <c r="E146" s="20" t="s">
        <v>672</v>
      </c>
      <c r="F146" s="20" t="s">
        <v>679</v>
      </c>
      <c r="G146" s="20" t="s">
        <v>774</v>
      </c>
      <c r="H146" s="29">
        <v>64.2774</v>
      </c>
      <c r="I146" s="30">
        <v>2018</v>
      </c>
      <c r="J146" s="30">
        <v>75</v>
      </c>
      <c r="K146" s="30">
        <v>4003</v>
      </c>
      <c r="L146" s="20" t="s">
        <v>202</v>
      </c>
      <c r="M146" s="30">
        <v>4003020</v>
      </c>
      <c r="N146" s="20" t="s">
        <v>605</v>
      </c>
      <c r="O146" s="46"/>
      <c r="P146" s="20" t="s">
        <v>656</v>
      </c>
      <c r="Q146" s="20" t="s">
        <v>254</v>
      </c>
      <c r="R146" s="30">
        <v>400302002</v>
      </c>
      <c r="S146" s="20" t="s">
        <v>657</v>
      </c>
      <c r="T146" s="20" t="s">
        <v>18</v>
      </c>
      <c r="U146" s="30">
        <v>6.2</v>
      </c>
      <c r="V146" s="20" t="s">
        <v>23</v>
      </c>
      <c r="W146" s="22">
        <v>6</v>
      </c>
      <c r="X146" s="22">
        <v>12</v>
      </c>
      <c r="Y146" s="22">
        <v>3</v>
      </c>
      <c r="Z146" s="22">
        <v>3</v>
      </c>
      <c r="AA146" s="22">
        <v>3</v>
      </c>
      <c r="AB146" s="22">
        <v>3</v>
      </c>
      <c r="AC146" s="22">
        <v>0</v>
      </c>
      <c r="AD146" s="36">
        <f t="shared" si="4"/>
        <v>0</v>
      </c>
      <c r="AE146" s="22"/>
      <c r="AF146" s="22"/>
      <c r="AG146" s="59">
        <v>0</v>
      </c>
      <c r="AH146" s="22" t="s">
        <v>1083</v>
      </c>
      <c r="AI146" s="65">
        <f t="shared" si="5"/>
        <v>0</v>
      </c>
    </row>
    <row r="147" spans="1:35" ht="13.8" customHeight="1" x14ac:dyDescent="0.3">
      <c r="A147" s="20" t="s">
        <v>744</v>
      </c>
      <c r="B147" s="20">
        <v>40</v>
      </c>
      <c r="C147" s="20" t="s">
        <v>194</v>
      </c>
      <c r="D147" s="20">
        <v>30010004</v>
      </c>
      <c r="E147" s="20" t="s">
        <v>671</v>
      </c>
      <c r="F147" s="20" t="s">
        <v>679</v>
      </c>
      <c r="G147" s="20" t="s">
        <v>774</v>
      </c>
      <c r="H147" s="29">
        <v>88.578100000000006</v>
      </c>
      <c r="I147" s="30">
        <v>2018</v>
      </c>
      <c r="J147" s="30">
        <v>91</v>
      </c>
      <c r="K147" s="30">
        <v>4003</v>
      </c>
      <c r="L147" s="20" t="s">
        <v>202</v>
      </c>
      <c r="M147" s="30">
        <v>4003031</v>
      </c>
      <c r="N147" s="20" t="s">
        <v>660</v>
      </c>
      <c r="O147" s="46"/>
      <c r="P147" s="20" t="s">
        <v>661</v>
      </c>
      <c r="Q147" s="20" t="s">
        <v>224</v>
      </c>
      <c r="R147" s="30">
        <v>400303100</v>
      </c>
      <c r="S147" s="20" t="s">
        <v>609</v>
      </c>
      <c r="T147" s="20" t="s">
        <v>18</v>
      </c>
      <c r="U147" s="30">
        <v>12.5</v>
      </c>
      <c r="V147" s="20" t="s">
        <v>23</v>
      </c>
      <c r="W147" s="22">
        <v>0</v>
      </c>
      <c r="X147" s="22">
        <v>1</v>
      </c>
      <c r="Y147" s="22">
        <v>0</v>
      </c>
      <c r="Z147" s="22">
        <v>0</v>
      </c>
      <c r="AA147" s="22">
        <v>1</v>
      </c>
      <c r="AB147" s="22">
        <v>0</v>
      </c>
      <c r="AC147" s="22"/>
      <c r="AD147" s="22">
        <f t="shared" si="4"/>
        <v>0</v>
      </c>
      <c r="AE147" s="22"/>
      <c r="AF147" s="22"/>
      <c r="AG147" s="22" t="s">
        <v>1048</v>
      </c>
      <c r="AH147" s="22"/>
      <c r="AI147" s="65" t="e">
        <f t="shared" si="5"/>
        <v>#VALUE!</v>
      </c>
    </row>
    <row r="148" spans="1:35" ht="13.8" customHeight="1" x14ac:dyDescent="0.3">
      <c r="A148" s="20" t="s">
        <v>744</v>
      </c>
      <c r="B148" s="20">
        <v>40</v>
      </c>
      <c r="C148" s="20" t="s">
        <v>194</v>
      </c>
      <c r="D148" s="20">
        <v>30010006</v>
      </c>
      <c r="E148" s="20" t="s">
        <v>672</v>
      </c>
      <c r="F148" s="20" t="s">
        <v>679</v>
      </c>
      <c r="G148" s="20" t="s">
        <v>774</v>
      </c>
      <c r="H148" s="29">
        <v>64.2774</v>
      </c>
      <c r="I148" s="30">
        <v>2018</v>
      </c>
      <c r="J148" s="30">
        <v>75</v>
      </c>
      <c r="K148" s="30">
        <v>4003</v>
      </c>
      <c r="L148" s="20" t="s">
        <v>202</v>
      </c>
      <c r="M148" s="30">
        <v>4003012</v>
      </c>
      <c r="N148" s="20" t="s">
        <v>607</v>
      </c>
      <c r="O148" s="46" t="s">
        <v>850</v>
      </c>
      <c r="P148" s="20" t="s">
        <v>667</v>
      </c>
      <c r="Q148" s="20" t="s">
        <v>580</v>
      </c>
      <c r="R148" s="30">
        <v>400301200</v>
      </c>
      <c r="S148" s="20" t="s">
        <v>607</v>
      </c>
      <c r="T148" s="20" t="s">
        <v>18</v>
      </c>
      <c r="U148" s="30">
        <v>16.600000000000001</v>
      </c>
      <c r="V148" s="20" t="s">
        <v>23</v>
      </c>
      <c r="W148" s="22">
        <v>1</v>
      </c>
      <c r="X148" s="22">
        <v>1</v>
      </c>
      <c r="Y148" s="22">
        <v>0</v>
      </c>
      <c r="Z148" s="22">
        <v>0</v>
      </c>
      <c r="AA148" s="22">
        <v>1</v>
      </c>
      <c r="AB148" s="22">
        <v>0</v>
      </c>
      <c r="AC148" s="22"/>
      <c r="AD148" s="22">
        <f t="shared" si="4"/>
        <v>0</v>
      </c>
      <c r="AE148" s="22"/>
      <c r="AF148" s="22"/>
      <c r="AG148" s="22" t="s">
        <v>1048</v>
      </c>
      <c r="AH148" s="22"/>
      <c r="AI148" s="65" t="e">
        <f t="shared" si="5"/>
        <v>#VALUE!</v>
      </c>
    </row>
    <row r="149" spans="1:35" ht="13.8" customHeight="1" x14ac:dyDescent="0.3">
      <c r="A149" s="20" t="s">
        <v>744</v>
      </c>
      <c r="B149" s="20">
        <v>22</v>
      </c>
      <c r="C149" s="20" t="s">
        <v>93</v>
      </c>
      <c r="D149" s="20">
        <v>40010006</v>
      </c>
      <c r="E149" s="20" t="s">
        <v>676</v>
      </c>
      <c r="F149" s="20" t="s">
        <v>679</v>
      </c>
      <c r="G149" s="20" t="s">
        <v>778</v>
      </c>
      <c r="H149" s="29">
        <v>101.0859</v>
      </c>
      <c r="I149" s="30">
        <v>2022</v>
      </c>
      <c r="J149" s="30">
        <v>101</v>
      </c>
      <c r="K149" s="30">
        <v>2201</v>
      </c>
      <c r="L149" s="25" t="s">
        <v>689</v>
      </c>
      <c r="M149" s="32">
        <v>2201051</v>
      </c>
      <c r="N149" s="25" t="s">
        <v>690</v>
      </c>
      <c r="O149" s="46" t="s">
        <v>851</v>
      </c>
      <c r="P149" s="25" t="s">
        <v>691</v>
      </c>
      <c r="Q149" s="25" t="s">
        <v>318</v>
      </c>
      <c r="R149" s="32">
        <v>220105100</v>
      </c>
      <c r="S149" s="25" t="s">
        <v>319</v>
      </c>
      <c r="T149" s="25" t="s">
        <v>18</v>
      </c>
      <c r="U149" s="30" t="s">
        <v>590</v>
      </c>
      <c r="V149" s="20" t="s">
        <v>23</v>
      </c>
      <c r="W149" s="22">
        <v>0</v>
      </c>
      <c r="X149" s="22">
        <v>1</v>
      </c>
      <c r="Y149" s="22">
        <v>0</v>
      </c>
      <c r="Z149" s="22">
        <v>0</v>
      </c>
      <c r="AA149" s="22">
        <v>0</v>
      </c>
      <c r="AB149" s="22">
        <v>1</v>
      </c>
      <c r="AC149" s="22"/>
      <c r="AD149" s="22">
        <f t="shared" si="4"/>
        <v>0</v>
      </c>
      <c r="AE149" s="22"/>
      <c r="AF149" s="22"/>
      <c r="AG149" s="22" t="s">
        <v>1048</v>
      </c>
      <c r="AH149" s="22"/>
      <c r="AI149" s="65" t="e">
        <f t="shared" si="5"/>
        <v>#VALUE!</v>
      </c>
    </row>
    <row r="150" spans="1:35" ht="13.8" customHeight="1" x14ac:dyDescent="0.3">
      <c r="A150" s="20" t="s">
        <v>744</v>
      </c>
      <c r="B150" s="20">
        <v>40</v>
      </c>
      <c r="C150" s="20" t="s">
        <v>194</v>
      </c>
      <c r="D150" s="20">
        <v>30010006</v>
      </c>
      <c r="E150" s="20" t="s">
        <v>672</v>
      </c>
      <c r="F150" s="20" t="s">
        <v>679</v>
      </c>
      <c r="G150" s="20" t="s">
        <v>774</v>
      </c>
      <c r="H150" s="29">
        <v>64.2774</v>
      </c>
      <c r="I150" s="30">
        <v>2018</v>
      </c>
      <c r="J150" s="30">
        <v>75</v>
      </c>
      <c r="K150" s="30">
        <v>4003</v>
      </c>
      <c r="L150" s="25" t="s">
        <v>696</v>
      </c>
      <c r="M150" s="32">
        <v>4003044</v>
      </c>
      <c r="N150" s="25" t="s">
        <v>697</v>
      </c>
      <c r="O150" s="46"/>
      <c r="P150" s="25"/>
      <c r="Q150" s="25" t="s">
        <v>390</v>
      </c>
      <c r="R150" s="32">
        <v>400304402</v>
      </c>
      <c r="S150" s="25" t="s">
        <v>698</v>
      </c>
      <c r="T150" s="25" t="s">
        <v>18</v>
      </c>
      <c r="U150" s="30">
        <v>16.600000000000001</v>
      </c>
      <c r="V150" s="20" t="s">
        <v>23</v>
      </c>
      <c r="W150" s="22">
        <v>0</v>
      </c>
      <c r="X150" s="22">
        <v>30</v>
      </c>
      <c r="Y150" s="22">
        <v>0</v>
      </c>
      <c r="Z150" s="22">
        <v>20</v>
      </c>
      <c r="AA150" s="22">
        <v>10</v>
      </c>
      <c r="AB150" s="22">
        <v>0</v>
      </c>
      <c r="AC150" s="22"/>
      <c r="AD150" s="36">
        <f t="shared" si="4"/>
        <v>0</v>
      </c>
      <c r="AE150" s="22"/>
      <c r="AF150" s="22"/>
      <c r="AG150" s="22">
        <v>0</v>
      </c>
      <c r="AH150" s="22"/>
      <c r="AI150" s="65">
        <f t="shared" si="5"/>
        <v>0</v>
      </c>
    </row>
    <row r="151" spans="1:35" ht="13.8" customHeight="1" x14ac:dyDescent="0.3">
      <c r="A151" s="20" t="s">
        <v>744</v>
      </c>
      <c r="B151" s="20">
        <v>41</v>
      </c>
      <c r="C151" s="20" t="s">
        <v>12</v>
      </c>
      <c r="D151" s="20">
        <v>140010051</v>
      </c>
      <c r="E151" s="20" t="s">
        <v>720</v>
      </c>
      <c r="F151" s="20" t="s">
        <v>428</v>
      </c>
      <c r="G151" s="20" t="s">
        <v>774</v>
      </c>
      <c r="H151" s="29">
        <v>77.937399999999997</v>
      </c>
      <c r="I151" s="30">
        <v>2023</v>
      </c>
      <c r="J151" s="30">
        <v>72</v>
      </c>
      <c r="K151" s="30">
        <v>4102</v>
      </c>
      <c r="L151" s="25" t="s">
        <v>699</v>
      </c>
      <c r="M151" s="32">
        <v>4102006</v>
      </c>
      <c r="N151" s="25" t="s">
        <v>700</v>
      </c>
      <c r="O151" s="46" t="s">
        <v>852</v>
      </c>
      <c r="P151" s="25" t="s">
        <v>701</v>
      </c>
      <c r="Q151" s="25" t="s">
        <v>22</v>
      </c>
      <c r="R151" s="32">
        <v>410200600</v>
      </c>
      <c r="S151" s="25" t="s">
        <v>610</v>
      </c>
      <c r="T151" s="25" t="s">
        <v>18</v>
      </c>
      <c r="U151" s="30">
        <v>4.2</v>
      </c>
      <c r="V151" s="20" t="s">
        <v>1050</v>
      </c>
      <c r="W151" s="22">
        <v>0</v>
      </c>
      <c r="X151" s="22">
        <v>1</v>
      </c>
      <c r="Y151" s="22">
        <v>0</v>
      </c>
      <c r="Z151" s="22">
        <v>1</v>
      </c>
      <c r="AA151" s="22">
        <v>0</v>
      </c>
      <c r="AB151" s="22">
        <v>0</v>
      </c>
      <c r="AC151" s="22"/>
      <c r="AD151" s="36">
        <f t="shared" si="4"/>
        <v>0</v>
      </c>
      <c r="AE151" s="22"/>
      <c r="AF151" s="22"/>
      <c r="AG151" s="22">
        <v>0</v>
      </c>
      <c r="AH151" s="22"/>
      <c r="AI151" s="65">
        <f t="shared" si="5"/>
        <v>0</v>
      </c>
    </row>
    <row r="152" spans="1:35" ht="13.8" customHeight="1" x14ac:dyDescent="0.3">
      <c r="A152" s="20" t="s">
        <v>744</v>
      </c>
      <c r="B152" s="20">
        <v>41</v>
      </c>
      <c r="C152" s="20" t="s">
        <v>12</v>
      </c>
      <c r="D152" s="24">
        <v>20100040</v>
      </c>
      <c r="E152" s="20" t="s">
        <v>763</v>
      </c>
      <c r="F152" s="20" t="s">
        <v>719</v>
      </c>
      <c r="G152" s="20" t="s">
        <v>780</v>
      </c>
      <c r="H152" s="29">
        <v>0</v>
      </c>
      <c r="I152" s="30">
        <v>2021</v>
      </c>
      <c r="J152" s="30">
        <v>0</v>
      </c>
      <c r="K152" s="30">
        <v>4104</v>
      </c>
      <c r="L152" s="25" t="s">
        <v>702</v>
      </c>
      <c r="M152" s="32">
        <v>4104006</v>
      </c>
      <c r="N152" s="25" t="s">
        <v>611</v>
      </c>
      <c r="O152" s="46" t="s">
        <v>853</v>
      </c>
      <c r="P152" s="25" t="s">
        <v>703</v>
      </c>
      <c r="Q152" s="25" t="s">
        <v>489</v>
      </c>
      <c r="R152" s="32">
        <v>410400600</v>
      </c>
      <c r="S152" s="25" t="s">
        <v>611</v>
      </c>
      <c r="T152" s="25" t="s">
        <v>18</v>
      </c>
      <c r="U152" s="30">
        <v>1.3</v>
      </c>
      <c r="V152" s="20" t="s">
        <v>23</v>
      </c>
      <c r="W152" s="22">
        <v>0</v>
      </c>
      <c r="X152" s="22">
        <v>1</v>
      </c>
      <c r="Y152" s="22">
        <v>0</v>
      </c>
      <c r="Z152" s="22">
        <v>0</v>
      </c>
      <c r="AA152" s="22">
        <v>1</v>
      </c>
      <c r="AB152" s="22">
        <v>0</v>
      </c>
      <c r="AC152" s="22"/>
      <c r="AD152" s="22">
        <f t="shared" si="4"/>
        <v>0</v>
      </c>
      <c r="AE152" s="22"/>
      <c r="AF152" s="22"/>
      <c r="AG152" s="22" t="s">
        <v>1048</v>
      </c>
      <c r="AH152" s="22"/>
      <c r="AI152" s="65" t="e">
        <f t="shared" si="5"/>
        <v>#VALUE!</v>
      </c>
    </row>
    <row r="153" spans="1:35" ht="13.8" customHeight="1" x14ac:dyDescent="0.3">
      <c r="A153" s="20" t="s">
        <v>744</v>
      </c>
      <c r="B153" s="20">
        <v>45</v>
      </c>
      <c r="C153" s="20" t="s">
        <v>393</v>
      </c>
      <c r="D153" s="20">
        <v>60010003</v>
      </c>
      <c r="E153" s="20" t="s">
        <v>724</v>
      </c>
      <c r="F153" s="20" t="s">
        <v>725</v>
      </c>
      <c r="G153" s="20" t="s">
        <v>792</v>
      </c>
      <c r="H153" s="29">
        <v>49.81</v>
      </c>
      <c r="I153" s="30">
        <v>2022</v>
      </c>
      <c r="J153" s="30">
        <v>30</v>
      </c>
      <c r="K153" s="30">
        <v>4501</v>
      </c>
      <c r="L153" s="25" t="s">
        <v>704</v>
      </c>
      <c r="M153" s="32">
        <v>4501067</v>
      </c>
      <c r="N153" s="25" t="s">
        <v>592</v>
      </c>
      <c r="O153" s="46" t="s">
        <v>854</v>
      </c>
      <c r="P153" s="25" t="s">
        <v>705</v>
      </c>
      <c r="Q153" s="25" t="s">
        <v>569</v>
      </c>
      <c r="R153" s="32">
        <v>450106700</v>
      </c>
      <c r="S153" s="25" t="s">
        <v>592</v>
      </c>
      <c r="T153" s="25" t="s">
        <v>18</v>
      </c>
      <c r="U153" s="30">
        <v>16.600000000000001</v>
      </c>
      <c r="V153" s="20" t="s">
        <v>23</v>
      </c>
      <c r="W153" s="22">
        <v>0</v>
      </c>
      <c r="X153" s="22">
        <v>1</v>
      </c>
      <c r="Y153" s="22">
        <v>0</v>
      </c>
      <c r="Z153" s="22">
        <v>0</v>
      </c>
      <c r="AA153" s="22">
        <v>0</v>
      </c>
      <c r="AB153" s="22">
        <v>1</v>
      </c>
      <c r="AC153" s="22">
        <v>1</v>
      </c>
      <c r="AD153" s="22">
        <f t="shared" si="4"/>
        <v>100</v>
      </c>
      <c r="AE153" s="22" t="s">
        <v>926</v>
      </c>
      <c r="AF153" s="22" t="s">
        <v>925</v>
      </c>
      <c r="AG153" s="22" t="s">
        <v>1048</v>
      </c>
      <c r="AH153" s="22"/>
      <c r="AI153" s="65" t="e">
        <f t="shared" si="5"/>
        <v>#VALUE!</v>
      </c>
    </row>
    <row r="154" spans="1:35" ht="13.8" customHeight="1" x14ac:dyDescent="0.3">
      <c r="A154" s="20" t="s">
        <v>745</v>
      </c>
      <c r="B154" s="20">
        <v>23</v>
      </c>
      <c r="C154" s="20" t="s">
        <v>238</v>
      </c>
      <c r="D154" s="20">
        <v>290030001</v>
      </c>
      <c r="E154" s="20" t="s">
        <v>721</v>
      </c>
      <c r="F154" s="20" t="s">
        <v>606</v>
      </c>
      <c r="G154" s="20" t="s">
        <v>793</v>
      </c>
      <c r="H154" s="29">
        <v>54.529000000000003</v>
      </c>
      <c r="I154" s="30">
        <v>2021</v>
      </c>
      <c r="J154" s="30">
        <v>70</v>
      </c>
      <c r="K154" s="30">
        <v>2301</v>
      </c>
      <c r="L154" s="20" t="s">
        <v>239</v>
      </c>
      <c r="M154" s="30">
        <v>2301030</v>
      </c>
      <c r="N154" s="20" t="s">
        <v>240</v>
      </c>
      <c r="O154" s="46"/>
      <c r="P154" s="20" t="s">
        <v>241</v>
      </c>
      <c r="Q154" s="20" t="s">
        <v>40</v>
      </c>
      <c r="R154" s="30">
        <v>230103000</v>
      </c>
      <c r="S154" s="20" t="s">
        <v>242</v>
      </c>
      <c r="T154" s="20" t="s">
        <v>18</v>
      </c>
      <c r="U154" s="30" t="s">
        <v>589</v>
      </c>
      <c r="V154" s="20" t="s">
        <v>19</v>
      </c>
      <c r="W154" s="22">
        <v>100</v>
      </c>
      <c r="X154" s="22">
        <v>300</v>
      </c>
      <c r="Y154" s="22">
        <v>75</v>
      </c>
      <c r="Z154" s="22">
        <v>75</v>
      </c>
      <c r="AA154" s="22">
        <v>75</v>
      </c>
      <c r="AB154" s="22">
        <v>75</v>
      </c>
      <c r="AC154" s="22">
        <v>100</v>
      </c>
      <c r="AD154" s="36">
        <f t="shared" si="4"/>
        <v>33.333333333333329</v>
      </c>
      <c r="AE154" s="22" t="s">
        <v>960</v>
      </c>
      <c r="AF154" s="22" t="s">
        <v>961</v>
      </c>
      <c r="AG154" s="57">
        <v>35</v>
      </c>
      <c r="AH154" s="58" t="s">
        <v>1041</v>
      </c>
      <c r="AI154" s="65">
        <f t="shared" si="5"/>
        <v>46.666666666666664</v>
      </c>
    </row>
    <row r="155" spans="1:35" ht="13.8" customHeight="1" x14ac:dyDescent="0.3">
      <c r="A155" s="20" t="s">
        <v>745</v>
      </c>
      <c r="B155" s="20">
        <v>23</v>
      </c>
      <c r="C155" s="20" t="s">
        <v>238</v>
      </c>
      <c r="D155" s="20">
        <v>290030001</v>
      </c>
      <c r="E155" s="20" t="s">
        <v>721</v>
      </c>
      <c r="F155" s="20" t="s">
        <v>606</v>
      </c>
      <c r="G155" s="20" t="s">
        <v>793</v>
      </c>
      <c r="H155" s="29">
        <v>54.529000000000003</v>
      </c>
      <c r="I155" s="30">
        <v>2021</v>
      </c>
      <c r="J155" s="30">
        <v>70</v>
      </c>
      <c r="K155" s="30">
        <v>2301</v>
      </c>
      <c r="L155" s="20" t="s">
        <v>239</v>
      </c>
      <c r="M155" s="30">
        <v>2301062</v>
      </c>
      <c r="N155" s="20" t="s">
        <v>312</v>
      </c>
      <c r="O155" s="46" t="s">
        <v>855</v>
      </c>
      <c r="P155" s="20" t="s">
        <v>313</v>
      </c>
      <c r="Q155" s="20" t="s">
        <v>123</v>
      </c>
      <c r="R155" s="30">
        <v>230106200</v>
      </c>
      <c r="S155" s="20" t="s">
        <v>314</v>
      </c>
      <c r="T155" s="20" t="s">
        <v>18</v>
      </c>
      <c r="U155" s="30">
        <v>4.0999999999999996</v>
      </c>
      <c r="V155" s="20" t="s">
        <v>770</v>
      </c>
      <c r="W155" s="22">
        <v>0</v>
      </c>
      <c r="X155" s="22">
        <v>240</v>
      </c>
      <c r="Y155" s="22">
        <v>0</v>
      </c>
      <c r="Z155" s="22">
        <v>120</v>
      </c>
      <c r="AA155" s="22">
        <v>0</v>
      </c>
      <c r="AB155" s="22">
        <v>120</v>
      </c>
      <c r="AC155" s="22"/>
      <c r="AD155" s="36">
        <f t="shared" si="4"/>
        <v>0</v>
      </c>
      <c r="AE155" s="22"/>
      <c r="AF155" s="22"/>
      <c r="AG155" s="22">
        <v>0</v>
      </c>
      <c r="AH155" s="22" t="s">
        <v>1067</v>
      </c>
      <c r="AI155" s="65">
        <f t="shared" si="5"/>
        <v>0</v>
      </c>
    </row>
    <row r="156" spans="1:35" ht="13.8" customHeight="1" x14ac:dyDescent="0.3">
      <c r="A156" s="20" t="s">
        <v>745</v>
      </c>
      <c r="B156" s="20">
        <v>23</v>
      </c>
      <c r="C156" s="20" t="s">
        <v>238</v>
      </c>
      <c r="D156" s="20">
        <v>290030001</v>
      </c>
      <c r="E156" s="20" t="s">
        <v>721</v>
      </c>
      <c r="F156" s="20" t="s">
        <v>606</v>
      </c>
      <c r="G156" s="20" t="s">
        <v>793</v>
      </c>
      <c r="H156" s="29">
        <v>54.529000000000003</v>
      </c>
      <c r="I156" s="30">
        <v>2021</v>
      </c>
      <c r="J156" s="30">
        <v>70</v>
      </c>
      <c r="K156" s="30">
        <v>2301</v>
      </c>
      <c r="L156" s="20" t="s">
        <v>239</v>
      </c>
      <c r="M156" s="30">
        <v>2301062</v>
      </c>
      <c r="N156" s="20" t="s">
        <v>312</v>
      </c>
      <c r="O156" s="46" t="s">
        <v>856</v>
      </c>
      <c r="P156" s="20" t="s">
        <v>313</v>
      </c>
      <c r="Q156" s="20" t="s">
        <v>123</v>
      </c>
      <c r="R156" s="30">
        <v>230106206</v>
      </c>
      <c r="S156" s="20" t="s">
        <v>369</v>
      </c>
      <c r="T156" s="20" t="s">
        <v>18</v>
      </c>
      <c r="U156" s="30">
        <v>4.0999999999999996</v>
      </c>
      <c r="V156" s="20" t="s">
        <v>770</v>
      </c>
      <c r="W156" s="22">
        <v>6</v>
      </c>
      <c r="X156" s="22">
        <v>28</v>
      </c>
      <c r="Y156" s="22">
        <v>7</v>
      </c>
      <c r="Z156" s="22">
        <v>7</v>
      </c>
      <c r="AA156" s="22">
        <v>7</v>
      </c>
      <c r="AB156" s="22">
        <v>7</v>
      </c>
      <c r="AC156" s="22">
        <v>7</v>
      </c>
      <c r="AD156" s="36">
        <f t="shared" si="4"/>
        <v>25</v>
      </c>
      <c r="AE156" s="22"/>
      <c r="AF156" s="22" t="s">
        <v>991</v>
      </c>
      <c r="AG156" s="22">
        <v>3</v>
      </c>
      <c r="AH156" s="22" t="s">
        <v>1066</v>
      </c>
      <c r="AI156" s="65">
        <f t="shared" si="5"/>
        <v>42.857142857142854</v>
      </c>
    </row>
    <row r="157" spans="1:35" ht="13.8" customHeight="1" x14ac:dyDescent="0.3">
      <c r="A157" s="20" t="s">
        <v>745</v>
      </c>
      <c r="B157" s="20">
        <v>23</v>
      </c>
      <c r="C157" s="20" t="s">
        <v>238</v>
      </c>
      <c r="D157" s="20">
        <v>290030001</v>
      </c>
      <c r="E157" s="20" t="s">
        <v>721</v>
      </c>
      <c r="F157" s="20" t="s">
        <v>606</v>
      </c>
      <c r="G157" s="20" t="s">
        <v>793</v>
      </c>
      <c r="H157" s="29">
        <v>54.529000000000003</v>
      </c>
      <c r="I157" s="30">
        <v>2021</v>
      </c>
      <c r="J157" s="30">
        <v>70</v>
      </c>
      <c r="K157" s="30">
        <v>2301</v>
      </c>
      <c r="L157" s="20" t="s">
        <v>239</v>
      </c>
      <c r="M157" s="30">
        <v>2301079</v>
      </c>
      <c r="N157" s="20" t="s">
        <v>475</v>
      </c>
      <c r="O157" s="46"/>
      <c r="P157" s="20" t="s">
        <v>476</v>
      </c>
      <c r="Q157" s="20" t="s">
        <v>477</v>
      </c>
      <c r="R157" s="30">
        <v>230107900</v>
      </c>
      <c r="S157" s="20" t="s">
        <v>478</v>
      </c>
      <c r="T157" s="20" t="s">
        <v>18</v>
      </c>
      <c r="U157" s="30" t="s">
        <v>589</v>
      </c>
      <c r="V157" s="20" t="s">
        <v>19</v>
      </c>
      <c r="W157" s="22">
        <v>0</v>
      </c>
      <c r="X157" s="22">
        <v>2</v>
      </c>
      <c r="Y157" s="22">
        <v>0</v>
      </c>
      <c r="Z157" s="22">
        <v>1</v>
      </c>
      <c r="AA157" s="22">
        <v>1</v>
      </c>
      <c r="AB157" s="22">
        <v>0</v>
      </c>
      <c r="AC157" s="22"/>
      <c r="AD157" s="36">
        <f t="shared" si="4"/>
        <v>0</v>
      </c>
      <c r="AE157" s="22"/>
      <c r="AF157" s="22"/>
      <c r="AG157" s="57">
        <v>0</v>
      </c>
      <c r="AH157" s="56" t="s">
        <v>1042</v>
      </c>
      <c r="AI157" s="65">
        <f t="shared" si="5"/>
        <v>0</v>
      </c>
    </row>
    <row r="158" spans="1:35" ht="13.8" customHeight="1" x14ac:dyDescent="0.3">
      <c r="A158" s="20" t="s">
        <v>745</v>
      </c>
      <c r="B158" s="20">
        <v>45</v>
      </c>
      <c r="C158" s="20" t="s">
        <v>393</v>
      </c>
      <c r="D158" s="20">
        <v>60010001</v>
      </c>
      <c r="E158" s="20" t="s">
        <v>727</v>
      </c>
      <c r="F158" s="20" t="s">
        <v>725</v>
      </c>
      <c r="G158" s="20" t="s">
        <v>792</v>
      </c>
      <c r="H158" s="29">
        <v>132.82419999999999</v>
      </c>
      <c r="I158" s="30">
        <v>2022</v>
      </c>
      <c r="J158" s="30">
        <v>90</v>
      </c>
      <c r="K158" s="30">
        <v>4501</v>
      </c>
      <c r="L158" s="20" t="s">
        <v>394</v>
      </c>
      <c r="M158" s="30">
        <v>4501028</v>
      </c>
      <c r="N158" s="20" t="s">
        <v>395</v>
      </c>
      <c r="O158" s="46"/>
      <c r="P158" s="20" t="s">
        <v>396</v>
      </c>
      <c r="Q158" s="20" t="s">
        <v>397</v>
      </c>
      <c r="R158" s="30">
        <v>450102800</v>
      </c>
      <c r="S158" s="20" t="s">
        <v>398</v>
      </c>
      <c r="T158" s="20" t="s">
        <v>18</v>
      </c>
      <c r="U158" s="30" t="s">
        <v>589</v>
      </c>
      <c r="V158" s="20" t="s">
        <v>19</v>
      </c>
      <c r="W158" s="22">
        <v>0</v>
      </c>
      <c r="X158" s="22">
        <v>4</v>
      </c>
      <c r="Y158" s="22">
        <v>0</v>
      </c>
      <c r="Z158" s="22">
        <v>4</v>
      </c>
      <c r="AA158" s="22">
        <v>0</v>
      </c>
      <c r="AB158" s="22">
        <v>0</v>
      </c>
      <c r="AC158" s="22">
        <v>5</v>
      </c>
      <c r="AD158" s="36">
        <f t="shared" si="4"/>
        <v>125</v>
      </c>
      <c r="AE158" s="22" t="s">
        <v>965</v>
      </c>
      <c r="AF158" s="22" t="s">
        <v>966</v>
      </c>
      <c r="AG158" s="22">
        <v>0</v>
      </c>
      <c r="AH158" s="56" t="s">
        <v>1030</v>
      </c>
      <c r="AI158" s="65">
        <f t="shared" si="5"/>
        <v>0</v>
      </c>
    </row>
    <row r="159" spans="1:35" ht="13.8" customHeight="1" x14ac:dyDescent="0.3">
      <c r="A159" s="20" t="s">
        <v>745</v>
      </c>
      <c r="B159" s="20">
        <v>45</v>
      </c>
      <c r="C159" s="20" t="s">
        <v>393</v>
      </c>
      <c r="D159" s="24">
        <v>20100040</v>
      </c>
      <c r="E159" s="20" t="s">
        <v>763</v>
      </c>
      <c r="F159" s="20" t="s">
        <v>719</v>
      </c>
      <c r="G159" s="20" t="s">
        <v>780</v>
      </c>
      <c r="H159" s="29">
        <v>0</v>
      </c>
      <c r="I159" s="30">
        <v>2021</v>
      </c>
      <c r="J159" s="30">
        <v>0</v>
      </c>
      <c r="K159" s="30">
        <v>4502</v>
      </c>
      <c r="L159" s="20" t="s">
        <v>399</v>
      </c>
      <c r="M159" s="30">
        <v>4502001</v>
      </c>
      <c r="N159" s="20" t="s">
        <v>400</v>
      </c>
      <c r="O159" s="46" t="s">
        <v>857</v>
      </c>
      <c r="P159" s="20" t="s">
        <v>401</v>
      </c>
      <c r="Q159" s="20" t="s">
        <v>31</v>
      </c>
      <c r="R159" s="30">
        <v>450200101</v>
      </c>
      <c r="S159" s="20" t="s">
        <v>402</v>
      </c>
      <c r="T159" s="20" t="s">
        <v>18</v>
      </c>
      <c r="U159" s="30">
        <v>16.7</v>
      </c>
      <c r="V159" s="20" t="s">
        <v>19</v>
      </c>
      <c r="W159" s="22">
        <v>1</v>
      </c>
      <c r="X159" s="22">
        <v>4</v>
      </c>
      <c r="Y159" s="22">
        <v>1</v>
      </c>
      <c r="Z159" s="22">
        <v>1</v>
      </c>
      <c r="AA159" s="22">
        <v>1</v>
      </c>
      <c r="AB159" s="22">
        <v>1</v>
      </c>
      <c r="AC159" s="22">
        <v>1</v>
      </c>
      <c r="AD159" s="36">
        <f t="shared" si="4"/>
        <v>25</v>
      </c>
      <c r="AE159" s="22"/>
      <c r="AF159" s="22" t="s">
        <v>915</v>
      </c>
      <c r="AG159" s="22">
        <v>0</v>
      </c>
      <c r="AH159" s="22" t="s">
        <v>1032</v>
      </c>
      <c r="AI159" s="65">
        <f t="shared" si="5"/>
        <v>0</v>
      </c>
    </row>
    <row r="160" spans="1:35" ht="13.8" customHeight="1" x14ac:dyDescent="0.3">
      <c r="A160" s="20" t="s">
        <v>745</v>
      </c>
      <c r="B160" s="20">
        <v>45</v>
      </c>
      <c r="C160" s="20" t="s">
        <v>393</v>
      </c>
      <c r="D160" s="24">
        <v>20100040</v>
      </c>
      <c r="E160" s="20" t="s">
        <v>763</v>
      </c>
      <c r="F160" s="20" t="s">
        <v>719</v>
      </c>
      <c r="G160" s="20" t="s">
        <v>780</v>
      </c>
      <c r="H160" s="29">
        <v>0</v>
      </c>
      <c r="I160" s="30">
        <v>2021</v>
      </c>
      <c r="J160" s="30">
        <v>0</v>
      </c>
      <c r="K160" s="30">
        <v>4502</v>
      </c>
      <c r="L160" s="20" t="s">
        <v>399</v>
      </c>
      <c r="M160" s="30">
        <v>4502008</v>
      </c>
      <c r="N160" s="20" t="s">
        <v>410</v>
      </c>
      <c r="O160" s="46"/>
      <c r="P160" s="20" t="s">
        <v>411</v>
      </c>
      <c r="Q160" s="20" t="s">
        <v>405</v>
      </c>
      <c r="R160" s="30">
        <v>450200800</v>
      </c>
      <c r="S160" s="20" t="s">
        <v>412</v>
      </c>
      <c r="T160" s="20" t="s">
        <v>18</v>
      </c>
      <c r="U160" s="30">
        <v>16.7</v>
      </c>
      <c r="V160" s="20" t="s">
        <v>770</v>
      </c>
      <c r="W160" s="22">
        <v>4</v>
      </c>
      <c r="X160" s="22">
        <v>4</v>
      </c>
      <c r="Y160" s="22">
        <v>0</v>
      </c>
      <c r="Z160" s="22">
        <v>1</v>
      </c>
      <c r="AA160" s="22">
        <v>1</v>
      </c>
      <c r="AB160" s="22">
        <v>2</v>
      </c>
      <c r="AC160" s="22"/>
      <c r="AD160" s="36">
        <f t="shared" si="4"/>
        <v>0</v>
      </c>
      <c r="AE160" s="22"/>
      <c r="AF160" s="22"/>
      <c r="AG160" s="22">
        <v>0</v>
      </c>
      <c r="AH160" s="22" t="s">
        <v>1063</v>
      </c>
      <c r="AI160" s="65">
        <f t="shared" si="5"/>
        <v>0</v>
      </c>
    </row>
    <row r="161" spans="1:35" ht="13.8" customHeight="1" x14ac:dyDescent="0.3">
      <c r="A161" s="20" t="s">
        <v>745</v>
      </c>
      <c r="B161" s="20">
        <v>45</v>
      </c>
      <c r="C161" s="20" t="s">
        <v>393</v>
      </c>
      <c r="D161" s="20">
        <v>110070002</v>
      </c>
      <c r="E161" s="20" t="s">
        <v>733</v>
      </c>
      <c r="F161" s="20" t="s">
        <v>734</v>
      </c>
      <c r="G161" s="20" t="s">
        <v>791</v>
      </c>
      <c r="H161" s="29">
        <v>0</v>
      </c>
      <c r="I161" s="30">
        <v>2020</v>
      </c>
      <c r="J161" s="30">
        <v>88000</v>
      </c>
      <c r="K161" s="30">
        <v>4503</v>
      </c>
      <c r="L161" s="20" t="s">
        <v>413</v>
      </c>
      <c r="M161" s="30">
        <v>4503004</v>
      </c>
      <c r="N161" s="20" t="s">
        <v>414</v>
      </c>
      <c r="O161" s="46"/>
      <c r="P161" s="20" t="s">
        <v>415</v>
      </c>
      <c r="Q161" s="20" t="s">
        <v>416</v>
      </c>
      <c r="R161" s="30">
        <v>450300400</v>
      </c>
      <c r="S161" s="20" t="s">
        <v>417</v>
      </c>
      <c r="T161" s="20" t="s">
        <v>18</v>
      </c>
      <c r="U161" s="30" t="s">
        <v>586</v>
      </c>
      <c r="V161" s="20" t="s">
        <v>23</v>
      </c>
      <c r="W161" s="22">
        <v>8</v>
      </c>
      <c r="X161" s="22">
        <v>20</v>
      </c>
      <c r="Y161" s="22">
        <v>5</v>
      </c>
      <c r="Z161" s="22">
        <v>5</v>
      </c>
      <c r="AA161" s="22">
        <v>5</v>
      </c>
      <c r="AB161" s="22">
        <v>5</v>
      </c>
      <c r="AC161" s="22">
        <v>6</v>
      </c>
      <c r="AD161" s="36">
        <f t="shared" si="4"/>
        <v>30</v>
      </c>
      <c r="AE161" s="22" t="s">
        <v>928</v>
      </c>
      <c r="AF161" s="22" t="s">
        <v>929</v>
      </c>
      <c r="AG161" s="22">
        <v>10</v>
      </c>
      <c r="AH161" s="22" t="s">
        <v>1079</v>
      </c>
      <c r="AI161" s="65">
        <f t="shared" si="5"/>
        <v>200</v>
      </c>
    </row>
    <row r="162" spans="1:35" ht="13.8" customHeight="1" x14ac:dyDescent="0.3">
      <c r="A162" s="20" t="s">
        <v>745</v>
      </c>
      <c r="B162" s="20">
        <v>45</v>
      </c>
      <c r="C162" s="20" t="s">
        <v>393</v>
      </c>
      <c r="D162" s="20">
        <v>110070002</v>
      </c>
      <c r="E162" s="20" t="s">
        <v>733</v>
      </c>
      <c r="F162" s="20" t="s">
        <v>734</v>
      </c>
      <c r="G162" s="20" t="s">
        <v>791</v>
      </c>
      <c r="H162" s="29">
        <v>0</v>
      </c>
      <c r="I162" s="30">
        <v>2020</v>
      </c>
      <c r="J162" s="30">
        <v>88000</v>
      </c>
      <c r="K162" s="30">
        <v>4503</v>
      </c>
      <c r="L162" s="20" t="s">
        <v>413</v>
      </c>
      <c r="M162" s="30">
        <v>4503018</v>
      </c>
      <c r="N162" s="20" t="s">
        <v>418</v>
      </c>
      <c r="O162" s="46"/>
      <c r="P162" s="20" t="s">
        <v>419</v>
      </c>
      <c r="Q162" s="20" t="s">
        <v>420</v>
      </c>
      <c r="R162" s="30">
        <v>450301800</v>
      </c>
      <c r="S162" s="20" t="s">
        <v>421</v>
      </c>
      <c r="T162" s="20" t="s">
        <v>18</v>
      </c>
      <c r="U162" s="30" t="s">
        <v>586</v>
      </c>
      <c r="V162" s="20" t="s">
        <v>23</v>
      </c>
      <c r="W162" s="22">
        <v>0</v>
      </c>
      <c r="X162" s="22">
        <v>1</v>
      </c>
      <c r="Y162" s="22">
        <v>0</v>
      </c>
      <c r="Z162" s="22">
        <v>0</v>
      </c>
      <c r="AA162" s="22">
        <v>1</v>
      </c>
      <c r="AB162" s="22">
        <v>0</v>
      </c>
      <c r="AC162" s="22"/>
      <c r="AD162" s="22">
        <f t="shared" si="4"/>
        <v>0</v>
      </c>
      <c r="AE162" s="22"/>
      <c r="AF162" s="22"/>
      <c r="AG162" s="22" t="s">
        <v>1048</v>
      </c>
      <c r="AH162" s="22"/>
      <c r="AI162" s="65" t="e">
        <f t="shared" si="5"/>
        <v>#VALUE!</v>
      </c>
    </row>
    <row r="163" spans="1:35" ht="13.8" customHeight="1" x14ac:dyDescent="0.3">
      <c r="A163" s="20" t="s">
        <v>745</v>
      </c>
      <c r="B163" s="20">
        <v>45</v>
      </c>
      <c r="C163" s="20" t="s">
        <v>393</v>
      </c>
      <c r="D163" s="20">
        <v>110070002</v>
      </c>
      <c r="E163" s="20" t="s">
        <v>733</v>
      </c>
      <c r="F163" s="20" t="s">
        <v>734</v>
      </c>
      <c r="G163" s="20" t="s">
        <v>791</v>
      </c>
      <c r="H163" s="29">
        <v>0</v>
      </c>
      <c r="I163" s="30">
        <v>2020</v>
      </c>
      <c r="J163" s="30">
        <v>88000</v>
      </c>
      <c r="K163" s="30">
        <v>4503</v>
      </c>
      <c r="L163" s="20" t="s">
        <v>413</v>
      </c>
      <c r="M163" s="30">
        <v>4503023</v>
      </c>
      <c r="N163" s="20" t="s">
        <v>95</v>
      </c>
      <c r="O163" s="46"/>
      <c r="P163" s="20" t="s">
        <v>200</v>
      </c>
      <c r="Q163" s="20" t="s">
        <v>26</v>
      </c>
      <c r="R163" s="30">
        <v>450302301</v>
      </c>
      <c r="S163" s="20" t="s">
        <v>426</v>
      </c>
      <c r="T163" s="20" t="s">
        <v>18</v>
      </c>
      <c r="U163" s="30" t="s">
        <v>586</v>
      </c>
      <c r="V163" s="20" t="s">
        <v>23</v>
      </c>
      <c r="W163" s="22">
        <v>1</v>
      </c>
      <c r="X163" s="22">
        <v>4</v>
      </c>
      <c r="Y163" s="22">
        <v>1</v>
      </c>
      <c r="Z163" s="22">
        <v>1</v>
      </c>
      <c r="AA163" s="22">
        <v>1</v>
      </c>
      <c r="AB163" s="22">
        <v>1</v>
      </c>
      <c r="AC163" s="22">
        <v>1</v>
      </c>
      <c r="AD163" s="36">
        <f t="shared" si="4"/>
        <v>25</v>
      </c>
      <c r="AE163" s="22"/>
      <c r="AF163" s="22"/>
      <c r="AG163" s="22">
        <v>0</v>
      </c>
      <c r="AH163" s="22"/>
      <c r="AI163" s="65">
        <f t="shared" si="5"/>
        <v>0</v>
      </c>
    </row>
    <row r="164" spans="1:35" ht="13.8" customHeight="1" x14ac:dyDescent="0.3">
      <c r="A164" s="20" t="s">
        <v>745</v>
      </c>
      <c r="B164" s="20">
        <v>45</v>
      </c>
      <c r="C164" s="20" t="s">
        <v>393</v>
      </c>
      <c r="D164" s="20">
        <v>80010008</v>
      </c>
      <c r="E164" s="20" t="s">
        <v>723</v>
      </c>
      <c r="F164" s="20" t="s">
        <v>719</v>
      </c>
      <c r="G164" s="20" t="s">
        <v>777</v>
      </c>
      <c r="H164" s="29">
        <v>55.990099999999998</v>
      </c>
      <c r="I164" s="30">
        <v>2022</v>
      </c>
      <c r="J164" s="30">
        <v>75</v>
      </c>
      <c r="K164" s="30">
        <v>4599</v>
      </c>
      <c r="L164" s="20" t="s">
        <v>427</v>
      </c>
      <c r="M164" s="30">
        <v>4599005</v>
      </c>
      <c r="N164" s="20" t="s">
        <v>429</v>
      </c>
      <c r="O164" s="46" t="s">
        <v>858</v>
      </c>
      <c r="P164" s="20" t="s">
        <v>430</v>
      </c>
      <c r="Q164" s="20" t="s">
        <v>26</v>
      </c>
      <c r="R164" s="30">
        <v>459900500</v>
      </c>
      <c r="S164" s="20" t="s">
        <v>431</v>
      </c>
      <c r="T164" s="20" t="s">
        <v>18</v>
      </c>
      <c r="U164" s="30">
        <v>17.7</v>
      </c>
      <c r="V164" s="20" t="s">
        <v>19</v>
      </c>
      <c r="W164" s="22">
        <v>1</v>
      </c>
      <c r="X164" s="22">
        <v>8</v>
      </c>
      <c r="Y164" s="22">
        <v>2</v>
      </c>
      <c r="Z164" s="22">
        <v>2</v>
      </c>
      <c r="AA164" s="22">
        <v>2</v>
      </c>
      <c r="AB164" s="22">
        <v>2</v>
      </c>
      <c r="AC164" s="22">
        <v>2</v>
      </c>
      <c r="AD164" s="36">
        <f t="shared" si="4"/>
        <v>25</v>
      </c>
      <c r="AE164" s="22" t="s">
        <v>919</v>
      </c>
      <c r="AF164" s="22" t="s">
        <v>920</v>
      </c>
      <c r="AG164" s="22">
        <v>2</v>
      </c>
      <c r="AH164" s="53" t="s">
        <v>1031</v>
      </c>
      <c r="AI164" s="65">
        <f t="shared" si="5"/>
        <v>100</v>
      </c>
    </row>
    <row r="165" spans="1:35" ht="13.8" customHeight="1" x14ac:dyDescent="0.3">
      <c r="A165" s="20" t="s">
        <v>745</v>
      </c>
      <c r="B165" s="20">
        <v>45</v>
      </c>
      <c r="C165" s="20" t="s">
        <v>393</v>
      </c>
      <c r="D165" s="20">
        <v>80010008</v>
      </c>
      <c r="E165" s="20" t="s">
        <v>723</v>
      </c>
      <c r="F165" s="20" t="s">
        <v>719</v>
      </c>
      <c r="G165" s="20" t="s">
        <v>777</v>
      </c>
      <c r="H165" s="29">
        <v>55.990099999999998</v>
      </c>
      <c r="I165" s="30">
        <v>2022</v>
      </c>
      <c r="J165" s="30">
        <v>75</v>
      </c>
      <c r="K165" s="30">
        <v>4599</v>
      </c>
      <c r="L165" s="20" t="s">
        <v>427</v>
      </c>
      <c r="M165" s="30">
        <v>4599017</v>
      </c>
      <c r="N165" s="20" t="s">
        <v>436</v>
      </c>
      <c r="O165" s="46" t="s">
        <v>859</v>
      </c>
      <c r="P165" s="20" t="s">
        <v>437</v>
      </c>
      <c r="Q165" s="20" t="s">
        <v>420</v>
      </c>
      <c r="R165" s="30">
        <v>459901700</v>
      </c>
      <c r="S165" s="20" t="s">
        <v>438</v>
      </c>
      <c r="T165" s="20" t="s">
        <v>18</v>
      </c>
      <c r="U165" s="30">
        <v>16.600000000000001</v>
      </c>
      <c r="V165" s="20" t="s">
        <v>19</v>
      </c>
      <c r="W165" s="22">
        <v>0</v>
      </c>
      <c r="X165" s="22">
        <v>1</v>
      </c>
      <c r="Y165" s="22">
        <v>0</v>
      </c>
      <c r="Z165" s="22">
        <v>1</v>
      </c>
      <c r="AA165" s="22">
        <v>1</v>
      </c>
      <c r="AB165" s="22">
        <v>1</v>
      </c>
      <c r="AC165" s="22"/>
      <c r="AD165" s="36">
        <f t="shared" si="4"/>
        <v>0</v>
      </c>
      <c r="AE165" s="22"/>
      <c r="AF165" s="22"/>
      <c r="AG165" s="22">
        <v>0</v>
      </c>
      <c r="AH165" s="22"/>
      <c r="AI165" s="65">
        <f t="shared" si="5"/>
        <v>0</v>
      </c>
    </row>
    <row r="166" spans="1:35" ht="13.8" customHeight="1" x14ac:dyDescent="0.3">
      <c r="A166" s="20" t="s">
        <v>745</v>
      </c>
      <c r="B166" s="20">
        <v>45</v>
      </c>
      <c r="C166" s="20" t="s">
        <v>393</v>
      </c>
      <c r="D166" s="20">
        <v>80010008</v>
      </c>
      <c r="E166" s="20" t="s">
        <v>723</v>
      </c>
      <c r="F166" s="20" t="s">
        <v>719</v>
      </c>
      <c r="G166" s="20" t="s">
        <v>777</v>
      </c>
      <c r="H166" s="29">
        <v>55.990099999999998</v>
      </c>
      <c r="I166" s="30">
        <v>2022</v>
      </c>
      <c r="J166" s="30">
        <v>75</v>
      </c>
      <c r="K166" s="30">
        <v>4599</v>
      </c>
      <c r="L166" s="20" t="s">
        <v>427</v>
      </c>
      <c r="M166" s="30">
        <v>4599023</v>
      </c>
      <c r="N166" s="20" t="s">
        <v>439</v>
      </c>
      <c r="O166" s="46" t="s">
        <v>860</v>
      </c>
      <c r="P166" s="20" t="s">
        <v>440</v>
      </c>
      <c r="Q166" s="20" t="s">
        <v>420</v>
      </c>
      <c r="R166" s="30">
        <v>459902300</v>
      </c>
      <c r="S166" s="20" t="s">
        <v>441</v>
      </c>
      <c r="T166" s="20" t="s">
        <v>18</v>
      </c>
      <c r="U166" s="30">
        <v>16.600000000000001</v>
      </c>
      <c r="V166" s="20" t="s">
        <v>23</v>
      </c>
      <c r="W166" s="22">
        <v>1</v>
      </c>
      <c r="X166" s="22">
        <v>1</v>
      </c>
      <c r="Y166" s="22">
        <v>1</v>
      </c>
      <c r="Z166" s="22">
        <v>1</v>
      </c>
      <c r="AA166" s="22">
        <v>1</v>
      </c>
      <c r="AB166" s="22">
        <v>1</v>
      </c>
      <c r="AC166" s="22">
        <v>1</v>
      </c>
      <c r="AD166" s="36">
        <f t="shared" si="4"/>
        <v>100</v>
      </c>
      <c r="AE166" s="22"/>
      <c r="AF166" s="22" t="s">
        <v>981</v>
      </c>
      <c r="AG166" s="22">
        <v>1</v>
      </c>
      <c r="AH166" s="22" t="s">
        <v>1051</v>
      </c>
      <c r="AI166" s="65">
        <f t="shared" si="5"/>
        <v>100</v>
      </c>
    </row>
    <row r="167" spans="1:35" ht="13.8" customHeight="1" x14ac:dyDescent="0.3">
      <c r="A167" s="20" t="s">
        <v>745</v>
      </c>
      <c r="B167" s="20">
        <v>45</v>
      </c>
      <c r="C167" s="20" t="s">
        <v>393</v>
      </c>
      <c r="D167" s="20">
        <v>110070002</v>
      </c>
      <c r="E167" s="20" t="s">
        <v>733</v>
      </c>
      <c r="F167" s="20" t="s">
        <v>734</v>
      </c>
      <c r="G167" s="20" t="s">
        <v>791</v>
      </c>
      <c r="H167" s="29">
        <v>0</v>
      </c>
      <c r="I167" s="30">
        <v>2020</v>
      </c>
      <c r="J167" s="30">
        <v>88000</v>
      </c>
      <c r="K167" s="30">
        <v>4503</v>
      </c>
      <c r="L167" s="20" t="s">
        <v>413</v>
      </c>
      <c r="M167" s="30">
        <v>4503028</v>
      </c>
      <c r="N167" s="20" t="s">
        <v>443</v>
      </c>
      <c r="O167" s="46"/>
      <c r="P167" s="20" t="s">
        <v>444</v>
      </c>
      <c r="Q167" s="20" t="s">
        <v>40</v>
      </c>
      <c r="R167" s="30">
        <v>450302800</v>
      </c>
      <c r="S167" s="20" t="s">
        <v>445</v>
      </c>
      <c r="T167" s="20" t="s">
        <v>18</v>
      </c>
      <c r="U167" s="30">
        <v>1.5</v>
      </c>
      <c r="V167" s="20" t="s">
        <v>23</v>
      </c>
      <c r="W167" s="22">
        <v>0</v>
      </c>
      <c r="X167" s="22">
        <v>20</v>
      </c>
      <c r="Y167" s="22">
        <v>5</v>
      </c>
      <c r="Z167" s="22">
        <v>5</v>
      </c>
      <c r="AA167" s="22">
        <v>5</v>
      </c>
      <c r="AB167" s="22">
        <v>5</v>
      </c>
      <c r="AC167" s="22"/>
      <c r="AD167" s="36">
        <f t="shared" si="4"/>
        <v>0</v>
      </c>
      <c r="AE167" s="22"/>
      <c r="AF167" s="22"/>
      <c r="AG167" s="22">
        <v>15</v>
      </c>
      <c r="AH167" s="22" t="s">
        <v>1054</v>
      </c>
      <c r="AI167" s="65">
        <f t="shared" si="5"/>
        <v>300</v>
      </c>
    </row>
    <row r="168" spans="1:35" ht="13.8" customHeight="1" x14ac:dyDescent="0.3">
      <c r="A168" s="20" t="s">
        <v>745</v>
      </c>
      <c r="B168" s="20">
        <v>45</v>
      </c>
      <c r="C168" s="20" t="s">
        <v>393</v>
      </c>
      <c r="D168" s="20">
        <v>60010001</v>
      </c>
      <c r="E168" s="20" t="s">
        <v>727</v>
      </c>
      <c r="F168" s="20" t="s">
        <v>725</v>
      </c>
      <c r="G168" s="20" t="s">
        <v>792</v>
      </c>
      <c r="H168" s="29">
        <v>132.82419999999999</v>
      </c>
      <c r="I168" s="30">
        <v>2022</v>
      </c>
      <c r="J168" s="30">
        <v>90</v>
      </c>
      <c r="K168" s="30">
        <v>4501</v>
      </c>
      <c r="L168" s="20" t="s">
        <v>394</v>
      </c>
      <c r="M168" s="30">
        <v>4501048</v>
      </c>
      <c r="N168" s="20" t="s">
        <v>446</v>
      </c>
      <c r="O168" s="46" t="s">
        <v>861</v>
      </c>
      <c r="P168" s="20" t="s">
        <v>447</v>
      </c>
      <c r="Q168" s="20" t="s">
        <v>448</v>
      </c>
      <c r="R168" s="30">
        <v>450104800</v>
      </c>
      <c r="S168" s="20" t="s">
        <v>449</v>
      </c>
      <c r="T168" s="20" t="s">
        <v>18</v>
      </c>
      <c r="U168" s="30">
        <v>16.3</v>
      </c>
      <c r="V168" s="20" t="s">
        <v>19</v>
      </c>
      <c r="W168" s="22">
        <v>0</v>
      </c>
      <c r="X168" s="22">
        <v>4</v>
      </c>
      <c r="Y168" s="22">
        <v>1</v>
      </c>
      <c r="Z168" s="22">
        <v>1</v>
      </c>
      <c r="AA168" s="22">
        <v>1</v>
      </c>
      <c r="AB168" s="22">
        <v>1</v>
      </c>
      <c r="AC168" s="22">
        <v>1</v>
      </c>
      <c r="AD168" s="36">
        <f t="shared" si="4"/>
        <v>25</v>
      </c>
      <c r="AE168" s="22" t="s">
        <v>967</v>
      </c>
      <c r="AF168" s="22" t="s">
        <v>968</v>
      </c>
      <c r="AG168" s="22">
        <v>1</v>
      </c>
      <c r="AH168" s="53" t="s">
        <v>1033</v>
      </c>
      <c r="AI168" s="65">
        <f t="shared" si="5"/>
        <v>100</v>
      </c>
    </row>
    <row r="169" spans="1:35" ht="13.8" customHeight="1" x14ac:dyDescent="0.3">
      <c r="A169" s="20" t="s">
        <v>745</v>
      </c>
      <c r="B169" s="20">
        <v>45</v>
      </c>
      <c r="C169" s="20" t="s">
        <v>393</v>
      </c>
      <c r="D169" s="20">
        <v>80010008</v>
      </c>
      <c r="E169" s="20" t="s">
        <v>723</v>
      </c>
      <c r="F169" s="20" t="s">
        <v>719</v>
      </c>
      <c r="G169" s="20" t="s">
        <v>777</v>
      </c>
      <c r="H169" s="29">
        <v>55.990099999999998</v>
      </c>
      <c r="I169" s="30">
        <v>2022</v>
      </c>
      <c r="J169" s="30">
        <v>75</v>
      </c>
      <c r="K169" s="30">
        <v>4599</v>
      </c>
      <c r="L169" s="20" t="s">
        <v>427</v>
      </c>
      <c r="M169" s="30">
        <v>4599029</v>
      </c>
      <c r="N169" s="20" t="s">
        <v>450</v>
      </c>
      <c r="O169" s="46" t="s">
        <v>862</v>
      </c>
      <c r="P169" s="20" t="s">
        <v>451</v>
      </c>
      <c r="Q169" s="20" t="s">
        <v>452</v>
      </c>
      <c r="R169" s="30">
        <v>459902900</v>
      </c>
      <c r="S169" s="20" t="s">
        <v>453</v>
      </c>
      <c r="T169" s="20" t="s">
        <v>18</v>
      </c>
      <c r="U169" s="30">
        <v>16.600000000000001</v>
      </c>
      <c r="V169" s="20" t="s">
        <v>19</v>
      </c>
      <c r="W169" s="22">
        <v>2</v>
      </c>
      <c r="X169" s="22">
        <v>4</v>
      </c>
      <c r="Y169" s="22">
        <v>1</v>
      </c>
      <c r="Z169" s="22">
        <v>1</v>
      </c>
      <c r="AA169" s="22">
        <v>1</v>
      </c>
      <c r="AB169" s="22">
        <v>1</v>
      </c>
      <c r="AC169" s="22">
        <v>2</v>
      </c>
      <c r="AD169" s="36">
        <f t="shared" si="4"/>
        <v>50</v>
      </c>
      <c r="AE169" s="22" t="s">
        <v>960</v>
      </c>
      <c r="AF169" s="22" t="s">
        <v>964</v>
      </c>
      <c r="AG169" s="22">
        <v>1</v>
      </c>
      <c r="AH169" s="53" t="s">
        <v>1034</v>
      </c>
      <c r="AI169" s="65">
        <f t="shared" si="5"/>
        <v>100</v>
      </c>
    </row>
    <row r="170" spans="1:35" ht="13.8" customHeight="1" x14ac:dyDescent="0.3">
      <c r="A170" s="20" t="s">
        <v>745</v>
      </c>
      <c r="B170" s="20">
        <v>45</v>
      </c>
      <c r="C170" s="20" t="s">
        <v>393</v>
      </c>
      <c r="D170" s="20">
        <v>80010008</v>
      </c>
      <c r="E170" s="20" t="s">
        <v>723</v>
      </c>
      <c r="F170" s="20" t="s">
        <v>719</v>
      </c>
      <c r="G170" s="20" t="s">
        <v>777</v>
      </c>
      <c r="H170" s="29">
        <v>55.990099999999998</v>
      </c>
      <c r="I170" s="30">
        <v>2022</v>
      </c>
      <c r="J170" s="30">
        <v>75</v>
      </c>
      <c r="K170" s="30">
        <v>4599</v>
      </c>
      <c r="L170" s="20" t="s">
        <v>427</v>
      </c>
      <c r="M170" s="30">
        <v>4599033</v>
      </c>
      <c r="N170" s="20" t="s">
        <v>454</v>
      </c>
      <c r="O170" s="46"/>
      <c r="P170" s="20" t="s">
        <v>455</v>
      </c>
      <c r="Q170" s="20" t="s">
        <v>42</v>
      </c>
      <c r="R170" s="30">
        <v>459903300</v>
      </c>
      <c r="S170" s="20" t="s">
        <v>456</v>
      </c>
      <c r="T170" s="20" t="s">
        <v>18</v>
      </c>
      <c r="U170" s="30">
        <v>17.7</v>
      </c>
      <c r="V170" s="20" t="s">
        <v>770</v>
      </c>
      <c r="W170" s="22" t="s">
        <v>636</v>
      </c>
      <c r="X170" s="22">
        <v>120</v>
      </c>
      <c r="Y170" s="22">
        <v>30</v>
      </c>
      <c r="Z170" s="22">
        <v>30</v>
      </c>
      <c r="AA170" s="22">
        <v>30</v>
      </c>
      <c r="AB170" s="22">
        <v>30</v>
      </c>
      <c r="AC170" s="22">
        <v>75</v>
      </c>
      <c r="AD170" s="36">
        <f t="shared" si="4"/>
        <v>62.5</v>
      </c>
      <c r="AE170" s="22" t="s">
        <v>982</v>
      </c>
      <c r="AF170" s="22" t="s">
        <v>983</v>
      </c>
      <c r="AG170" s="60">
        <v>100</v>
      </c>
      <c r="AH170" s="22"/>
      <c r="AI170" s="65">
        <f t="shared" si="5"/>
        <v>333.33333333333331</v>
      </c>
    </row>
    <row r="171" spans="1:35" ht="13.8" customHeight="1" x14ac:dyDescent="0.3">
      <c r="A171" s="20" t="s">
        <v>745</v>
      </c>
      <c r="B171" s="20">
        <v>4</v>
      </c>
      <c r="C171" s="20" t="s">
        <v>465</v>
      </c>
      <c r="D171" s="20">
        <v>150070007</v>
      </c>
      <c r="E171" s="20" t="s">
        <v>728</v>
      </c>
      <c r="F171" s="20" t="s">
        <v>729</v>
      </c>
      <c r="G171" s="20" t="s">
        <v>787</v>
      </c>
      <c r="H171" s="29">
        <v>0</v>
      </c>
      <c r="I171" s="30">
        <v>2021</v>
      </c>
      <c r="J171" s="30">
        <v>1</v>
      </c>
      <c r="K171" s="30">
        <v>406</v>
      </c>
      <c r="L171" s="20" t="s">
        <v>466</v>
      </c>
      <c r="M171" s="30">
        <v>406016</v>
      </c>
      <c r="N171" s="20" t="s">
        <v>467</v>
      </c>
      <c r="O171" s="46"/>
      <c r="P171" s="20" t="s">
        <v>468</v>
      </c>
      <c r="Q171" s="20" t="s">
        <v>469</v>
      </c>
      <c r="R171" s="30">
        <v>40601601</v>
      </c>
      <c r="S171" s="20" t="s">
        <v>470</v>
      </c>
      <c r="T171" s="20" t="s">
        <v>18</v>
      </c>
      <c r="U171" s="30">
        <v>17.18</v>
      </c>
      <c r="V171" s="20" t="s">
        <v>1052</v>
      </c>
      <c r="W171" s="22">
        <v>124</v>
      </c>
      <c r="X171" s="22">
        <v>891</v>
      </c>
      <c r="Y171" s="22">
        <v>0</v>
      </c>
      <c r="Z171" s="22">
        <v>891</v>
      </c>
      <c r="AA171" s="22">
        <v>0</v>
      </c>
      <c r="AB171" s="22">
        <v>0</v>
      </c>
      <c r="AC171" s="22"/>
      <c r="AD171" s="36">
        <f t="shared" si="4"/>
        <v>0</v>
      </c>
      <c r="AE171" s="22"/>
      <c r="AF171" s="22"/>
      <c r="AG171" s="22">
        <v>0</v>
      </c>
      <c r="AH171" s="22" t="s">
        <v>1053</v>
      </c>
      <c r="AI171" s="65">
        <f t="shared" si="5"/>
        <v>0</v>
      </c>
    </row>
    <row r="172" spans="1:35" ht="13.8" customHeight="1" x14ac:dyDescent="0.3">
      <c r="A172" s="20" t="s">
        <v>745</v>
      </c>
      <c r="B172" s="20">
        <v>45</v>
      </c>
      <c r="C172" s="20" t="s">
        <v>393</v>
      </c>
      <c r="D172" s="20">
        <v>60010005</v>
      </c>
      <c r="E172" s="20" t="s">
        <v>726</v>
      </c>
      <c r="F172" s="20" t="s">
        <v>725</v>
      </c>
      <c r="G172" s="20" t="s">
        <v>792</v>
      </c>
      <c r="H172" s="29">
        <v>0</v>
      </c>
      <c r="I172" s="30">
        <v>2021</v>
      </c>
      <c r="J172" s="30">
        <v>0</v>
      </c>
      <c r="K172" s="30">
        <v>4501</v>
      </c>
      <c r="L172" s="20" t="s">
        <v>394</v>
      </c>
      <c r="M172" s="30">
        <v>4501050</v>
      </c>
      <c r="N172" s="20" t="s">
        <v>471</v>
      </c>
      <c r="O172" s="46" t="s">
        <v>863</v>
      </c>
      <c r="P172" s="20" t="s">
        <v>472</v>
      </c>
      <c r="Q172" s="20" t="s">
        <v>473</v>
      </c>
      <c r="R172" s="30">
        <v>450105000</v>
      </c>
      <c r="S172" s="20" t="s">
        <v>474</v>
      </c>
      <c r="T172" s="20" t="s">
        <v>18</v>
      </c>
      <c r="U172" s="30">
        <v>5.2</v>
      </c>
      <c r="V172" s="20" t="s">
        <v>19</v>
      </c>
      <c r="W172" s="22">
        <v>8</v>
      </c>
      <c r="X172" s="22">
        <v>20</v>
      </c>
      <c r="Y172" s="22">
        <v>5</v>
      </c>
      <c r="Z172" s="22">
        <v>5</v>
      </c>
      <c r="AA172" s="22">
        <v>5</v>
      </c>
      <c r="AB172" s="22">
        <v>5</v>
      </c>
      <c r="AC172" s="22">
        <v>11</v>
      </c>
      <c r="AD172" s="36">
        <f t="shared" si="4"/>
        <v>55.000000000000007</v>
      </c>
      <c r="AE172" s="22" t="s">
        <v>969</v>
      </c>
      <c r="AF172" s="22" t="s">
        <v>970</v>
      </c>
      <c r="AG172" s="22">
        <v>9</v>
      </c>
      <c r="AH172" s="46" t="s">
        <v>1035</v>
      </c>
      <c r="AI172" s="65">
        <f t="shared" si="5"/>
        <v>180</v>
      </c>
    </row>
    <row r="173" spans="1:35" ht="13.8" customHeight="1" x14ac:dyDescent="0.3">
      <c r="A173" s="20" t="s">
        <v>745</v>
      </c>
      <c r="B173" s="20">
        <v>45</v>
      </c>
      <c r="C173" s="20" t="s">
        <v>393</v>
      </c>
      <c r="D173" s="20">
        <v>80010008</v>
      </c>
      <c r="E173" s="20" t="s">
        <v>723</v>
      </c>
      <c r="F173" s="20" t="s">
        <v>719</v>
      </c>
      <c r="G173" s="20" t="s">
        <v>777</v>
      </c>
      <c r="H173" s="29">
        <v>55.990099999999998</v>
      </c>
      <c r="I173" s="30">
        <v>2022</v>
      </c>
      <c r="J173" s="30">
        <v>75</v>
      </c>
      <c r="K173" s="30">
        <v>4599</v>
      </c>
      <c r="L173" s="20" t="s">
        <v>427</v>
      </c>
      <c r="M173" s="30">
        <v>4599034</v>
      </c>
      <c r="N173" s="20" t="s">
        <v>364</v>
      </c>
      <c r="O173" s="46" t="s">
        <v>864</v>
      </c>
      <c r="P173" s="20" t="s">
        <v>537</v>
      </c>
      <c r="Q173" s="20" t="s">
        <v>318</v>
      </c>
      <c r="R173" s="30">
        <v>459903400</v>
      </c>
      <c r="S173" s="20" t="s">
        <v>364</v>
      </c>
      <c r="T173" s="20" t="s">
        <v>18</v>
      </c>
      <c r="U173" s="30">
        <v>16.600000000000001</v>
      </c>
      <c r="V173" s="20" t="s">
        <v>19</v>
      </c>
      <c r="W173" s="22">
        <v>1</v>
      </c>
      <c r="X173" s="22">
        <v>4</v>
      </c>
      <c r="Y173" s="22">
        <v>1</v>
      </c>
      <c r="Z173" s="22">
        <v>1</v>
      </c>
      <c r="AA173" s="22">
        <v>1</v>
      </c>
      <c r="AB173" s="22">
        <v>1</v>
      </c>
      <c r="AC173" s="22">
        <v>1</v>
      </c>
      <c r="AD173" s="36">
        <f t="shared" si="4"/>
        <v>25</v>
      </c>
      <c r="AE173" s="22" t="s">
        <v>963</v>
      </c>
      <c r="AF173" s="22" t="s">
        <v>962</v>
      </c>
      <c r="AG173" s="22">
        <v>0</v>
      </c>
      <c r="AH173" s="53" t="s">
        <v>1036</v>
      </c>
      <c r="AI173" s="65">
        <f t="shared" si="5"/>
        <v>0</v>
      </c>
    </row>
    <row r="174" spans="1:35" ht="13.8" customHeight="1" x14ac:dyDescent="0.3">
      <c r="A174" s="20" t="s">
        <v>745</v>
      </c>
      <c r="B174" s="20">
        <v>45</v>
      </c>
      <c r="C174" s="20" t="s">
        <v>393</v>
      </c>
      <c r="D174" s="24">
        <v>20100040</v>
      </c>
      <c r="E174" s="20" t="s">
        <v>763</v>
      </c>
      <c r="F174" s="20" t="s">
        <v>719</v>
      </c>
      <c r="G174" s="20" t="s">
        <v>780</v>
      </c>
      <c r="H174" s="29">
        <v>0</v>
      </c>
      <c r="I174" s="30">
        <v>2021</v>
      </c>
      <c r="J174" s="30">
        <v>0</v>
      </c>
      <c r="K174" s="30">
        <v>4501</v>
      </c>
      <c r="L174" s="20" t="s">
        <v>394</v>
      </c>
      <c r="M174" s="30">
        <v>4501061</v>
      </c>
      <c r="N174" s="20" t="s">
        <v>549</v>
      </c>
      <c r="O174" s="46" t="s">
        <v>865</v>
      </c>
      <c r="P174" s="20" t="s">
        <v>550</v>
      </c>
      <c r="Q174" s="20" t="s">
        <v>278</v>
      </c>
      <c r="R174" s="30">
        <v>450106100</v>
      </c>
      <c r="S174" s="20" t="s">
        <v>551</v>
      </c>
      <c r="T174" s="20" t="s">
        <v>18</v>
      </c>
      <c r="U174" s="30" t="s">
        <v>594</v>
      </c>
      <c r="V174" s="20" t="s">
        <v>210</v>
      </c>
      <c r="W174" s="22">
        <v>750</v>
      </c>
      <c r="X174" s="22">
        <v>2250</v>
      </c>
      <c r="Y174" s="22">
        <v>450</v>
      </c>
      <c r="Z174" s="22">
        <v>600</v>
      </c>
      <c r="AA174" s="22">
        <v>600</v>
      </c>
      <c r="AB174" s="22">
        <v>600</v>
      </c>
      <c r="AC174" s="22">
        <v>600</v>
      </c>
      <c r="AD174" s="36">
        <f t="shared" si="4"/>
        <v>26.666666666666668</v>
      </c>
      <c r="AE174" s="39" t="s">
        <v>877</v>
      </c>
      <c r="AF174" s="22" t="s">
        <v>876</v>
      </c>
      <c r="AG174" s="50">
        <v>325</v>
      </c>
      <c r="AH174" s="22" t="s">
        <v>1017</v>
      </c>
      <c r="AI174" s="65">
        <f t="shared" si="5"/>
        <v>54.166666666666664</v>
      </c>
    </row>
    <row r="175" spans="1:35" ht="13.8" customHeight="1" x14ac:dyDescent="0.3">
      <c r="A175" s="20" t="s">
        <v>745</v>
      </c>
      <c r="B175" s="20">
        <v>45</v>
      </c>
      <c r="C175" s="20" t="s">
        <v>393</v>
      </c>
      <c r="D175" s="20">
        <v>80010008</v>
      </c>
      <c r="E175" s="20" t="s">
        <v>723</v>
      </c>
      <c r="F175" s="20" t="s">
        <v>719</v>
      </c>
      <c r="G175" s="20" t="s">
        <v>777</v>
      </c>
      <c r="H175" s="29">
        <v>55.990099999999998</v>
      </c>
      <c r="I175" s="30">
        <v>2022</v>
      </c>
      <c r="J175" s="30">
        <v>75</v>
      </c>
      <c r="K175" s="30">
        <v>4599</v>
      </c>
      <c r="L175" s="20" t="s">
        <v>427</v>
      </c>
      <c r="M175" s="30">
        <v>4599038</v>
      </c>
      <c r="N175" s="20" t="s">
        <v>574</v>
      </c>
      <c r="O175" s="46"/>
      <c r="P175" s="20" t="s">
        <v>575</v>
      </c>
      <c r="Q175" s="20" t="s">
        <v>576</v>
      </c>
      <c r="R175" s="30">
        <v>459903800</v>
      </c>
      <c r="S175" s="20" t="s">
        <v>577</v>
      </c>
      <c r="T175" s="20" t="s">
        <v>18</v>
      </c>
      <c r="U175" s="30">
        <v>16.600000000000001</v>
      </c>
      <c r="V175" s="20" t="s">
        <v>19</v>
      </c>
      <c r="W175" s="22">
        <v>0</v>
      </c>
      <c r="X175" s="22">
        <v>2</v>
      </c>
      <c r="Y175" s="22">
        <v>0</v>
      </c>
      <c r="Z175" s="22">
        <v>1</v>
      </c>
      <c r="AA175" s="22">
        <v>1</v>
      </c>
      <c r="AB175" s="22">
        <v>0</v>
      </c>
      <c r="AC175" s="22"/>
      <c r="AD175" s="36">
        <f t="shared" si="4"/>
        <v>0</v>
      </c>
      <c r="AE175" s="22"/>
      <c r="AF175" s="22"/>
      <c r="AG175" s="22">
        <v>0</v>
      </c>
      <c r="AH175" s="53" t="s">
        <v>1037</v>
      </c>
      <c r="AI175" s="65">
        <f t="shared" si="5"/>
        <v>0</v>
      </c>
    </row>
    <row r="176" spans="1:35" ht="13.8" customHeight="1" x14ac:dyDescent="0.3">
      <c r="A176" s="20" t="s">
        <v>745</v>
      </c>
      <c r="B176" s="20">
        <v>12</v>
      </c>
      <c r="C176" s="20" t="s">
        <v>89</v>
      </c>
      <c r="D176" s="20">
        <v>190050001</v>
      </c>
      <c r="E176" s="20" t="s">
        <v>761</v>
      </c>
      <c r="F176" s="20" t="s">
        <v>762</v>
      </c>
      <c r="G176" s="20" t="s">
        <v>794</v>
      </c>
      <c r="H176" s="29">
        <v>0</v>
      </c>
      <c r="I176" s="30">
        <v>2017</v>
      </c>
      <c r="J176" s="30">
        <v>0</v>
      </c>
      <c r="K176" s="30">
        <v>1206</v>
      </c>
      <c r="L176" s="20" t="s">
        <v>90</v>
      </c>
      <c r="M176" s="30">
        <v>1206007</v>
      </c>
      <c r="N176" s="20" t="s">
        <v>91</v>
      </c>
      <c r="O176" s="46" t="s">
        <v>866</v>
      </c>
      <c r="P176" s="20" t="s">
        <v>92</v>
      </c>
      <c r="Q176" s="20" t="s">
        <v>40</v>
      </c>
      <c r="R176" s="30">
        <v>120600702</v>
      </c>
      <c r="S176" s="20" t="s">
        <v>639</v>
      </c>
      <c r="T176" s="20" t="s">
        <v>18</v>
      </c>
      <c r="U176" s="30">
        <v>10.199999999999999</v>
      </c>
      <c r="V176" s="20" t="s">
        <v>19</v>
      </c>
      <c r="W176" s="22">
        <v>4</v>
      </c>
      <c r="X176" s="22">
        <v>20</v>
      </c>
      <c r="Y176" s="22">
        <v>5</v>
      </c>
      <c r="Z176" s="22">
        <v>5</v>
      </c>
      <c r="AA176" s="22">
        <v>5</v>
      </c>
      <c r="AB176" s="22">
        <v>5</v>
      </c>
      <c r="AC176" s="22">
        <v>5</v>
      </c>
      <c r="AD176" s="36">
        <f t="shared" si="4"/>
        <v>25</v>
      </c>
      <c r="AE176" s="22" t="s">
        <v>973</v>
      </c>
      <c r="AF176" s="22" t="s">
        <v>974</v>
      </c>
      <c r="AG176" s="22">
        <v>5</v>
      </c>
      <c r="AH176" s="53" t="s">
        <v>1038</v>
      </c>
      <c r="AI176" s="65">
        <f t="shared" si="5"/>
        <v>100</v>
      </c>
    </row>
    <row r="177" spans="1:46" ht="13.8" customHeight="1" x14ac:dyDescent="0.3">
      <c r="A177" s="20" t="s">
        <v>745</v>
      </c>
      <c r="B177" s="20">
        <v>12</v>
      </c>
      <c r="C177" s="20" t="s">
        <v>89</v>
      </c>
      <c r="D177" s="20">
        <v>190010038</v>
      </c>
      <c r="E177" s="20" t="s">
        <v>757</v>
      </c>
      <c r="F177" s="20" t="s">
        <v>758</v>
      </c>
      <c r="G177" s="20" t="s">
        <v>794</v>
      </c>
      <c r="H177" s="29">
        <v>0</v>
      </c>
      <c r="I177" s="30">
        <v>2021</v>
      </c>
      <c r="J177" s="30">
        <v>50</v>
      </c>
      <c r="K177" s="30">
        <v>1203</v>
      </c>
      <c r="L177" s="20" t="s">
        <v>655</v>
      </c>
      <c r="M177" s="30">
        <v>1203009</v>
      </c>
      <c r="N177" s="20" t="s">
        <v>640</v>
      </c>
      <c r="O177" s="46"/>
      <c r="P177" s="20" t="s">
        <v>641</v>
      </c>
      <c r="Q177" s="20" t="s">
        <v>40</v>
      </c>
      <c r="R177" s="30">
        <v>120300903</v>
      </c>
      <c r="S177" s="20" t="s">
        <v>642</v>
      </c>
      <c r="T177" s="20" t="s">
        <v>18</v>
      </c>
      <c r="U177" s="30">
        <v>16.100000000000001</v>
      </c>
      <c r="V177" s="20" t="s">
        <v>19</v>
      </c>
      <c r="W177" s="22" t="s">
        <v>636</v>
      </c>
      <c r="X177" s="22">
        <v>75</v>
      </c>
      <c r="Y177" s="22">
        <v>0</v>
      </c>
      <c r="Z177" s="22">
        <v>25</v>
      </c>
      <c r="AA177" s="22">
        <v>25</v>
      </c>
      <c r="AB177" s="22">
        <v>25</v>
      </c>
      <c r="AC177" s="22"/>
      <c r="AD177" s="36">
        <f t="shared" si="4"/>
        <v>0</v>
      </c>
      <c r="AE177" s="22"/>
      <c r="AF177" s="22"/>
      <c r="AG177" s="22">
        <v>0</v>
      </c>
      <c r="AH177" s="22"/>
      <c r="AI177" s="65">
        <f t="shared" si="5"/>
        <v>0</v>
      </c>
    </row>
    <row r="178" spans="1:46" ht="13.8" customHeight="1" x14ac:dyDescent="0.3">
      <c r="A178" s="20" t="s">
        <v>745</v>
      </c>
      <c r="B178" s="20">
        <v>12</v>
      </c>
      <c r="C178" s="20" t="s">
        <v>89</v>
      </c>
      <c r="D178" s="20">
        <v>190030005</v>
      </c>
      <c r="E178" s="20" t="s">
        <v>755</v>
      </c>
      <c r="F178" s="20" t="s">
        <v>756</v>
      </c>
      <c r="G178" s="20" t="s">
        <v>794</v>
      </c>
      <c r="H178" s="29">
        <v>0</v>
      </c>
      <c r="I178" s="30">
        <v>2018</v>
      </c>
      <c r="J178" s="30">
        <v>35</v>
      </c>
      <c r="K178" s="30">
        <v>1202</v>
      </c>
      <c r="L178" s="20" t="s">
        <v>638</v>
      </c>
      <c r="M178" s="30">
        <v>1202020</v>
      </c>
      <c r="N178" s="20" t="s">
        <v>643</v>
      </c>
      <c r="O178" s="46"/>
      <c r="P178" s="20" t="s">
        <v>644</v>
      </c>
      <c r="Q178" s="20" t="s">
        <v>229</v>
      </c>
      <c r="R178" s="30">
        <v>120202000</v>
      </c>
      <c r="S178" s="20" t="s">
        <v>591</v>
      </c>
      <c r="T178" s="20" t="s">
        <v>18</v>
      </c>
      <c r="U178" s="30">
        <v>16.100000000000001</v>
      </c>
      <c r="V178" s="20" t="s">
        <v>19</v>
      </c>
      <c r="W178" s="22" t="s">
        <v>636</v>
      </c>
      <c r="X178" s="22">
        <v>3</v>
      </c>
      <c r="Y178" s="22">
        <v>0</v>
      </c>
      <c r="Z178" s="22">
        <v>1</v>
      </c>
      <c r="AA178" s="22">
        <v>1</v>
      </c>
      <c r="AB178" s="22">
        <v>1</v>
      </c>
      <c r="AC178" s="22"/>
      <c r="AD178" s="36">
        <f t="shared" si="4"/>
        <v>0</v>
      </c>
      <c r="AE178" s="22"/>
      <c r="AF178" s="22"/>
      <c r="AG178" s="22">
        <v>0</v>
      </c>
      <c r="AH178" s="22"/>
      <c r="AI178" s="65">
        <f t="shared" si="5"/>
        <v>0</v>
      </c>
    </row>
    <row r="179" spans="1:46" ht="13.8" customHeight="1" x14ac:dyDescent="0.3">
      <c r="A179" s="20" t="s">
        <v>745</v>
      </c>
      <c r="B179" s="20">
        <v>12</v>
      </c>
      <c r="C179" s="20" t="s">
        <v>89</v>
      </c>
      <c r="D179" s="20">
        <v>190030005</v>
      </c>
      <c r="E179" s="20" t="s">
        <v>755</v>
      </c>
      <c r="F179" s="20" t="s">
        <v>756</v>
      </c>
      <c r="G179" s="20" t="s">
        <v>794</v>
      </c>
      <c r="H179" s="29">
        <v>0</v>
      </c>
      <c r="I179" s="30">
        <v>2018</v>
      </c>
      <c r="J179" s="30">
        <v>35</v>
      </c>
      <c r="K179" s="30">
        <v>1202</v>
      </c>
      <c r="L179" s="20" t="s">
        <v>638</v>
      </c>
      <c r="M179" s="30">
        <v>1202023</v>
      </c>
      <c r="N179" s="20" t="s">
        <v>645</v>
      </c>
      <c r="O179" s="46"/>
      <c r="P179" s="20" t="s">
        <v>646</v>
      </c>
      <c r="Q179" s="20" t="s">
        <v>55</v>
      </c>
      <c r="R179" s="30">
        <v>120202300</v>
      </c>
      <c r="S179" s="20" t="s">
        <v>585</v>
      </c>
      <c r="T179" s="20" t="s">
        <v>18</v>
      </c>
      <c r="U179" s="30">
        <v>16.3</v>
      </c>
      <c r="V179" s="20" t="s">
        <v>19</v>
      </c>
      <c r="W179" s="22">
        <v>0</v>
      </c>
      <c r="X179" s="22">
        <v>15</v>
      </c>
      <c r="Y179" s="22">
        <v>0</v>
      </c>
      <c r="Z179" s="22">
        <v>5</v>
      </c>
      <c r="AA179" s="22">
        <v>5</v>
      </c>
      <c r="AB179" s="22">
        <v>5</v>
      </c>
      <c r="AC179" s="22"/>
      <c r="AD179" s="36">
        <f t="shared" si="4"/>
        <v>0</v>
      </c>
      <c r="AE179" s="22"/>
      <c r="AF179" s="22"/>
      <c r="AG179" s="22">
        <v>0</v>
      </c>
      <c r="AH179" s="22"/>
      <c r="AI179" s="65">
        <f t="shared" si="5"/>
        <v>0</v>
      </c>
    </row>
    <row r="180" spans="1:46" ht="13.8" customHeight="1" x14ac:dyDescent="0.3">
      <c r="A180" s="20" t="s">
        <v>745</v>
      </c>
      <c r="B180" s="20">
        <v>12</v>
      </c>
      <c r="C180" s="20" t="s">
        <v>89</v>
      </c>
      <c r="D180" s="20">
        <v>190010038</v>
      </c>
      <c r="E180" s="20" t="s">
        <v>757</v>
      </c>
      <c r="F180" s="20" t="s">
        <v>758</v>
      </c>
      <c r="G180" s="20" t="s">
        <v>794</v>
      </c>
      <c r="H180" s="29">
        <v>0</v>
      </c>
      <c r="I180" s="30">
        <v>2021</v>
      </c>
      <c r="J180" s="30">
        <v>50</v>
      </c>
      <c r="K180" s="30">
        <v>1203</v>
      </c>
      <c r="L180" s="20" t="s">
        <v>655</v>
      </c>
      <c r="M180" s="30">
        <v>1203011</v>
      </c>
      <c r="N180" s="20" t="s">
        <v>647</v>
      </c>
      <c r="O180" s="46"/>
      <c r="P180" s="20" t="s">
        <v>648</v>
      </c>
      <c r="Q180" s="20" t="s">
        <v>55</v>
      </c>
      <c r="R180" s="30">
        <v>120301100</v>
      </c>
      <c r="S180" s="20" t="s">
        <v>585</v>
      </c>
      <c r="T180" s="20" t="s">
        <v>18</v>
      </c>
      <c r="U180" s="30">
        <v>16.600000000000001</v>
      </c>
      <c r="V180" s="20" t="s">
        <v>19</v>
      </c>
      <c r="W180" s="22" t="s">
        <v>636</v>
      </c>
      <c r="X180" s="22">
        <v>15</v>
      </c>
      <c r="Y180" s="22">
        <v>0</v>
      </c>
      <c r="Z180" s="22">
        <v>5</v>
      </c>
      <c r="AA180" s="22">
        <v>5</v>
      </c>
      <c r="AB180" s="22">
        <v>5</v>
      </c>
      <c r="AC180" s="22"/>
      <c r="AD180" s="36">
        <f t="shared" si="4"/>
        <v>0</v>
      </c>
      <c r="AE180" s="22"/>
      <c r="AF180" s="22"/>
      <c r="AG180" s="22">
        <v>0</v>
      </c>
      <c r="AH180" s="22"/>
      <c r="AI180" s="65">
        <f t="shared" si="5"/>
        <v>0</v>
      </c>
    </row>
    <row r="181" spans="1:46" ht="13.8" customHeight="1" x14ac:dyDescent="0.3">
      <c r="A181" s="20" t="s">
        <v>745</v>
      </c>
      <c r="B181" s="20">
        <v>45</v>
      </c>
      <c r="C181" s="20" t="s">
        <v>393</v>
      </c>
      <c r="D181" s="20">
        <v>60010003</v>
      </c>
      <c r="E181" s="20" t="s">
        <v>724</v>
      </c>
      <c r="F181" s="20" t="s">
        <v>725</v>
      </c>
      <c r="G181" s="20" t="s">
        <v>792</v>
      </c>
      <c r="H181" s="29">
        <v>49.81</v>
      </c>
      <c r="I181" s="30">
        <v>2022</v>
      </c>
      <c r="J181" s="30">
        <v>30</v>
      </c>
      <c r="K181" s="30">
        <v>4501</v>
      </c>
      <c r="L181" s="20" t="s">
        <v>394</v>
      </c>
      <c r="M181" s="30">
        <v>4501026</v>
      </c>
      <c r="N181" s="20" t="s">
        <v>649</v>
      </c>
      <c r="O181" s="46" t="s">
        <v>867</v>
      </c>
      <c r="P181" s="20" t="s">
        <v>650</v>
      </c>
      <c r="Q181" s="20" t="s">
        <v>26</v>
      </c>
      <c r="R181" s="30">
        <v>450102602</v>
      </c>
      <c r="S181" s="20" t="s">
        <v>651</v>
      </c>
      <c r="T181" s="20" t="s">
        <v>18</v>
      </c>
      <c r="U181" s="30">
        <v>16.100000000000001</v>
      </c>
      <c r="V181" s="20" t="s">
        <v>19</v>
      </c>
      <c r="W181" s="22">
        <v>1</v>
      </c>
      <c r="X181" s="22">
        <v>1</v>
      </c>
      <c r="Y181" s="22">
        <v>1</v>
      </c>
      <c r="Z181" s="22">
        <v>0</v>
      </c>
      <c r="AA181" s="22">
        <v>0</v>
      </c>
      <c r="AB181" s="22">
        <v>0</v>
      </c>
      <c r="AC181" s="22">
        <v>1</v>
      </c>
      <c r="AD181" s="22">
        <f t="shared" si="4"/>
        <v>100</v>
      </c>
      <c r="AE181" s="22" t="s">
        <v>918</v>
      </c>
      <c r="AF181" s="22" t="s">
        <v>918</v>
      </c>
      <c r="AG181" s="22" t="s">
        <v>1048</v>
      </c>
      <c r="AH181" s="22"/>
      <c r="AI181" s="65" t="e">
        <f t="shared" si="5"/>
        <v>#VALUE!</v>
      </c>
    </row>
    <row r="182" spans="1:46" ht="13.8" customHeight="1" x14ac:dyDescent="0.3">
      <c r="A182" s="20" t="s">
        <v>745</v>
      </c>
      <c r="B182" s="20">
        <v>45</v>
      </c>
      <c r="C182" s="20" t="s">
        <v>393</v>
      </c>
      <c r="D182" s="20">
        <v>60010003</v>
      </c>
      <c r="E182" s="20" t="s">
        <v>724</v>
      </c>
      <c r="F182" s="20" t="s">
        <v>725</v>
      </c>
      <c r="G182" s="20" t="s">
        <v>792</v>
      </c>
      <c r="H182" s="29">
        <v>49.81</v>
      </c>
      <c r="I182" s="30">
        <v>2022</v>
      </c>
      <c r="J182" s="30">
        <v>30</v>
      </c>
      <c r="K182" s="30">
        <v>4501</v>
      </c>
      <c r="L182" s="20" t="s">
        <v>394</v>
      </c>
      <c r="M182" s="30">
        <v>4501077</v>
      </c>
      <c r="N182" s="20" t="s">
        <v>652</v>
      </c>
      <c r="O182" s="46" t="s">
        <v>868</v>
      </c>
      <c r="P182" s="20" t="s">
        <v>653</v>
      </c>
      <c r="Q182" s="20" t="s">
        <v>287</v>
      </c>
      <c r="R182" s="30">
        <v>450107700</v>
      </c>
      <c r="S182" s="20" t="s">
        <v>593</v>
      </c>
      <c r="T182" s="20" t="s">
        <v>18</v>
      </c>
      <c r="U182" s="30">
        <v>16.600000000000001</v>
      </c>
      <c r="V182" s="20" t="s">
        <v>19</v>
      </c>
      <c r="W182" s="22">
        <v>4</v>
      </c>
      <c r="X182" s="22">
        <v>4</v>
      </c>
      <c r="Y182" s="22">
        <v>1</v>
      </c>
      <c r="Z182" s="22">
        <v>1</v>
      </c>
      <c r="AA182" s="22">
        <v>1</v>
      </c>
      <c r="AB182" s="22">
        <v>1</v>
      </c>
      <c r="AC182" s="22">
        <v>1</v>
      </c>
      <c r="AD182" s="36">
        <f t="shared" si="4"/>
        <v>25</v>
      </c>
      <c r="AE182" s="22" t="s">
        <v>917</v>
      </c>
      <c r="AF182" s="22" t="s">
        <v>916</v>
      </c>
      <c r="AG182" s="22">
        <v>0</v>
      </c>
      <c r="AH182" s="53" t="s">
        <v>1039</v>
      </c>
      <c r="AI182" s="65">
        <f t="shared" si="5"/>
        <v>0</v>
      </c>
    </row>
    <row r="183" spans="1:46" ht="13.8" customHeight="1" x14ac:dyDescent="0.3">
      <c r="A183" s="20" t="s">
        <v>745</v>
      </c>
      <c r="B183" s="20">
        <v>45</v>
      </c>
      <c r="C183" s="20" t="s">
        <v>393</v>
      </c>
      <c r="D183" s="20">
        <v>60010003</v>
      </c>
      <c r="E183" s="20" t="s">
        <v>724</v>
      </c>
      <c r="F183" s="20" t="s">
        <v>725</v>
      </c>
      <c r="G183" s="20" t="s">
        <v>792</v>
      </c>
      <c r="H183" s="29">
        <v>49.81</v>
      </c>
      <c r="I183" s="30">
        <v>2022</v>
      </c>
      <c r="J183" s="30">
        <v>30</v>
      </c>
      <c r="K183" s="30">
        <v>4501</v>
      </c>
      <c r="L183" s="20" t="s">
        <v>394</v>
      </c>
      <c r="M183" s="30">
        <v>4501079</v>
      </c>
      <c r="N183" s="20" t="s">
        <v>652</v>
      </c>
      <c r="O183" s="46" t="s">
        <v>869</v>
      </c>
      <c r="P183" s="20" t="s">
        <v>654</v>
      </c>
      <c r="Q183" s="20" t="s">
        <v>287</v>
      </c>
      <c r="R183" s="30">
        <v>450107900</v>
      </c>
      <c r="S183" s="20" t="s">
        <v>593</v>
      </c>
      <c r="T183" s="20" t="s">
        <v>18</v>
      </c>
      <c r="U183" s="30">
        <v>16.600000000000001</v>
      </c>
      <c r="V183" s="20" t="s">
        <v>19</v>
      </c>
      <c r="W183" s="22">
        <v>4</v>
      </c>
      <c r="X183" s="22">
        <v>4</v>
      </c>
      <c r="Y183" s="22">
        <v>1</v>
      </c>
      <c r="Z183" s="22">
        <v>1</v>
      </c>
      <c r="AA183" s="22">
        <v>1</v>
      </c>
      <c r="AB183" s="22">
        <v>1</v>
      </c>
      <c r="AC183" s="22">
        <v>1</v>
      </c>
      <c r="AD183" s="36">
        <f t="shared" si="4"/>
        <v>25</v>
      </c>
      <c r="AE183" s="22" t="s">
        <v>917</v>
      </c>
      <c r="AF183" s="22" t="s">
        <v>916</v>
      </c>
      <c r="AG183" s="22">
        <v>0</v>
      </c>
      <c r="AH183" s="53" t="s">
        <v>1040</v>
      </c>
      <c r="AI183" s="65">
        <f t="shared" si="5"/>
        <v>0</v>
      </c>
    </row>
    <row r="184" spans="1:46" ht="13.8" customHeight="1" x14ac:dyDescent="0.3">
      <c r="A184" s="20" t="s">
        <v>745</v>
      </c>
      <c r="B184" s="24">
        <v>25</v>
      </c>
      <c r="C184" s="20" t="s">
        <v>769</v>
      </c>
      <c r="D184" s="20">
        <v>190010011</v>
      </c>
      <c r="E184" s="20" t="s">
        <v>768</v>
      </c>
      <c r="F184" s="20" t="s">
        <v>758</v>
      </c>
      <c r="G184" s="20" t="s">
        <v>794</v>
      </c>
      <c r="H184" s="29">
        <v>0</v>
      </c>
      <c r="I184" s="30">
        <v>2021</v>
      </c>
      <c r="J184" s="30">
        <v>50</v>
      </c>
      <c r="K184" s="31">
        <v>2502</v>
      </c>
      <c r="L184" s="20" t="s">
        <v>765</v>
      </c>
      <c r="M184" s="31">
        <v>2502003</v>
      </c>
      <c r="N184" s="20" t="s">
        <v>766</v>
      </c>
      <c r="O184" s="46"/>
      <c r="P184" s="20" t="s">
        <v>767</v>
      </c>
      <c r="Q184" s="20" t="s">
        <v>40</v>
      </c>
      <c r="R184" s="31">
        <v>250200300</v>
      </c>
      <c r="S184" s="20" t="s">
        <v>100</v>
      </c>
      <c r="T184" s="20" t="s">
        <v>18</v>
      </c>
      <c r="U184" s="30">
        <v>4.7</v>
      </c>
      <c r="V184" s="20" t="s">
        <v>19</v>
      </c>
      <c r="W184" s="22" t="s">
        <v>636</v>
      </c>
      <c r="X184" s="22">
        <v>75</v>
      </c>
      <c r="Y184" s="22">
        <v>0</v>
      </c>
      <c r="Z184" s="22">
        <v>25</v>
      </c>
      <c r="AA184" s="22">
        <v>25</v>
      </c>
      <c r="AB184" s="22">
        <v>25</v>
      </c>
      <c r="AC184" s="22"/>
      <c r="AD184" s="36">
        <f t="shared" si="4"/>
        <v>0</v>
      </c>
      <c r="AE184" s="22"/>
      <c r="AF184" s="22"/>
      <c r="AG184" s="57">
        <v>35</v>
      </c>
      <c r="AH184" s="58" t="s">
        <v>1041</v>
      </c>
      <c r="AI184" s="65">
        <f t="shared" si="5"/>
        <v>140</v>
      </c>
    </row>
    <row r="187" spans="1:46" ht="13.8" customHeight="1" x14ac:dyDescent="0.3">
      <c r="AJ187" s="1" t="s">
        <v>1002</v>
      </c>
      <c r="AK187" s="1" t="s">
        <v>995</v>
      </c>
      <c r="AL187" s="1" t="s">
        <v>998</v>
      </c>
      <c r="AM187" s="1"/>
      <c r="AN187" s="1" t="s">
        <v>1002</v>
      </c>
      <c r="AO187" s="1" t="s">
        <v>995</v>
      </c>
      <c r="AP187" s="1" t="s">
        <v>998</v>
      </c>
      <c r="AR187" s="1" t="s">
        <v>1002</v>
      </c>
      <c r="AS187" s="1" t="s">
        <v>995</v>
      </c>
      <c r="AT187" s="1" t="s">
        <v>998</v>
      </c>
    </row>
    <row r="188" spans="1:46" ht="13.8" customHeight="1" x14ac:dyDescent="0.3">
      <c r="AJ188" s="20" t="s">
        <v>208</v>
      </c>
      <c r="AK188" s="62">
        <v>7</v>
      </c>
      <c r="AL188" s="62">
        <v>56</v>
      </c>
      <c r="AN188" s="20" t="s">
        <v>12</v>
      </c>
      <c r="AO188" s="62">
        <v>17</v>
      </c>
      <c r="AP188" s="62">
        <v>26</v>
      </c>
      <c r="AR188" s="20" t="s">
        <v>154</v>
      </c>
      <c r="AS188" s="62">
        <v>5</v>
      </c>
      <c r="AT188" s="62">
        <v>39</v>
      </c>
    </row>
    <row r="190" spans="1:46" ht="13.8" customHeight="1" x14ac:dyDescent="0.3">
      <c r="AJ190" s="1" t="s">
        <v>1002</v>
      </c>
      <c r="AK190" s="1" t="s">
        <v>995</v>
      </c>
      <c r="AL190" s="1" t="s">
        <v>998</v>
      </c>
      <c r="AN190" s="1" t="s">
        <v>1002</v>
      </c>
      <c r="AO190" s="1" t="s">
        <v>995</v>
      </c>
      <c r="AP190" s="1" t="s">
        <v>998</v>
      </c>
      <c r="AR190" s="1" t="s">
        <v>1002</v>
      </c>
      <c r="AS190" s="1" t="s">
        <v>995</v>
      </c>
      <c r="AT190" s="1" t="s">
        <v>998</v>
      </c>
    </row>
    <row r="191" spans="1:46" ht="13.8" customHeight="1" x14ac:dyDescent="0.3">
      <c r="AJ191" s="20" t="s">
        <v>216</v>
      </c>
      <c r="AK191" s="62">
        <v>10</v>
      </c>
      <c r="AL191" s="62">
        <v>24</v>
      </c>
      <c r="AN191" s="20" t="s">
        <v>465</v>
      </c>
      <c r="AO191" s="62">
        <v>1</v>
      </c>
      <c r="AP191" s="62">
        <v>0</v>
      </c>
      <c r="AR191" s="20" t="s">
        <v>130</v>
      </c>
      <c r="AS191" s="62">
        <v>3</v>
      </c>
      <c r="AT191" s="62">
        <v>33</v>
      </c>
    </row>
    <row r="193" spans="36:46" ht="13.8" customHeight="1" x14ac:dyDescent="0.3">
      <c r="AJ193" s="1" t="s">
        <v>1002</v>
      </c>
      <c r="AK193" s="1" t="s">
        <v>995</v>
      </c>
      <c r="AL193" s="1" t="s">
        <v>998</v>
      </c>
      <c r="AN193" s="1" t="s">
        <v>1002</v>
      </c>
      <c r="AO193" s="1" t="s">
        <v>995</v>
      </c>
      <c r="AP193" s="1" t="s">
        <v>998</v>
      </c>
      <c r="AR193" s="1" t="s">
        <v>1002</v>
      </c>
      <c r="AS193" s="1" t="s">
        <v>995</v>
      </c>
      <c r="AT193" s="1" t="s">
        <v>998</v>
      </c>
    </row>
    <row r="194" spans="36:46" ht="13.8" customHeight="1" x14ac:dyDescent="0.3">
      <c r="AJ194" s="20" t="s">
        <v>243</v>
      </c>
      <c r="AK194" s="62">
        <v>4</v>
      </c>
      <c r="AL194" s="62">
        <v>38</v>
      </c>
      <c r="AN194" s="20" t="s">
        <v>89</v>
      </c>
      <c r="AO194" s="62">
        <v>5</v>
      </c>
      <c r="AP194" s="62">
        <v>20</v>
      </c>
      <c r="AR194" s="20" t="s">
        <v>194</v>
      </c>
      <c r="AS194" s="62">
        <v>10</v>
      </c>
      <c r="AT194" s="62">
        <v>50</v>
      </c>
    </row>
    <row r="196" spans="36:46" ht="13.8" customHeight="1" x14ac:dyDescent="0.3">
      <c r="AJ196" s="1" t="s">
        <v>1002</v>
      </c>
      <c r="AK196" s="1" t="s">
        <v>995</v>
      </c>
      <c r="AL196" s="1" t="s">
        <v>998</v>
      </c>
      <c r="AN196" s="1" t="s">
        <v>1002</v>
      </c>
      <c r="AO196" s="1" t="s">
        <v>995</v>
      </c>
      <c r="AP196" s="1" t="s">
        <v>998</v>
      </c>
    </row>
    <row r="197" spans="36:46" ht="13.8" customHeight="1" x14ac:dyDescent="0.3">
      <c r="AJ197" s="20" t="s">
        <v>83</v>
      </c>
      <c r="AK197" s="62">
        <v>6</v>
      </c>
      <c r="AL197" s="62">
        <v>42</v>
      </c>
      <c r="AN197" s="20" t="s">
        <v>64</v>
      </c>
      <c r="AO197" s="62">
        <v>6</v>
      </c>
      <c r="AP197" s="62">
        <v>50</v>
      </c>
    </row>
    <row r="199" spans="36:46" ht="13.8" customHeight="1" x14ac:dyDescent="0.3">
      <c r="AJ199" s="1" t="s">
        <v>1002</v>
      </c>
      <c r="AK199" s="1" t="s">
        <v>995</v>
      </c>
      <c r="AL199" s="1" t="s">
        <v>998</v>
      </c>
      <c r="AN199" s="1" t="s">
        <v>1002</v>
      </c>
      <c r="AO199" s="1" t="s">
        <v>995</v>
      </c>
      <c r="AP199" s="1" t="s">
        <v>998</v>
      </c>
    </row>
    <row r="200" spans="36:46" ht="13.8" customHeight="1" x14ac:dyDescent="0.3">
      <c r="AJ200" s="20" t="s">
        <v>158</v>
      </c>
      <c r="AK200" s="62">
        <v>9</v>
      </c>
      <c r="AL200" s="62">
        <v>35</v>
      </c>
      <c r="AN200" s="20" t="s">
        <v>769</v>
      </c>
      <c r="AO200" s="62">
        <v>1</v>
      </c>
      <c r="AP200" s="62">
        <v>100</v>
      </c>
    </row>
    <row r="202" spans="36:46" ht="13.8" customHeight="1" x14ac:dyDescent="0.3">
      <c r="AJ202" s="1" t="s">
        <v>1002</v>
      </c>
      <c r="AK202" s="1" t="s">
        <v>995</v>
      </c>
      <c r="AL202" s="1" t="s">
        <v>998</v>
      </c>
      <c r="AN202" s="1" t="s">
        <v>1002</v>
      </c>
      <c r="AO202" s="1" t="s">
        <v>995</v>
      </c>
      <c r="AP202" s="1" t="s">
        <v>998</v>
      </c>
    </row>
    <row r="203" spans="36:46" ht="13.8" customHeight="1" x14ac:dyDescent="0.3">
      <c r="AJ203" s="20" t="s">
        <v>93</v>
      </c>
      <c r="AK203" s="62">
        <v>13</v>
      </c>
      <c r="AL203" s="62">
        <v>39</v>
      </c>
      <c r="AN203" s="20" t="s">
        <v>47</v>
      </c>
      <c r="AO203" s="62">
        <v>18</v>
      </c>
      <c r="AP203" s="62">
        <v>99</v>
      </c>
    </row>
    <row r="205" spans="36:46" ht="13.8" customHeight="1" x14ac:dyDescent="0.3">
      <c r="AJ205" s="1" t="s">
        <v>1002</v>
      </c>
      <c r="AK205" s="1" t="s">
        <v>995</v>
      </c>
      <c r="AL205" s="1" t="s">
        <v>998</v>
      </c>
      <c r="AN205" s="1" t="s">
        <v>1002</v>
      </c>
      <c r="AO205" s="1" t="s">
        <v>995</v>
      </c>
      <c r="AP205" s="1" t="s">
        <v>998</v>
      </c>
    </row>
    <row r="206" spans="36:46" ht="13.8" customHeight="1" x14ac:dyDescent="0.3">
      <c r="AJ206" s="20" t="s">
        <v>393</v>
      </c>
      <c r="AK206" s="62">
        <v>18</v>
      </c>
      <c r="AL206" s="62">
        <v>82</v>
      </c>
      <c r="AN206" s="20" t="s">
        <v>238</v>
      </c>
      <c r="AO206" s="62">
        <v>4</v>
      </c>
      <c r="AP206" s="62">
        <v>22</v>
      </c>
    </row>
    <row r="210" spans="20:25" ht="13.8" customHeight="1" x14ac:dyDescent="0.3">
      <c r="T210" s="1" t="s">
        <v>1003</v>
      </c>
      <c r="U210" s="1" t="s">
        <v>995</v>
      </c>
      <c r="V210" s="1" t="s">
        <v>998</v>
      </c>
      <c r="W210" s="1" t="s">
        <v>997</v>
      </c>
      <c r="X210" s="1" t="s">
        <v>999</v>
      </c>
      <c r="Y210" s="1" t="s">
        <v>998</v>
      </c>
    </row>
    <row r="211" spans="20:25" ht="13.8" customHeight="1" x14ac:dyDescent="0.3">
      <c r="T211" s="62" t="s">
        <v>1089</v>
      </c>
      <c r="U211" s="62">
        <v>24</v>
      </c>
      <c r="V211" s="62">
        <v>24</v>
      </c>
    </row>
    <row r="213" spans="20:25" ht="13.8" customHeight="1" x14ac:dyDescent="0.3">
      <c r="T213" s="1" t="s">
        <v>1003</v>
      </c>
      <c r="U213" s="1" t="s">
        <v>995</v>
      </c>
      <c r="V213" s="1" t="s">
        <v>998</v>
      </c>
    </row>
    <row r="214" spans="20:25" ht="13.8" customHeight="1" x14ac:dyDescent="0.3">
      <c r="T214" s="62" t="s">
        <v>1090</v>
      </c>
      <c r="U214" s="62">
        <v>40</v>
      </c>
      <c r="V214" s="62">
        <v>38</v>
      </c>
    </row>
    <row r="216" spans="20:25" ht="13.8" customHeight="1" x14ac:dyDescent="0.3">
      <c r="T216" s="1" t="s">
        <v>1003</v>
      </c>
      <c r="U216" s="1" t="s">
        <v>995</v>
      </c>
      <c r="V216" s="1" t="s">
        <v>998</v>
      </c>
    </row>
    <row r="217" spans="20:25" ht="13.8" customHeight="1" x14ac:dyDescent="0.3">
      <c r="T217" s="62" t="s">
        <v>1091</v>
      </c>
      <c r="U217" s="62">
        <v>46</v>
      </c>
      <c r="V217" s="62">
        <v>73</v>
      </c>
    </row>
    <row r="219" spans="20:25" ht="13.8" customHeight="1" x14ac:dyDescent="0.3">
      <c r="T219" s="1" t="s">
        <v>1003</v>
      </c>
      <c r="U219" s="1" t="s">
        <v>995</v>
      </c>
      <c r="V219" s="1" t="s">
        <v>998</v>
      </c>
    </row>
    <row r="220" spans="20:25" ht="13.8" customHeight="1" x14ac:dyDescent="0.3">
      <c r="T220" s="62" t="s">
        <v>1092</v>
      </c>
      <c r="U220" s="62">
        <v>6</v>
      </c>
      <c r="V220" s="62">
        <v>67</v>
      </c>
    </row>
    <row r="222" spans="20:25" ht="13.8" customHeight="1" x14ac:dyDescent="0.3">
      <c r="T222" s="1" t="s">
        <v>1003</v>
      </c>
      <c r="U222" s="1" t="s">
        <v>995</v>
      </c>
      <c r="V222" s="1" t="s">
        <v>998</v>
      </c>
    </row>
    <row r="223" spans="20:25" ht="13.8" customHeight="1" x14ac:dyDescent="0.3">
      <c r="T223" s="62" t="s">
        <v>1093</v>
      </c>
      <c r="U223" s="62">
        <v>20</v>
      </c>
      <c r="V223" s="62">
        <v>42</v>
      </c>
    </row>
  </sheetData>
  <mergeCells count="29">
    <mergeCell ref="L1:L2"/>
    <mergeCell ref="AI1:AI2"/>
    <mergeCell ref="AD1:AD2"/>
    <mergeCell ref="A1:A2"/>
    <mergeCell ref="B1:B2"/>
    <mergeCell ref="C1:C2"/>
    <mergeCell ref="D1:J1"/>
    <mergeCell ref="K1:K2"/>
    <mergeCell ref="X1:X2"/>
    <mergeCell ref="M1:M2"/>
    <mergeCell ref="N1:N2"/>
    <mergeCell ref="O1:O2"/>
    <mergeCell ref="P1:P2"/>
    <mergeCell ref="Q1:Q2"/>
    <mergeCell ref="R1:R2"/>
    <mergeCell ref="S1:S2"/>
    <mergeCell ref="T1:T2"/>
    <mergeCell ref="U1:U2"/>
    <mergeCell ref="V1:V2"/>
    <mergeCell ref="W1:W2"/>
    <mergeCell ref="AF1:AF2"/>
    <mergeCell ref="AG1:AG2"/>
    <mergeCell ref="AH1:AH2"/>
    <mergeCell ref="Y1:Y2"/>
    <mergeCell ref="Z1:Z2"/>
    <mergeCell ref="AA1:AA2"/>
    <mergeCell ref="AB1:AB2"/>
    <mergeCell ref="AC1:AC2"/>
    <mergeCell ref="AE1:AE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Hoja1</vt:lpstr>
      <vt:lpstr>estadisticas</vt:lpstr>
      <vt:lpstr>estadisticas (2)</vt:lpstr>
      <vt:lpstr>estadisticas 2025</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felipe restrepo</dc:creator>
  <cp:lastModifiedBy>Felipe</cp:lastModifiedBy>
  <cp:lastPrinted>2024-05-25T16:50:08Z</cp:lastPrinted>
  <dcterms:created xsi:type="dcterms:W3CDTF">2024-04-07T14:01:14Z</dcterms:created>
  <dcterms:modified xsi:type="dcterms:W3CDTF">2025-08-06T15:24:35Z</dcterms:modified>
</cp:coreProperties>
</file>